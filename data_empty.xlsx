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kobel/Downloads/"/>
    </mc:Choice>
  </mc:AlternateContent>
  <xr:revisionPtr revIDLastSave="0" documentId="13_ncr:1_{AF90AB8B-E01A-F64B-B287-7F2C0FFE2F9A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dropdown" sheetId="2" r:id="rId2"/>
    <sheet name="sc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1" l="1"/>
  <c r="B85" i="1" l="1"/>
  <c r="B70" i="1" l="1"/>
  <c r="B22" i="1" l="1"/>
  <c r="B26" i="1"/>
  <c r="B122" i="1"/>
  <c r="B123" i="1" s="1"/>
  <c r="B120" i="1"/>
  <c r="B121" i="1" s="1"/>
  <c r="B109" i="1" l="1"/>
  <c r="B73" i="1"/>
  <c r="B74" i="1"/>
  <c r="B84" i="1"/>
  <c r="B82" i="1"/>
  <c r="B83" i="1" s="1"/>
  <c r="B81" i="1"/>
  <c r="B79" i="1"/>
  <c r="B111" i="1"/>
  <c r="B114" i="1"/>
  <c r="B116" i="1"/>
  <c r="B115" i="1"/>
  <c r="B110" i="1"/>
  <c r="B112" i="1"/>
  <c r="B113" i="1"/>
  <c r="B124" i="1" l="1"/>
  <c r="B80" i="1" s="1" a="1"/>
  <c r="B80" i="1" s="1"/>
  <c r="B119" i="1"/>
  <c r="B117" i="1"/>
  <c r="B118" i="1"/>
  <c r="B76" i="1" s="1" a="1"/>
  <c r="B76" i="1" s="1"/>
  <c r="B72" i="1" l="1" a="1"/>
  <c r="B72" i="1" s="1"/>
  <c r="B75" i="1" a="1"/>
  <c r="B75" i="1" s="1"/>
  <c r="B78" i="1" a="1"/>
  <c r="B78" i="1" s="1"/>
  <c r="B77" i="1" a="1"/>
  <c r="B7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<sst xmlns="http://schemas.openxmlformats.org/spreadsheetml/2006/main" count="310" uniqueCount="201">
  <si>
    <t>pseudonym</t>
  </si>
  <si>
    <t>date of birth</t>
  </si>
  <si>
    <t>age</t>
  </si>
  <si>
    <t>date of inclusion</t>
  </si>
  <si>
    <t>cohort</t>
  </si>
  <si>
    <r>
      <t xml:space="preserve">length of stay in ED </t>
    </r>
    <r>
      <rPr>
        <i/>
        <sz val="12"/>
        <color theme="1"/>
        <rFont val="Aptos Narrow"/>
        <family val="2"/>
        <scheme val="minor"/>
      </rPr>
      <t>(for ED cohort only)</t>
    </r>
  </si>
  <si>
    <t>yes/no</t>
  </si>
  <si>
    <t>DZHI</t>
  </si>
  <si>
    <t>ED</t>
  </si>
  <si>
    <t>yes</t>
  </si>
  <si>
    <t>no</t>
  </si>
  <si>
    <t>exclusion due to exclusion criteria</t>
  </si>
  <si>
    <t>exclusion at patient's request</t>
  </si>
  <si>
    <t>no/yes</t>
  </si>
  <si>
    <t>previous CAD diagnostic</t>
  </si>
  <si>
    <t>inpatient admission</t>
  </si>
  <si>
    <t>restrained diagnostics due to limited life expectancy</t>
  </si>
  <si>
    <t>clinical assessment of CAD pretest probability</t>
  </si>
  <si>
    <t>likelihood for CAD</t>
  </si>
  <si>
    <t>very low</t>
  </si>
  <si>
    <t>low</t>
  </si>
  <si>
    <t>moderate</t>
  </si>
  <si>
    <t>high</t>
  </si>
  <si>
    <t>very high</t>
  </si>
  <si>
    <t>not assessed</t>
  </si>
  <si>
    <t>sex</t>
  </si>
  <si>
    <t>male</t>
  </si>
  <si>
    <t>female</t>
  </si>
  <si>
    <t>unspecific</t>
  </si>
  <si>
    <t>possible</t>
  </si>
  <si>
    <t>typical</t>
  </si>
  <si>
    <t>thoracic pain CE</t>
  </si>
  <si>
    <t>atypical</t>
  </si>
  <si>
    <t>nonanginal</t>
  </si>
  <si>
    <t>thoracic pain ESC 2013/ACC 2012</t>
  </si>
  <si>
    <t>thoracic pain ACC 2021</t>
  </si>
  <si>
    <t>chest pain</t>
  </si>
  <si>
    <t>dyspnea</t>
  </si>
  <si>
    <t>thoracic pain ESC 2019</t>
  </si>
  <si>
    <t>chest pain relieved by rest or nitrates within 5 min</t>
  </si>
  <si>
    <t>status post</t>
  </si>
  <si>
    <t>family history</t>
  </si>
  <si>
    <t>dyslipidemia</t>
  </si>
  <si>
    <t>hypertension</t>
  </si>
  <si>
    <t>diabetes</t>
  </si>
  <si>
    <t>nicotine consumption (CE)</t>
  </si>
  <si>
    <t>nicotine consumption (ESC 2024)</t>
  </si>
  <si>
    <t>age [years]</t>
  </si>
  <si>
    <t>height [cm]</t>
  </si>
  <si>
    <t>weight [kg]</t>
  </si>
  <si>
    <t>nicotine consumption CE</t>
  </si>
  <si>
    <t>tc aggregation inhibitor</t>
  </si>
  <si>
    <t>ca antagonist</t>
  </si>
  <si>
    <t>betablocker</t>
  </si>
  <si>
    <t>diuretic</t>
  </si>
  <si>
    <t>organic nitrate</t>
  </si>
  <si>
    <t>diabetes medication</t>
  </si>
  <si>
    <t>NIDDM</t>
  </si>
  <si>
    <t>IDDM</t>
  </si>
  <si>
    <t>pathological Q-waves at ECG</t>
  </si>
  <si>
    <t>systolic blood pressure [mmHg]</t>
  </si>
  <si>
    <t>diastolic blood pressure [mmHg]</t>
  </si>
  <si>
    <t>Q-waves</t>
  </si>
  <si>
    <t>glucose [mg/dl]</t>
  </si>
  <si>
    <t>bilirubin (total) [mg/dl]</t>
  </si>
  <si>
    <t>urea [mg/dl]</t>
  </si>
  <si>
    <t>uric acid [mg/dl]</t>
  </si>
  <si>
    <t>cholesterol (total) [mg/dl]</t>
  </si>
  <si>
    <t>high-density lipoprotein cholesterol [mg/dl]</t>
  </si>
  <si>
    <t>low-density lipoprotein cholesterol [mg/dl]</t>
  </si>
  <si>
    <t>protein (total) [g/l]</t>
  </si>
  <si>
    <t>albumin [g/l]</t>
  </si>
  <si>
    <t>mean corpuscular haemoglobin concentration [g/dl]</t>
  </si>
  <si>
    <t>alanin-aminotransferase [U/l]</t>
  </si>
  <si>
    <t>alkaline phosphatase [U/l]</t>
  </si>
  <si>
    <t>pancreatic amylase [U/l]</t>
  </si>
  <si>
    <t>leucocytes [*1000/yl]</t>
  </si>
  <si>
    <t>hs troponin T [pg/ml]</t>
  </si>
  <si>
    <t>MACE 3 months (Major Adverse Cardiovascular Events)</t>
  </si>
  <si>
    <t>percutaneous coronary angiography performed 3 months</t>
  </si>
  <si>
    <t>percutaneous coronary angiography - result 3 months</t>
  </si>
  <si>
    <t>non-invasive ischemia testing performed 3 months</t>
  </si>
  <si>
    <t>non-invasive ischemia testing - result 3 months</t>
  </si>
  <si>
    <t>coronary computed tomography angiography performed 3 months</t>
  </si>
  <si>
    <t>coronary computed tomography angiography - result 3 months</t>
  </si>
  <si>
    <t>stress electrocardiography performed 3 months</t>
  </si>
  <si>
    <t>stress electrocardiography - result 3 months</t>
  </si>
  <si>
    <t>MACE 24 months (Major Adverse Cardiovascular Events)</t>
  </si>
  <si>
    <t>percutaneous coronary angiography performed 24 months</t>
  </si>
  <si>
    <t>percutaneous coronary angiography - result 24 months</t>
  </si>
  <si>
    <t>non-invasive ischemia testing performed 24 months</t>
  </si>
  <si>
    <t>non-invasive ischemia testing - result 24 months</t>
  </si>
  <si>
    <t>coronary computed tomography angiography performed 24 months</t>
  </si>
  <si>
    <t>coronary computed tomography angiography - result 24 months</t>
  </si>
  <si>
    <t>stress electrocardiography performed 24 months</t>
  </si>
  <si>
    <t>stress electrocardiography - result 24 months</t>
  </si>
  <si>
    <t>re-presentation to ED 24 months</t>
  </si>
  <si>
    <t>MACE</t>
  </si>
  <si>
    <t>cardiovascular death</t>
  </si>
  <si>
    <t>non-fatal stroke</t>
  </si>
  <si>
    <t>non-fatal myocardial infarction</t>
  </si>
  <si>
    <t>need for revascularization or bypass surgery</t>
  </si>
  <si>
    <t>no information</t>
  </si>
  <si>
    <t>stress echocardiography</t>
  </si>
  <si>
    <t>myocardial perfusion SPECT</t>
  </si>
  <si>
    <t>PET</t>
  </si>
  <si>
    <t>cardioMRI</t>
  </si>
  <si>
    <t>non-invasive ischemia testing</t>
  </si>
  <si>
    <t>CAD status</t>
  </si>
  <si>
    <t>excluded</t>
  </si>
  <si>
    <t>inconclusive</t>
  </si>
  <si>
    <t>ESC 2013</t>
  </si>
  <si>
    <t>ACC 2012</t>
  </si>
  <si>
    <t>ESC 2019</t>
  </si>
  <si>
    <t>ACC 2021</t>
  </si>
  <si>
    <t>ESC 2024</t>
  </si>
  <si>
    <t>age 30-39</t>
  </si>
  <si>
    <t>age 40-49</t>
  </si>
  <si>
    <t>age 50-59</t>
  </si>
  <si>
    <t>age 60-69</t>
  </si>
  <si>
    <t>age 70-79</t>
  </si>
  <si>
    <t>age 70-80</t>
  </si>
  <si>
    <t>age 70+</t>
  </si>
  <si>
    <t>age 80+</t>
  </si>
  <si>
    <t>symptom score (ESC 2024)</t>
  </si>
  <si>
    <t>number of risk factors</t>
  </si>
  <si>
    <t>Table 9. Pretest Likelihood of CAD in Symptomatic Patients According to Age and Sex* (Combined Diamond/Forrester and CASS Data)</t>
  </si>
  <si>
    <t>age ACC 2012</t>
  </si>
  <si>
    <t>age ESC 2013</t>
  </si>
  <si>
    <t>age ESC 2019/ACC 2021</t>
  </si>
  <si>
    <t>presence and type of chest pain (CE)</t>
  </si>
  <si>
    <t>thoracic pain (ESC 2019)</t>
  </si>
  <si>
    <t>thoracic pain (ACC 2021)</t>
  </si>
  <si>
    <t>Table 13, https://doi.org/10.1093/eurheartj/eht296</t>
  </si>
  <si>
    <t>Table 5, 10.1093/eurheartj/ehz425</t>
  </si>
  <si>
    <t>Figure 11, 10.1161/CIR.0000000000001029</t>
  </si>
  <si>
    <t>age ESC 2024</t>
  </si>
  <si>
    <t>Figure 4, 10.1093/eurheartj/ehae177</t>
  </si>
  <si>
    <t>0-1</t>
  </si>
  <si>
    <t>symptom score categories</t>
  </si>
  <si>
    <t>risk factor categories</t>
  </si>
  <si>
    <t>2-3</t>
  </si>
  <si>
    <t>4-5</t>
  </si>
  <si>
    <t>age \ symptom score, sex, risk factors</t>
  </si>
  <si>
    <t>2</t>
  </si>
  <si>
    <t>3</t>
  </si>
  <si>
    <t>diagnosis at discharge or inpatient admission</t>
  </si>
  <si>
    <t>BMI [kg/m^2]</t>
  </si>
  <si>
    <t>ACC 2012 PTP</t>
  </si>
  <si>
    <t>ESC 2013 PTP</t>
  </si>
  <si>
    <t>ESC 2019 PTP</t>
  </si>
  <si>
    <t>ACC 2021 PTP</t>
  </si>
  <si>
    <t>dyspnoea as shortness of breath and/or trouble catching breath aggravated by physical exertion (ESC 2024)</t>
  </si>
  <si>
    <t>chest pain type and location (constricting discomfort located retrosternally or in neck, jaw, shoulder or arm) (ESC 2024)</t>
  </si>
  <si>
    <t>chest pain aggravated by physical or emotional stress (ESC 2024)</t>
  </si>
  <si>
    <t>performed, planned, or recommended initial diagnostics</t>
  </si>
  <si>
    <t>title</t>
  </si>
  <si>
    <t>options</t>
  </si>
  <si>
    <t>CE (primary care calibration) PTP</t>
  </si>
  <si>
    <t>CE (primary care calibration) score</t>
  </si>
  <si>
    <t>RAS inhibitor</t>
  </si>
  <si>
    <t>coronary artery calcification score from previous chest CT scans</t>
  </si>
  <si>
    <t>no ECG performed</t>
  </si>
  <si>
    <t>ESC 2024 RF-CL (table)</t>
  </si>
  <si>
    <t>ESC 2024 RF-CL (formula)</t>
  </si>
  <si>
    <t>ESC 2024 CACS-CL (formula)</t>
  </si>
  <si>
    <t>cholesterol lowering medication</t>
  </si>
  <si>
    <t>diagnosed</t>
  </si>
  <si>
    <t>Diamond-Forrester</t>
  </si>
  <si>
    <t>PROMISE Minimal-Risk Score</t>
  </si>
  <si>
    <t>ESC 2024 PTP (formula)</t>
  </si>
  <si>
    <t>ESC 2024 PTP/RF-CL/CACS-CL Scores calculated based on Winther et al., 2020, Table S3, Formulas adapted for Excel</t>
  </si>
  <si>
    <t>inclusion criterium</t>
  </si>
  <si>
    <t>AF</t>
  </si>
  <si>
    <t>CCS</t>
  </si>
  <si>
    <t>Cardio</t>
  </si>
  <si>
    <t>HCM</t>
  </si>
  <si>
    <t>HF</t>
  </si>
  <si>
    <t>CAD previously known</t>
  </si>
  <si>
    <t>none</t>
  </si>
  <si>
    <r>
      <t>day + time at ED visit</t>
    </r>
    <r>
      <rPr>
        <i/>
        <sz val="12"/>
        <color theme="1"/>
        <rFont val="Aptos Narrow"/>
        <family val="2"/>
        <scheme val="minor"/>
      </rPr>
      <t xml:space="preserve"> (for ED cohort only)</t>
    </r>
  </si>
  <si>
    <r>
      <t>day + time at admission or discharge</t>
    </r>
    <r>
      <rPr>
        <i/>
        <sz val="12"/>
        <color theme="1"/>
        <rFont val="Aptos Narrow"/>
        <family val="2"/>
        <scheme val="minor"/>
      </rPr>
      <t xml:space="preserve"> (for ED cohort only)</t>
    </r>
  </si>
  <si>
    <r>
      <t xml:space="preserve">day + time at M61 admission </t>
    </r>
    <r>
      <rPr>
        <i/>
        <sz val="12"/>
        <color theme="1"/>
        <rFont val="Aptos Narrow"/>
        <family val="2"/>
        <scheme val="minor"/>
      </rPr>
      <t>(for ED cohort only)</t>
    </r>
  </si>
  <si>
    <t>atrial fibrillation</t>
  </si>
  <si>
    <t>24 months deadline</t>
  </si>
  <si>
    <t>discharge against medical advice</t>
  </si>
  <si>
    <t>presence and type of chest pain (ESC 2013/ACC 2012)</t>
  </si>
  <si>
    <r>
      <t xml:space="preserve">day + time at definite diagnostic </t>
    </r>
    <r>
      <rPr>
        <i/>
        <sz val="12"/>
        <color theme="1"/>
        <rFont val="Aptos Narrow"/>
        <family val="2"/>
        <scheme val="minor"/>
      </rPr>
      <t>(for ED cohort only)</t>
    </r>
  </si>
  <si>
    <t>ESC 2024 RF-CL (formula with default 0 for number of risk factors and symptom score)</t>
  </si>
  <si>
    <t>entry done</t>
  </si>
  <si>
    <t xml:space="preserve">Diamond-Forrester, CAD2 Score, PROMISE Minimal-Risk Score calculated based on Selva, Jeremy, 2025. pretestcad: Pretest Probability for Coronary Artery Disease. Formulas adapted for Excel https://github.com/JauntyJJS/pretestcad </t>
  </si>
  <si>
    <t>CAD consortium score 2012 Basic PTP</t>
  </si>
  <si>
    <t>CAD consortium score 2012 Clinical PTP</t>
  </si>
  <si>
    <t>reason for exclusion</t>
  </si>
  <si>
    <t>re-presentation to ER 3 months with symptoms suggestive for CAD</t>
  </si>
  <si>
    <t>3 months deadline (exclusive)</t>
  </si>
  <si>
    <t>CE individual PTP</t>
  </si>
  <si>
    <t>new CAD or CAD progression 3 months</t>
  </si>
  <si>
    <t>new CAD or CAD progression 24 months</t>
  </si>
  <si>
    <t>test</t>
  </si>
  <si>
    <t>ED 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</si>
</sst>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00"/>
    <numFmt numFmtId="166" formatCode="yyyy\-mm\-dd\,\ hh:mm"/>
    <numFmt numFmtId="167" formatCode="[hh]:mm"/>
  </numFmts>
  <fonts count="9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8F2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0" borderId="1" xfId="0" applyBorder="1" applyAlignment="1">
      <alignment wrapText="1"/>
    </xf>
    <xf numFmtId="49" fontId="0" fillId="0" borderId="2" xfId="0" applyNumberFormat="1" applyBorder="1"/>
    <xf numFmtId="49" fontId="0" fillId="0" borderId="3" xfId="0" applyNumberFormat="1" applyBorder="1"/>
    <xf numFmtId="49" fontId="0" fillId="0" borderId="5" xfId="0" applyNumberFormat="1" applyBorder="1"/>
    <xf numFmtId="0" fontId="5" fillId="0" borderId="1" xfId="0" applyFont="1" applyBorder="1"/>
    <xf numFmtId="0" fontId="6" fillId="0" borderId="0" xfId="0" applyFont="1"/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0" fillId="0" borderId="9" xfId="0" applyBorder="1"/>
    <xf numFmtId="0" fontId="8" fillId="0" borderId="0" xfId="0" applyFont="1"/>
    <xf numFmtId="165" fontId="0" fillId="5" borderId="4" xfId="0" applyNumberFormat="1" applyFill="1" applyBorder="1" applyProtection="1">
      <protection locked="0"/>
    </xf>
    <xf numFmtId="164" fontId="0" fillId="5" borderId="6" xfId="0" applyNumberFormat="1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5" borderId="0" xfId="0" applyFill="1" applyProtection="1">
      <protection locked="0"/>
    </xf>
    <xf numFmtId="166" fontId="0" fillId="5" borderId="6" xfId="0" applyNumberFormat="1" applyFill="1" applyBorder="1" applyProtection="1">
      <protection locked="0"/>
    </xf>
    <xf numFmtId="166" fontId="4" fillId="5" borderId="6" xfId="0" applyNumberFormat="1" applyFont="1" applyFill="1" applyBorder="1" applyProtection="1">
      <protection locked="0"/>
    </xf>
    <xf numFmtId="167" fontId="0" fillId="2" borderId="6" xfId="0" applyNumberFormat="1" applyFill="1" applyBorder="1"/>
    <xf numFmtId="0" fontId="0" fillId="2" borderId="6" xfId="0" applyFill="1" applyBorder="1"/>
    <xf numFmtId="0" fontId="4" fillId="4" borderId="6" xfId="0" applyFont="1" applyFill="1" applyBorder="1" applyProtection="1">
      <protection locked="0"/>
    </xf>
    <xf numFmtId="0" fontId="4" fillId="5" borderId="4" xfId="0" applyFont="1" applyFill="1" applyBorder="1" applyProtection="1">
      <protection locked="0"/>
    </xf>
    <xf numFmtId="0" fontId="7" fillId="2" borderId="6" xfId="0" applyFont="1" applyFill="1" applyBorder="1"/>
    <xf numFmtId="10" fontId="0" fillId="2" borderId="6" xfId="0" applyNumberFormat="1" applyFill="1" applyBorder="1"/>
    <xf numFmtId="10" fontId="0" fillId="2" borderId="4" xfId="0" applyNumberFormat="1" applyFill="1" applyBorder="1"/>
    <xf numFmtId="164" fontId="0" fillId="2" borderId="6" xfId="0" applyNumberFormat="1" applyFill="1" applyBorder="1"/>
    <xf numFmtId="0" fontId="0" fillId="4" borderId="4" xfId="0" applyFill="1" applyBorder="1" applyProtection="1">
      <protection locked="0"/>
    </xf>
    <xf numFmtId="165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166" fontId="0" fillId="0" borderId="0" xfId="0" applyNumberFormat="1" applyProtection="1">
      <protection locked="0"/>
    </xf>
    <xf numFmtId="166" fontId="4" fillId="0" borderId="0" xfId="0" applyNumberFormat="1" applyFont="1" applyProtection="1">
      <protection locked="0"/>
    </xf>
    <xf numFmtId="167" fontId="0" fillId="0" borderId="0" xfId="0" applyNumberFormat="1"/>
    <xf numFmtId="1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0" fontId="7" fillId="0" borderId="0" xfId="0" applyFont="1"/>
    <xf numFmtId="10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 applyProtection="1">
      <protection locked="0"/>
    </xf>
    <xf numFmtId="0" fontId="5" fillId="0" borderId="0" xfId="0" applyFont="1"/>
    <xf numFmtId="0" fontId="5" fillId="0" borderId="3" xfId="0" applyFont="1" applyBorder="1"/>
    <xf numFmtId="0" fontId="0" fillId="5" borderId="6" xfId="0" applyFill="1" applyBorder="1"/>
    <xf numFmtId="0" fontId="0" fillId="5" borderId="10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Alignment="1" applyProtection="1">
      <alignment wrapText="1"/>
      <protection locked="0"/>
    </xf>
    <xf numFmtId="164" fontId="0" fillId="5" borderId="0" xfId="0" applyNumberFormat="1" applyFill="1" applyProtection="1">
      <protection locked="0"/>
    </xf>
    <xf numFmtId="0" fontId="0" fillId="2" borderId="0" xfId="0" applyFill="1"/>
    <xf numFmtId="1" fontId="0" fillId="5" borderId="0" xfId="0" applyNumberFormat="1" applyFill="1" applyProtection="1">
      <protection locked="0"/>
    </xf>
    <xf numFmtId="0" fontId="2" fillId="2" borderId="0" xfId="0" applyFont="1" applyFill="1"/>
    <xf numFmtId="0" fontId="4" fillId="2" borderId="0" xfId="0" applyFont="1" applyFill="1"/>
    <xf numFmtId="10" fontId="0" fillId="2" borderId="0" xfId="0" applyNumberFormat="1" applyFill="1"/>
    <xf numFmtId="0" fontId="5" fillId="3" borderId="0" xfId="0" applyFont="1" applyFill="1"/>
    <xf numFmtId="0" fontId="5" fillId="3" borderId="2" xfId="0" applyFont="1" applyFill="1" applyBorder="1"/>
    <xf numFmtId="17" fontId="0" fillId="0" borderId="0" xfId="0" applyNumberFormat="1" applyAlignment="1" applyProtection="1">
      <alignment wrapText="1"/>
      <protection locked="0"/>
    </xf>
    <xf numFmtId="9" fontId="0" fillId="0" borderId="0" xfId="0" applyNumberFormat="1"/>
    <xf numFmtId="17" fontId="0" fillId="0" borderId="0" xfId="0" applyNumberFormat="1" applyProtection="1">
      <protection locked="0"/>
    </xf>
    <xf numFmtId="0" fontId="0" fillId="0" borderId="6" xfId="0" applyBorder="1"/>
    <xf numFmtId="0" fontId="0" fillId="0" borderId="0" xfId="0"/>
    <xf numFmtId="0" fontId="0" fillId="0" borderId="1" xfId="0" applyBorder="1"/>
    <xf numFmtId="49" fontId="0" fillId="0" borderId="6" xfId="0" applyNumberFormat="1" applyBorder="1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F2FF"/>
      <color rgb="FFD5F2FF"/>
      <color rgb="FFC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R124"/>
  <sheetViews>
    <sheetView tabSelected="1" zoomScale="85" zoomScaleNormal="85" workbookViewId="0">
      <selection activeCell="C13" sqref="C13"/>
    </sheetView>
  </sheetViews>
  <sheetFormatPr baseColWidth="10" defaultColWidth="10.83203125" defaultRowHeight="16" x14ac:dyDescent="0.2"/>
  <cols>
    <col min="1" max="1" width="55.33203125" style="1" customWidth="1"/>
    <col min="2" max="2088" width="16.6640625" style="15" bestFit="1" customWidth="1"/>
    <col min="2089" max="16384" width="10.83203125" style="15"/>
  </cols>
  <sheetData>
    <row r="1" spans="1:2088" s="34" customFormat="1" x14ac:dyDescent="0.2">
      <c r="A1" s="2" t="s">
        <v>0</v>
      </c>
      <c r="B1" s="19" t="s">
        <v>199</v>
      </c>
    </row>
    <row r="2" spans="1:2088" x14ac:dyDescent="0.2">
      <c r="A2" s="1" t="s">
        <v>3</v>
      </c>
      <c r="B2" s="20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</row>
    <row r="3" spans="1:2088" x14ac:dyDescent="0.2">
      <c r="A3" s="1" t="s">
        <v>4</v>
      </c>
      <c r="B3" s="21"/>
    </row>
    <row r="4" spans="1:2088" x14ac:dyDescent="0.2">
      <c r="A4" s="1" t="s">
        <v>172</v>
      </c>
      <c r="B4" s="21"/>
    </row>
    <row r="5" spans="1:2088" x14ac:dyDescent="0.2">
      <c r="A5" s="1" t="s">
        <v>189</v>
      </c>
      <c r="B5" s="22"/>
    </row>
    <row r="6" spans="1:2088" x14ac:dyDescent="0.2">
      <c r="A6" s="1" t="s">
        <v>11</v>
      </c>
      <c r="B6" s="21"/>
    </row>
    <row r="7" spans="1:2088" x14ac:dyDescent="0.2">
      <c r="A7" s="1" t="s">
        <v>12</v>
      </c>
      <c r="B7" s="51"/>
    </row>
    <row r="8" spans="1:2088" x14ac:dyDescent="0.2">
      <c r="A8" s="1" t="s">
        <v>193</v>
      </c>
      <c r="B8" s="22"/>
    </row>
    <row r="9" spans="1:2088" s="36" customFormat="1" ht="15" customHeight="1" x14ac:dyDescent="0.2">
      <c r="A9" s="1" t="s">
        <v>14</v>
      </c>
      <c r="B9" s="52"/>
      <c r="DT9" s="61"/>
      <c r="GF9" s="61"/>
      <c r="HK9" s="37"/>
      <c r="HP9" s="61"/>
      <c r="IE9" s="61"/>
      <c r="IM9" s="61"/>
      <c r="IZ9" s="61"/>
    </row>
    <row r="10" spans="1:2088" x14ac:dyDescent="0.2">
      <c r="A10" s="1" t="s">
        <v>178</v>
      </c>
      <c r="B10" s="51"/>
    </row>
    <row r="11" spans="1:2088" x14ac:dyDescent="0.2">
      <c r="A11" s="1" t="s">
        <v>180</v>
      </c>
      <c r="B11" s="23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  <c r="AMM11" s="37"/>
      <c r="AMN11" s="37"/>
      <c r="AMO11" s="37"/>
      <c r="AMP11" s="37"/>
      <c r="AMQ11" s="37"/>
      <c r="AMR11" s="37"/>
      <c r="AMS11" s="37"/>
      <c r="AMT11" s="37"/>
      <c r="AMU11" s="37"/>
      <c r="AMV11" s="37"/>
      <c r="AMW11" s="37"/>
      <c r="AMX11" s="37"/>
      <c r="AMY11" s="37"/>
      <c r="AMZ11" s="37"/>
      <c r="ANA11" s="37"/>
      <c r="ANB11" s="37"/>
      <c r="ANC11" s="37"/>
      <c r="AND11" s="37"/>
      <c r="ANE11" s="37"/>
      <c r="ANF11" s="37"/>
      <c r="ANG11" s="37"/>
      <c r="ANH11" s="37"/>
      <c r="ANI11" s="37"/>
      <c r="ANJ11" s="37"/>
      <c r="ANK11" s="37"/>
      <c r="ANL11" s="37"/>
      <c r="ANM11" s="37"/>
      <c r="ANN11" s="37"/>
      <c r="ANO11" s="37"/>
      <c r="ANP11" s="37"/>
      <c r="ANQ11" s="37"/>
      <c r="ANR11" s="37"/>
      <c r="ANS11" s="37"/>
      <c r="ANT11" s="37"/>
      <c r="ANU11" s="37"/>
      <c r="ANV11" s="37"/>
      <c r="ANW11" s="37"/>
      <c r="ANX11" s="37"/>
      <c r="ANY11" s="37"/>
      <c r="ANZ11" s="37"/>
      <c r="AOA11" s="37"/>
      <c r="AOB11" s="37"/>
      <c r="AOC11" s="37"/>
      <c r="AOD11" s="37"/>
      <c r="AOE11" s="37"/>
      <c r="AOF11" s="37"/>
      <c r="AOG11" s="37"/>
      <c r="AOH11" s="37"/>
      <c r="AOI11" s="37"/>
      <c r="AOJ11" s="37"/>
      <c r="AOK11" s="37"/>
      <c r="AOL11" s="37"/>
      <c r="AOM11" s="37"/>
      <c r="AON11" s="37"/>
      <c r="AOO11" s="37"/>
      <c r="AOP11" s="37"/>
      <c r="AOQ11" s="37"/>
      <c r="AOR11" s="37"/>
      <c r="AOS11" s="37"/>
      <c r="AOT11" s="37"/>
      <c r="AOU11" s="37"/>
      <c r="AOV11" s="37"/>
      <c r="AOW11" s="37"/>
      <c r="AOX11" s="37"/>
      <c r="AOY11" s="37"/>
      <c r="AOZ11" s="37"/>
      <c r="APA11" s="37"/>
      <c r="APB11" s="37"/>
      <c r="APC11" s="37"/>
      <c r="APD11" s="37"/>
      <c r="APE11" s="37"/>
      <c r="APF11" s="37"/>
      <c r="APG11" s="37"/>
      <c r="APH11" s="37"/>
      <c r="API11" s="37"/>
      <c r="APJ11" s="37"/>
      <c r="APK11" s="37"/>
      <c r="APL11" s="37"/>
      <c r="APM11" s="37"/>
      <c r="APN11" s="37"/>
      <c r="APO11" s="37"/>
      <c r="APP11" s="37"/>
      <c r="APQ11" s="37"/>
      <c r="APR11" s="37"/>
      <c r="APS11" s="37"/>
      <c r="APT11" s="37"/>
      <c r="APU11" s="37"/>
      <c r="APV11" s="37"/>
      <c r="APW11" s="37"/>
      <c r="APX11" s="37"/>
      <c r="APY11" s="37"/>
      <c r="APZ11" s="37"/>
      <c r="AQA11" s="37"/>
      <c r="AQB11" s="37"/>
      <c r="AQC11" s="37"/>
      <c r="AQD11" s="37"/>
      <c r="AQE11" s="37"/>
      <c r="AQF11" s="37"/>
      <c r="AQG11" s="37"/>
      <c r="AQH11" s="37"/>
      <c r="AQI11" s="37"/>
      <c r="AQJ11" s="37"/>
      <c r="AQK11" s="37"/>
      <c r="AQL11" s="37"/>
      <c r="AQM11" s="37"/>
      <c r="AQN11" s="37"/>
      <c r="AQO11" s="37"/>
      <c r="AQP11" s="37"/>
      <c r="AQQ11" s="37"/>
      <c r="AQR11" s="37"/>
      <c r="AQS11" s="37"/>
      <c r="AQT11" s="37"/>
      <c r="AQU11" s="37"/>
      <c r="AQV11" s="37"/>
      <c r="AQW11" s="37"/>
      <c r="AQX11" s="37"/>
      <c r="AQY11" s="37"/>
      <c r="AQZ11" s="37"/>
      <c r="ARA11" s="37"/>
      <c r="ARB11" s="37"/>
      <c r="ARC11" s="37"/>
      <c r="ARD11" s="37"/>
      <c r="ARE11" s="37"/>
      <c r="ARF11" s="37"/>
      <c r="ARG11" s="37"/>
      <c r="ARH11" s="37"/>
      <c r="ARI11" s="37"/>
      <c r="ARJ11" s="37"/>
      <c r="ARK11" s="37"/>
      <c r="ARL11" s="37"/>
      <c r="ARM11" s="37"/>
      <c r="ARN11" s="37"/>
      <c r="ARO11" s="37"/>
      <c r="ARP11" s="37"/>
      <c r="ARQ11" s="37"/>
      <c r="ARR11" s="37"/>
      <c r="ARS11" s="37"/>
      <c r="ART11" s="37"/>
      <c r="ARU11" s="37"/>
      <c r="ARV11" s="37"/>
      <c r="ARW11" s="37"/>
      <c r="ARX11" s="37"/>
      <c r="ARY11" s="37"/>
      <c r="ARZ11" s="37"/>
      <c r="ASA11" s="37"/>
      <c r="ASB11" s="37"/>
      <c r="ASC11" s="37"/>
      <c r="ASD11" s="37"/>
      <c r="ASE11" s="37"/>
      <c r="ASF11" s="37"/>
      <c r="ASG11" s="37"/>
      <c r="ASH11" s="37"/>
      <c r="ASI11" s="37"/>
      <c r="ASJ11" s="37"/>
      <c r="ASK11" s="37"/>
      <c r="ASL11" s="37"/>
      <c r="ASM11" s="37"/>
      <c r="ASN11" s="37"/>
      <c r="ASO11" s="37"/>
      <c r="ASP11" s="37"/>
      <c r="ASQ11" s="37"/>
      <c r="ASR11" s="37"/>
      <c r="ASS11" s="37"/>
      <c r="AST11" s="37"/>
      <c r="ASU11" s="37"/>
      <c r="ASV11" s="37"/>
      <c r="ASW11" s="37"/>
      <c r="ASX11" s="37"/>
      <c r="ASY11" s="37"/>
      <c r="ASZ11" s="37"/>
      <c r="ATA11" s="37"/>
      <c r="ATB11" s="37"/>
      <c r="ATC11" s="37"/>
      <c r="ATD11" s="37"/>
      <c r="ATE11" s="37"/>
      <c r="ATF11" s="37"/>
      <c r="ATG11" s="37"/>
      <c r="ATH11" s="37"/>
      <c r="ATI11" s="37"/>
      <c r="ATJ11" s="37"/>
      <c r="ATK11" s="37"/>
      <c r="ATL11" s="37"/>
      <c r="ATM11" s="37"/>
      <c r="ATN11" s="37"/>
      <c r="ATO11" s="37"/>
      <c r="ATP11" s="37"/>
      <c r="ATQ11" s="37"/>
      <c r="ATR11" s="37"/>
      <c r="ATS11" s="37"/>
      <c r="ATT11" s="37"/>
      <c r="ATU11" s="37"/>
      <c r="ATV11" s="37"/>
      <c r="ATW11" s="37"/>
      <c r="ATX11" s="37"/>
      <c r="ATY11" s="37"/>
      <c r="ATZ11" s="37"/>
      <c r="AUA11" s="37"/>
      <c r="AUB11" s="37"/>
      <c r="AUC11" s="37"/>
      <c r="AUD11" s="37"/>
      <c r="AUE11" s="37"/>
      <c r="AUF11" s="37"/>
      <c r="AUG11" s="37"/>
      <c r="AUH11" s="37"/>
      <c r="AUI11" s="37"/>
      <c r="AUJ11" s="37"/>
      <c r="AUK11" s="37"/>
      <c r="AUL11" s="37"/>
      <c r="AUM11" s="37"/>
      <c r="AUN11" s="37"/>
      <c r="AUO11" s="37"/>
      <c r="AUP11" s="37"/>
      <c r="AUQ11" s="37"/>
      <c r="AUR11" s="37"/>
      <c r="AUS11" s="37"/>
      <c r="AUT11" s="37"/>
      <c r="AUU11" s="37"/>
      <c r="AUV11" s="37"/>
      <c r="AUW11" s="37"/>
      <c r="AUX11" s="37"/>
      <c r="AUY11" s="37"/>
      <c r="AUZ11" s="37"/>
      <c r="AVA11" s="37"/>
      <c r="AVB11" s="37"/>
      <c r="AVC11" s="37"/>
      <c r="AVD11" s="37"/>
      <c r="AVE11" s="37"/>
      <c r="AVF11" s="37"/>
      <c r="AVG11" s="37"/>
      <c r="AVH11" s="37"/>
      <c r="AVI11" s="37"/>
      <c r="AVJ11" s="37"/>
      <c r="AVK11" s="37"/>
      <c r="AVL11" s="37"/>
      <c r="AVM11" s="37"/>
      <c r="AVN11" s="37"/>
      <c r="AVO11" s="37"/>
      <c r="AVP11" s="37"/>
      <c r="AVQ11" s="37"/>
      <c r="AVR11" s="37"/>
      <c r="AVS11" s="37"/>
      <c r="AVT11" s="37"/>
      <c r="AVU11" s="37"/>
      <c r="AVV11" s="37"/>
      <c r="AVW11" s="37"/>
      <c r="AVX11" s="37"/>
      <c r="AVY11" s="37"/>
      <c r="AVZ11" s="37"/>
      <c r="AWA11" s="37"/>
      <c r="AWB11" s="37"/>
      <c r="AWC11" s="37"/>
      <c r="AWD11" s="37"/>
      <c r="AWE11" s="37"/>
      <c r="AWF11" s="37"/>
      <c r="AWG11" s="37"/>
      <c r="AWH11" s="37"/>
      <c r="AWI11" s="37"/>
      <c r="AWJ11" s="37"/>
      <c r="AWK11" s="37"/>
      <c r="AWL11" s="37"/>
      <c r="AWM11" s="37"/>
      <c r="AWN11" s="37"/>
      <c r="AWO11" s="37"/>
      <c r="AWP11" s="37"/>
      <c r="AWQ11" s="37"/>
      <c r="AWR11" s="37"/>
      <c r="AWS11" s="37"/>
      <c r="AWT11" s="37"/>
      <c r="AWU11" s="37"/>
      <c r="AWV11" s="37"/>
      <c r="AWW11" s="37"/>
      <c r="AWX11" s="37"/>
      <c r="AWY11" s="37"/>
      <c r="AWZ11" s="37"/>
      <c r="AXA11" s="37"/>
      <c r="AXB11" s="37"/>
      <c r="AXC11" s="37"/>
      <c r="AXD11" s="37"/>
      <c r="AXE11" s="37"/>
      <c r="AXF11" s="37"/>
      <c r="AXG11" s="37"/>
      <c r="AXH11" s="37"/>
      <c r="AXI11" s="37"/>
      <c r="AXJ11" s="37"/>
      <c r="AXK11" s="37"/>
      <c r="AXL11" s="37"/>
      <c r="AXM11" s="37"/>
      <c r="AXN11" s="37"/>
      <c r="AXO11" s="37"/>
      <c r="AXP11" s="37"/>
      <c r="AXQ11" s="37"/>
      <c r="AXR11" s="37"/>
      <c r="AXS11" s="37"/>
      <c r="AXT11" s="37"/>
      <c r="AXU11" s="37"/>
      <c r="AXV11" s="37"/>
      <c r="AXW11" s="37"/>
      <c r="AXX11" s="37"/>
      <c r="AXY11" s="37"/>
      <c r="AXZ11" s="37"/>
      <c r="AYA11" s="37"/>
      <c r="AYB11" s="37"/>
      <c r="AYC11" s="37"/>
      <c r="AYD11" s="37"/>
      <c r="AYE11" s="37"/>
      <c r="AYF11" s="37"/>
      <c r="AYG11" s="37"/>
      <c r="AYH11" s="37"/>
      <c r="AYI11" s="37"/>
      <c r="AYJ11" s="37"/>
      <c r="AYK11" s="37"/>
      <c r="AYL11" s="37"/>
      <c r="AYM11" s="37"/>
      <c r="AYN11" s="37"/>
      <c r="AYO11" s="37"/>
      <c r="AYP11" s="37"/>
      <c r="AYQ11" s="37"/>
      <c r="AYR11" s="37"/>
      <c r="AYS11" s="37"/>
      <c r="AYT11" s="37"/>
      <c r="AYU11" s="37"/>
      <c r="AYV11" s="37"/>
      <c r="AYW11" s="37"/>
      <c r="AYX11" s="37"/>
      <c r="AYY11" s="37"/>
      <c r="AYZ11" s="37"/>
      <c r="AZA11" s="37"/>
      <c r="AZB11" s="37"/>
      <c r="AZC11" s="37"/>
      <c r="AZD11" s="37"/>
      <c r="AZE11" s="37"/>
      <c r="AZF11" s="37"/>
      <c r="AZG11" s="37"/>
      <c r="AZH11" s="37"/>
      <c r="AZI11" s="37"/>
      <c r="AZJ11" s="37"/>
      <c r="AZK11" s="37"/>
      <c r="AZL11" s="37"/>
      <c r="AZM11" s="37"/>
      <c r="AZN11" s="37"/>
      <c r="AZO11" s="37"/>
      <c r="AZP11" s="37"/>
      <c r="AZQ11" s="37"/>
      <c r="AZR11" s="37"/>
      <c r="AZS11" s="37"/>
      <c r="AZT11" s="37"/>
      <c r="AZU11" s="37"/>
      <c r="AZV11" s="37"/>
      <c r="AZW11" s="37"/>
      <c r="AZX11" s="37"/>
      <c r="AZY11" s="37"/>
      <c r="AZZ11" s="37"/>
      <c r="BAA11" s="37"/>
      <c r="BAB11" s="37"/>
      <c r="BAC11" s="37"/>
      <c r="BAD11" s="37"/>
      <c r="BAE11" s="37"/>
      <c r="BAF11" s="37"/>
      <c r="BAG11" s="37"/>
      <c r="BAH11" s="37"/>
      <c r="BAI11" s="37"/>
      <c r="BAJ11" s="37"/>
      <c r="BAK11" s="37"/>
      <c r="BAL11" s="37"/>
      <c r="BAM11" s="37"/>
      <c r="BAN11" s="37"/>
      <c r="BAO11" s="37"/>
      <c r="BAP11" s="37"/>
      <c r="BAQ11" s="37"/>
      <c r="BAR11" s="37"/>
      <c r="BAS11" s="37"/>
      <c r="BAT11" s="37"/>
      <c r="BAU11" s="37"/>
      <c r="BAV11" s="37"/>
      <c r="BAW11" s="37"/>
      <c r="BAX11" s="37"/>
      <c r="BAY11" s="37"/>
      <c r="BAZ11" s="37"/>
      <c r="BBA11" s="37"/>
      <c r="BBB11" s="37"/>
      <c r="BBC11" s="37"/>
      <c r="BBD11" s="37"/>
      <c r="BBE11" s="37"/>
      <c r="BBF11" s="37"/>
      <c r="BBG11" s="37"/>
      <c r="BBH11" s="37"/>
      <c r="BBI11" s="37"/>
      <c r="BBJ11" s="37"/>
      <c r="BBK11" s="37"/>
      <c r="BBL11" s="37"/>
      <c r="BBM11" s="37"/>
      <c r="BBN11" s="37"/>
      <c r="BBO11" s="37"/>
      <c r="BBP11" s="37"/>
      <c r="BBQ11" s="37"/>
      <c r="BBR11" s="37"/>
      <c r="BBS11" s="37"/>
      <c r="BBT11" s="37"/>
      <c r="BBU11" s="37"/>
      <c r="BBV11" s="37"/>
      <c r="BBW11" s="37"/>
      <c r="BBX11" s="37"/>
      <c r="BBY11" s="37"/>
      <c r="BBZ11" s="37"/>
      <c r="BCA11" s="37"/>
      <c r="BCB11" s="37"/>
      <c r="BCC11" s="37"/>
      <c r="BCD11" s="37"/>
      <c r="BCE11" s="37"/>
      <c r="BCF11" s="37"/>
      <c r="BCG11" s="37"/>
      <c r="BCH11" s="37"/>
      <c r="BCI11" s="37"/>
      <c r="BCJ11" s="37"/>
      <c r="BCK11" s="37"/>
      <c r="BCL11" s="37"/>
      <c r="BCM11" s="37"/>
      <c r="BCN11" s="37"/>
      <c r="BCO11" s="37"/>
      <c r="BCP11" s="37"/>
      <c r="BCQ11" s="37"/>
      <c r="BCR11" s="37"/>
      <c r="BCS11" s="37"/>
      <c r="BCT11" s="37"/>
      <c r="BCU11" s="37"/>
      <c r="BCV11" s="37"/>
      <c r="BCW11" s="37"/>
      <c r="BCX11" s="37"/>
      <c r="BCY11" s="37"/>
      <c r="BCZ11" s="37"/>
      <c r="BDA11" s="37"/>
      <c r="BDB11" s="37"/>
      <c r="BDC11" s="37"/>
      <c r="BDD11" s="37"/>
      <c r="BDE11" s="37"/>
      <c r="BDF11" s="37"/>
      <c r="BDG11" s="37"/>
      <c r="BDH11" s="37"/>
      <c r="BDI11" s="37"/>
      <c r="BDJ11" s="37"/>
      <c r="BDK11" s="37"/>
      <c r="BDL11" s="37"/>
      <c r="BDM11" s="37"/>
      <c r="BDN11" s="37"/>
      <c r="BDO11" s="37"/>
      <c r="BDP11" s="37"/>
      <c r="BDQ11" s="37"/>
      <c r="BDR11" s="37"/>
      <c r="BDS11" s="37"/>
      <c r="BDT11" s="37"/>
      <c r="BDU11" s="37"/>
      <c r="BDV11" s="37"/>
      <c r="BDW11" s="37"/>
      <c r="BDX11" s="37"/>
      <c r="BDY11" s="37"/>
      <c r="BDZ11" s="37"/>
      <c r="BEA11" s="37"/>
      <c r="BEB11" s="37"/>
      <c r="BEC11" s="37"/>
      <c r="BED11" s="37"/>
      <c r="BEE11" s="37"/>
      <c r="BEF11" s="37"/>
      <c r="BEG11" s="37"/>
      <c r="BEH11" s="37"/>
      <c r="BEI11" s="37"/>
      <c r="BEJ11" s="37"/>
      <c r="BEK11" s="37"/>
      <c r="BEL11" s="37"/>
      <c r="BEM11" s="37"/>
      <c r="BEN11" s="37"/>
      <c r="BEO11" s="37"/>
      <c r="BEP11" s="37"/>
      <c r="BEQ11" s="37"/>
      <c r="BER11" s="37"/>
      <c r="BES11" s="37"/>
      <c r="BET11" s="37"/>
      <c r="BEU11" s="37"/>
      <c r="BEV11" s="37"/>
      <c r="BEW11" s="37"/>
      <c r="BEX11" s="37"/>
      <c r="BEY11" s="37"/>
      <c r="BEZ11" s="37"/>
      <c r="BFA11" s="37"/>
      <c r="BFB11" s="37"/>
      <c r="BFC11" s="37"/>
      <c r="BFD11" s="37"/>
      <c r="BFE11" s="37"/>
      <c r="BFF11" s="37"/>
      <c r="BFG11" s="37"/>
      <c r="BFH11" s="37"/>
      <c r="BFI11" s="37"/>
      <c r="BFJ11" s="37"/>
      <c r="BFK11" s="37"/>
      <c r="BFL11" s="37"/>
      <c r="BFM11" s="37"/>
      <c r="BFN11" s="37"/>
      <c r="BFO11" s="37"/>
      <c r="BFP11" s="37"/>
      <c r="BFQ11" s="37"/>
      <c r="BFR11" s="37"/>
      <c r="BFS11" s="37"/>
      <c r="BFT11" s="37"/>
      <c r="BFU11" s="37"/>
      <c r="BFV11" s="37"/>
      <c r="BFW11" s="37"/>
      <c r="BFX11" s="37"/>
      <c r="BFY11" s="37"/>
      <c r="BFZ11" s="37"/>
      <c r="BGA11" s="37"/>
      <c r="BGB11" s="37"/>
      <c r="BGC11" s="37"/>
      <c r="BGD11" s="37"/>
      <c r="BGE11" s="37"/>
      <c r="BGF11" s="37"/>
      <c r="BGG11" s="37"/>
      <c r="BGH11" s="37"/>
      <c r="BGI11" s="37"/>
      <c r="BGJ11" s="37"/>
      <c r="BGK11" s="37"/>
      <c r="BGL11" s="37"/>
      <c r="BGM11" s="37"/>
      <c r="BGN11" s="37"/>
      <c r="BGO11" s="37"/>
      <c r="BGP11" s="37"/>
      <c r="BGQ11" s="37"/>
      <c r="BGR11" s="37"/>
      <c r="BGS11" s="37"/>
      <c r="BGT11" s="37"/>
      <c r="BGU11" s="37"/>
      <c r="BGV11" s="37"/>
      <c r="BGW11" s="37"/>
      <c r="BGX11" s="37"/>
      <c r="BGY11" s="37"/>
      <c r="BGZ11" s="37"/>
      <c r="BHA11" s="37"/>
      <c r="BHB11" s="37"/>
      <c r="BHC11" s="37"/>
      <c r="BHD11" s="37"/>
      <c r="BHE11" s="37"/>
      <c r="BHF11" s="37"/>
      <c r="BHG11" s="37"/>
      <c r="BHH11" s="37"/>
      <c r="BHI11" s="37"/>
      <c r="BHJ11" s="37"/>
      <c r="BHK11" s="37"/>
      <c r="BHL11" s="37"/>
      <c r="BHM11" s="37"/>
      <c r="BHN11" s="37"/>
      <c r="BHO11" s="37"/>
      <c r="BHP11" s="37"/>
      <c r="BHQ11" s="37"/>
      <c r="BHR11" s="37"/>
      <c r="BHS11" s="37"/>
      <c r="BHT11" s="37"/>
      <c r="BHU11" s="37"/>
      <c r="BHV11" s="37"/>
      <c r="BHW11" s="37"/>
      <c r="BHX11" s="37"/>
      <c r="BHY11" s="37"/>
      <c r="BHZ11" s="37"/>
      <c r="BIA11" s="37"/>
      <c r="BIB11" s="37"/>
      <c r="BIC11" s="37"/>
      <c r="BID11" s="37"/>
      <c r="BIE11" s="37"/>
      <c r="BIF11" s="37"/>
      <c r="BIG11" s="37"/>
      <c r="BIH11" s="37"/>
      <c r="BII11" s="37"/>
      <c r="BIJ11" s="37"/>
      <c r="BIK11" s="37"/>
      <c r="BIL11" s="37"/>
      <c r="BIM11" s="37"/>
      <c r="BIN11" s="37"/>
      <c r="BIO11" s="37"/>
      <c r="BIP11" s="37"/>
      <c r="BIQ11" s="37"/>
      <c r="BIR11" s="37"/>
      <c r="BIS11" s="37"/>
      <c r="BIT11" s="37"/>
      <c r="BIU11" s="37"/>
      <c r="BIV11" s="37"/>
      <c r="BIW11" s="37"/>
      <c r="BIX11" s="37"/>
      <c r="BIY11" s="37"/>
      <c r="BIZ11" s="37"/>
      <c r="BJA11" s="37"/>
      <c r="BJB11" s="37"/>
      <c r="BJC11" s="37"/>
      <c r="BJD11" s="37"/>
      <c r="BJE11" s="37"/>
      <c r="BJF11" s="37"/>
      <c r="BJG11" s="37"/>
      <c r="BJH11" s="37"/>
      <c r="BJI11" s="37"/>
      <c r="BJJ11" s="37"/>
      <c r="BJK11" s="37"/>
      <c r="BJL11" s="37"/>
      <c r="BJM11" s="37"/>
      <c r="BJN11" s="37"/>
      <c r="BJO11" s="37"/>
      <c r="BJP11" s="37"/>
      <c r="BJQ11" s="37"/>
      <c r="BJR11" s="37"/>
      <c r="BJS11" s="37"/>
      <c r="BJT11" s="37"/>
      <c r="BJU11" s="37"/>
      <c r="BJV11" s="37"/>
      <c r="BJW11" s="37"/>
      <c r="BJX11" s="37"/>
      <c r="BJY11" s="37"/>
      <c r="BJZ11" s="37"/>
      <c r="BKA11" s="37"/>
      <c r="BKB11" s="37"/>
      <c r="BKC11" s="37"/>
      <c r="BKD11" s="37"/>
      <c r="BKE11" s="37"/>
      <c r="BKF11" s="37"/>
      <c r="BKG11" s="37"/>
      <c r="BKH11" s="37"/>
      <c r="BKI11" s="37"/>
      <c r="BKJ11" s="37"/>
      <c r="BKK11" s="37"/>
      <c r="BKL11" s="37"/>
      <c r="BKM11" s="37"/>
      <c r="BKN11" s="37"/>
      <c r="BKO11" s="37"/>
      <c r="BKP11" s="37"/>
      <c r="BKQ11" s="37"/>
      <c r="BKR11" s="37"/>
      <c r="BKS11" s="37"/>
      <c r="BKT11" s="37"/>
      <c r="BKU11" s="37"/>
      <c r="BKV11" s="37"/>
      <c r="BKW11" s="37"/>
      <c r="BKX11" s="37"/>
      <c r="BKY11" s="37"/>
      <c r="BKZ11" s="37"/>
      <c r="BLA11" s="37"/>
      <c r="BLB11" s="37"/>
      <c r="BLC11" s="37"/>
      <c r="BLD11" s="37"/>
      <c r="BLE11" s="37"/>
      <c r="BLF11" s="37"/>
      <c r="BLG11" s="37"/>
      <c r="BLH11" s="37"/>
      <c r="BLI11" s="37"/>
      <c r="BLJ11" s="37"/>
      <c r="BLK11" s="37"/>
      <c r="BLL11" s="37"/>
      <c r="BLM11" s="37"/>
      <c r="BLN11" s="37"/>
      <c r="BLO11" s="37"/>
      <c r="BLP11" s="37"/>
      <c r="BLQ11" s="37"/>
      <c r="BLR11" s="37"/>
      <c r="BLS11" s="37"/>
      <c r="BLT11" s="37"/>
      <c r="BLU11" s="37"/>
      <c r="BLV11" s="37"/>
      <c r="BLW11" s="37"/>
      <c r="BLX11" s="37"/>
      <c r="BLY11" s="37"/>
      <c r="BLZ11" s="37"/>
      <c r="BMA11" s="37"/>
      <c r="BMB11" s="37"/>
      <c r="BMC11" s="37"/>
      <c r="BMD11" s="37"/>
      <c r="BME11" s="37"/>
      <c r="BMF11" s="37"/>
      <c r="BMG11" s="37"/>
      <c r="BMH11" s="37"/>
      <c r="BMI11" s="37"/>
      <c r="BMJ11" s="37"/>
      <c r="BMK11" s="37"/>
      <c r="BML11" s="37"/>
      <c r="BMM11" s="37"/>
      <c r="BMN11" s="37"/>
      <c r="BMO11" s="37"/>
      <c r="BMP11" s="37"/>
      <c r="BMQ11" s="37"/>
      <c r="BMR11" s="37"/>
      <c r="BMS11" s="37"/>
      <c r="BMT11" s="37"/>
      <c r="BMU11" s="37"/>
      <c r="BMV11" s="37"/>
      <c r="BMW11" s="37"/>
      <c r="BMX11" s="37"/>
      <c r="BMY11" s="37"/>
      <c r="BMZ11" s="37"/>
      <c r="BNA11" s="37"/>
      <c r="BNB11" s="37"/>
      <c r="BNC11" s="37"/>
      <c r="BND11" s="37"/>
      <c r="BNE11" s="37"/>
      <c r="BNF11" s="37"/>
      <c r="BNG11" s="37"/>
      <c r="BNH11" s="37"/>
      <c r="BNI11" s="37"/>
      <c r="BNJ11" s="37"/>
      <c r="BNK11" s="37"/>
      <c r="BNL11" s="37"/>
      <c r="BNM11" s="37"/>
      <c r="BNN11" s="37"/>
      <c r="BNO11" s="37"/>
      <c r="BNP11" s="37"/>
      <c r="BNQ11" s="37"/>
      <c r="BNR11" s="37"/>
      <c r="BNS11" s="37"/>
      <c r="BNT11" s="37"/>
      <c r="BNU11" s="37"/>
      <c r="BNV11" s="37"/>
      <c r="BNW11" s="37"/>
      <c r="BNX11" s="37"/>
      <c r="BNY11" s="37"/>
      <c r="BNZ11" s="37"/>
      <c r="BOA11" s="37"/>
      <c r="BOB11" s="37"/>
      <c r="BOC11" s="37"/>
      <c r="BOD11" s="37"/>
      <c r="BOE11" s="37"/>
      <c r="BOF11" s="37"/>
      <c r="BOG11" s="37"/>
      <c r="BOH11" s="37"/>
      <c r="BOI11" s="37"/>
      <c r="BOJ11" s="37"/>
      <c r="BOK11" s="37"/>
      <c r="BOL11" s="37"/>
      <c r="BOM11" s="37"/>
      <c r="BON11" s="37"/>
      <c r="BOO11" s="37"/>
      <c r="BOP11" s="37"/>
      <c r="BOQ11" s="37"/>
      <c r="BOR11" s="37"/>
      <c r="BOS11" s="37"/>
      <c r="BOT11" s="37"/>
      <c r="BOU11" s="37"/>
      <c r="BOV11" s="37"/>
      <c r="BOW11" s="37"/>
      <c r="BOX11" s="37"/>
      <c r="BOY11" s="37"/>
      <c r="BOZ11" s="37"/>
      <c r="BPA11" s="37"/>
      <c r="BPB11" s="37"/>
      <c r="BPC11" s="37"/>
      <c r="BPD11" s="37"/>
      <c r="BPE11" s="37"/>
      <c r="BPF11" s="37"/>
      <c r="BPG11" s="37"/>
      <c r="BPH11" s="37"/>
      <c r="BPI11" s="37"/>
      <c r="BPJ11" s="37"/>
      <c r="BPK11" s="37"/>
      <c r="BPL11" s="37"/>
      <c r="BPM11" s="37"/>
      <c r="BPN11" s="37"/>
      <c r="BPO11" s="37"/>
      <c r="BPP11" s="37"/>
      <c r="BPQ11" s="37"/>
      <c r="BPR11" s="37"/>
      <c r="BPS11" s="37"/>
      <c r="BPT11" s="37"/>
      <c r="BPU11" s="37"/>
      <c r="BPV11" s="37"/>
      <c r="BPW11" s="37"/>
      <c r="BPX11" s="37"/>
      <c r="BPY11" s="37"/>
      <c r="BPZ11" s="37"/>
      <c r="BQA11" s="37"/>
      <c r="BQB11" s="37"/>
      <c r="BQC11" s="37"/>
      <c r="BQD11" s="37"/>
      <c r="BQE11" s="37"/>
      <c r="BQF11" s="37"/>
      <c r="BQG11" s="37"/>
      <c r="BQH11" s="37"/>
      <c r="BQI11" s="37"/>
      <c r="BQJ11" s="37"/>
      <c r="BQK11" s="37"/>
      <c r="BQL11" s="37"/>
      <c r="BQM11" s="37"/>
      <c r="BQN11" s="37"/>
      <c r="BQO11" s="37"/>
      <c r="BQP11" s="37"/>
      <c r="BQQ11" s="37"/>
      <c r="BQR11" s="37"/>
      <c r="BQS11" s="37"/>
      <c r="BQT11" s="37"/>
      <c r="BQU11" s="37"/>
      <c r="BQV11" s="37"/>
      <c r="BQW11" s="37"/>
      <c r="BQX11" s="37"/>
      <c r="BQY11" s="37"/>
      <c r="BQZ11" s="37"/>
      <c r="BRA11" s="37"/>
      <c r="BRB11" s="37"/>
      <c r="BRC11" s="37"/>
      <c r="BRD11" s="37"/>
      <c r="BRE11" s="37"/>
      <c r="BRF11" s="37"/>
      <c r="BRG11" s="37"/>
      <c r="BRH11" s="37"/>
      <c r="BRI11" s="37"/>
      <c r="BRJ11" s="37"/>
      <c r="BRK11" s="37"/>
      <c r="BRL11" s="37"/>
      <c r="BRM11" s="37"/>
      <c r="BRN11" s="37"/>
      <c r="BRO11" s="37"/>
      <c r="BRP11" s="37"/>
      <c r="BRQ11" s="37"/>
      <c r="BRR11" s="37"/>
      <c r="BRS11" s="37"/>
      <c r="BRT11" s="37"/>
      <c r="BRU11" s="37"/>
      <c r="BRV11" s="37"/>
      <c r="BRW11" s="37"/>
      <c r="BRX11" s="37"/>
      <c r="BRY11" s="37"/>
      <c r="BRZ11" s="37"/>
      <c r="BSA11" s="37"/>
      <c r="BSB11" s="37"/>
      <c r="BSC11" s="37"/>
      <c r="BSD11" s="37"/>
      <c r="BSE11" s="37"/>
      <c r="BSF11" s="37"/>
      <c r="BSG11" s="37"/>
      <c r="BSH11" s="37"/>
      <c r="BSI11" s="37"/>
      <c r="BSJ11" s="37"/>
      <c r="BSK11" s="37"/>
      <c r="BSL11" s="37"/>
      <c r="BSM11" s="37"/>
      <c r="BSN11" s="37"/>
      <c r="BSO11" s="37"/>
      <c r="BSP11" s="37"/>
      <c r="BSQ11" s="37"/>
      <c r="BSR11" s="37"/>
      <c r="BSS11" s="37"/>
      <c r="BST11" s="37"/>
      <c r="BSU11" s="37"/>
      <c r="BSV11" s="37"/>
      <c r="BSW11" s="37"/>
      <c r="BSX11" s="37"/>
      <c r="BSY11" s="37"/>
      <c r="BSZ11" s="37"/>
      <c r="BTA11" s="37"/>
      <c r="BTB11" s="37"/>
      <c r="BTC11" s="37"/>
      <c r="BTD11" s="37"/>
      <c r="BTE11" s="37"/>
      <c r="BTF11" s="37"/>
      <c r="BTG11" s="37"/>
      <c r="BTH11" s="37"/>
      <c r="BTI11" s="37"/>
      <c r="BTJ11" s="37"/>
      <c r="BTK11" s="37"/>
      <c r="BTL11" s="37"/>
      <c r="BTM11" s="37"/>
      <c r="BTN11" s="37"/>
      <c r="BTO11" s="37"/>
      <c r="BTP11" s="37"/>
      <c r="BTQ11" s="37"/>
      <c r="BTR11" s="37"/>
      <c r="BTS11" s="37"/>
      <c r="BTT11" s="37"/>
      <c r="BTU11" s="37"/>
      <c r="BTV11" s="37"/>
      <c r="BTW11" s="37"/>
      <c r="BTX11" s="37"/>
      <c r="BTY11" s="37"/>
      <c r="BTZ11" s="37"/>
      <c r="BUA11" s="37"/>
      <c r="BUB11" s="37"/>
      <c r="BUC11" s="37"/>
      <c r="BUD11" s="37"/>
      <c r="BUE11" s="37"/>
      <c r="BUF11" s="37"/>
      <c r="BUG11" s="37"/>
      <c r="BUH11" s="37"/>
      <c r="BUI11" s="37"/>
      <c r="BUJ11" s="37"/>
      <c r="BUK11" s="37"/>
      <c r="BUL11" s="37"/>
      <c r="BUM11" s="37"/>
      <c r="BUN11" s="37"/>
      <c r="BUO11" s="37"/>
      <c r="BUP11" s="37"/>
      <c r="BUQ11" s="37"/>
      <c r="BUR11" s="37"/>
      <c r="BUS11" s="37"/>
      <c r="BUT11" s="37"/>
      <c r="BUU11" s="37"/>
      <c r="BUV11" s="37"/>
      <c r="BUW11" s="37"/>
      <c r="BUX11" s="37"/>
      <c r="BUY11" s="37"/>
      <c r="BUZ11" s="37"/>
      <c r="BVA11" s="37"/>
      <c r="BVB11" s="37"/>
      <c r="BVC11" s="37"/>
      <c r="BVD11" s="37"/>
      <c r="BVE11" s="37"/>
      <c r="BVF11" s="37"/>
      <c r="BVG11" s="37"/>
      <c r="BVH11" s="37"/>
      <c r="BVI11" s="37"/>
      <c r="BVJ11" s="37"/>
      <c r="BVK11" s="37"/>
      <c r="BVL11" s="37"/>
      <c r="BVM11" s="37"/>
      <c r="BVN11" s="37"/>
      <c r="BVO11" s="37"/>
      <c r="BVP11" s="37"/>
      <c r="BVQ11" s="37"/>
      <c r="BVR11" s="37"/>
      <c r="BVS11" s="37"/>
      <c r="BVT11" s="37"/>
      <c r="BVU11" s="37"/>
      <c r="BVV11" s="37"/>
      <c r="BVW11" s="37"/>
      <c r="BVX11" s="37"/>
      <c r="BVY11" s="37"/>
      <c r="BVZ11" s="37"/>
      <c r="BWA11" s="37"/>
      <c r="BWB11" s="37"/>
      <c r="BWC11" s="37"/>
      <c r="BWD11" s="37"/>
      <c r="BWE11" s="37"/>
      <c r="BWF11" s="37"/>
      <c r="BWG11" s="37"/>
      <c r="BWH11" s="37"/>
      <c r="BWI11" s="37"/>
      <c r="BWJ11" s="37"/>
      <c r="BWK11" s="37"/>
      <c r="BWL11" s="37"/>
      <c r="BWM11" s="37"/>
      <c r="BWN11" s="37"/>
      <c r="BWO11" s="37"/>
      <c r="BWP11" s="37"/>
      <c r="BWQ11" s="37"/>
      <c r="BWR11" s="37"/>
      <c r="BWS11" s="37"/>
      <c r="BWT11" s="37"/>
      <c r="BWU11" s="37"/>
      <c r="BWV11" s="37"/>
      <c r="BWW11" s="37"/>
      <c r="BWX11" s="37"/>
      <c r="BWY11" s="37"/>
      <c r="BWZ11" s="37"/>
      <c r="BXA11" s="37"/>
      <c r="BXB11" s="37"/>
      <c r="BXC11" s="37"/>
      <c r="BXD11" s="37"/>
      <c r="BXE11" s="37"/>
      <c r="BXF11" s="37"/>
      <c r="BXG11" s="37"/>
      <c r="BXH11" s="37"/>
      <c r="BXI11" s="37"/>
      <c r="BXJ11" s="37"/>
      <c r="BXK11" s="37"/>
      <c r="BXL11" s="37"/>
      <c r="BXM11" s="37"/>
      <c r="BXN11" s="37"/>
      <c r="BXO11" s="37"/>
      <c r="BXP11" s="37"/>
      <c r="BXQ11" s="37"/>
      <c r="BXR11" s="37"/>
      <c r="BXS11" s="37"/>
      <c r="BXT11" s="37"/>
      <c r="BXU11" s="37"/>
      <c r="BXV11" s="37"/>
      <c r="BXW11" s="37"/>
      <c r="BXX11" s="37"/>
      <c r="BXY11" s="37"/>
      <c r="BXZ11" s="37"/>
      <c r="BYA11" s="37"/>
      <c r="BYB11" s="37"/>
      <c r="BYC11" s="37"/>
      <c r="BYD11" s="37"/>
      <c r="BYE11" s="37"/>
      <c r="BYF11" s="37"/>
      <c r="BYG11" s="37"/>
      <c r="BYH11" s="37"/>
      <c r="BYI11" s="37"/>
      <c r="BYJ11" s="37"/>
      <c r="BYK11" s="37"/>
      <c r="BYL11" s="37"/>
      <c r="BYM11" s="37"/>
      <c r="BYN11" s="37"/>
      <c r="BYO11" s="37"/>
      <c r="BYP11" s="37"/>
      <c r="BYQ11" s="37"/>
      <c r="BYR11" s="37"/>
      <c r="BYS11" s="37"/>
      <c r="BYT11" s="37"/>
      <c r="BYU11" s="37"/>
      <c r="BYV11" s="37"/>
      <c r="BYW11" s="37"/>
      <c r="BYX11" s="37"/>
      <c r="BYY11" s="37"/>
      <c r="BYZ11" s="37"/>
      <c r="BZA11" s="37"/>
      <c r="BZB11" s="37"/>
      <c r="BZC11" s="37"/>
      <c r="BZD11" s="37"/>
      <c r="BZE11" s="37"/>
      <c r="BZF11" s="37"/>
      <c r="BZG11" s="37"/>
      <c r="BZH11" s="37"/>
      <c r="BZI11" s="37"/>
      <c r="BZJ11" s="37"/>
      <c r="BZK11" s="37"/>
      <c r="BZL11" s="37"/>
      <c r="BZM11" s="37"/>
      <c r="BZN11" s="37"/>
      <c r="BZO11" s="37"/>
      <c r="BZP11" s="37"/>
      <c r="BZQ11" s="37"/>
      <c r="BZR11" s="37"/>
      <c r="BZS11" s="37"/>
      <c r="BZT11" s="37"/>
      <c r="BZU11" s="37"/>
      <c r="BZV11" s="37"/>
      <c r="BZW11" s="37"/>
      <c r="BZX11" s="37"/>
      <c r="BZY11" s="37"/>
      <c r="BZZ11" s="37"/>
      <c r="CAA11" s="37"/>
      <c r="CAB11" s="37"/>
      <c r="CAC11" s="37"/>
      <c r="CAD11" s="37"/>
      <c r="CAE11" s="37"/>
      <c r="CAF11" s="37"/>
      <c r="CAG11" s="37"/>
      <c r="CAH11" s="37"/>
      <c r="CAI11" s="37"/>
      <c r="CAJ11" s="37"/>
      <c r="CAK11" s="37"/>
      <c r="CAL11" s="37"/>
      <c r="CAM11" s="37"/>
      <c r="CAN11" s="37"/>
      <c r="CAO11" s="37"/>
      <c r="CAP11" s="37"/>
      <c r="CAQ11" s="37"/>
      <c r="CAR11" s="37"/>
      <c r="CAS11" s="37"/>
      <c r="CAT11" s="37"/>
      <c r="CAU11" s="37"/>
      <c r="CAV11" s="37"/>
      <c r="CAW11" s="37"/>
      <c r="CAX11" s="37"/>
      <c r="CAY11" s="37"/>
      <c r="CAZ11" s="37"/>
      <c r="CBA11" s="37"/>
      <c r="CBB11" s="37"/>
      <c r="CBC11" s="37"/>
      <c r="CBD11" s="37"/>
      <c r="CBE11" s="37"/>
      <c r="CBF11" s="37"/>
      <c r="CBG11" s="37"/>
      <c r="CBH11" s="37"/>
    </row>
    <row r="12" spans="1:2088" x14ac:dyDescent="0.2">
      <c r="A12" s="1" t="s">
        <v>182</v>
      </c>
      <c r="B12" s="2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  <c r="APY12" s="37"/>
      <c r="APZ12" s="37"/>
      <c r="AQA12" s="37"/>
      <c r="AQB12" s="37"/>
      <c r="AQC12" s="37"/>
      <c r="AQD12" s="37"/>
      <c r="AQE12" s="37"/>
      <c r="AQF12" s="37"/>
      <c r="AQG12" s="37"/>
      <c r="AQH12" s="37"/>
      <c r="AQI12" s="37"/>
      <c r="AQJ12" s="37"/>
      <c r="AQK12" s="37"/>
      <c r="AQL12" s="37"/>
      <c r="AQM12" s="37"/>
      <c r="AQN12" s="37"/>
      <c r="AQO12" s="37"/>
      <c r="AQP12" s="37"/>
      <c r="AQQ12" s="37"/>
      <c r="AQR12" s="37"/>
      <c r="AQS12" s="37"/>
      <c r="AQT12" s="37"/>
      <c r="AQU12" s="37"/>
      <c r="AQV12" s="37"/>
      <c r="AQW12" s="37"/>
      <c r="AQX12" s="37"/>
      <c r="AQY12" s="37"/>
      <c r="AQZ12" s="37"/>
      <c r="ARA12" s="37"/>
      <c r="ARB12" s="37"/>
      <c r="ARC12" s="37"/>
      <c r="ARD12" s="37"/>
      <c r="ARE12" s="37"/>
      <c r="ARF12" s="37"/>
      <c r="ARG12" s="37"/>
      <c r="ARH12" s="37"/>
      <c r="ARI12" s="37"/>
      <c r="ARJ12" s="37"/>
      <c r="ARK12" s="37"/>
      <c r="ARL12" s="37"/>
      <c r="ARM12" s="37"/>
      <c r="ARN12" s="37"/>
      <c r="ARO12" s="37"/>
      <c r="ARP12" s="37"/>
      <c r="ARQ12" s="37"/>
      <c r="ARR12" s="37"/>
      <c r="ARS12" s="37"/>
      <c r="ART12" s="37"/>
      <c r="ARU12" s="37"/>
      <c r="ARV12" s="37"/>
      <c r="ARW12" s="37"/>
      <c r="ARX12" s="37"/>
      <c r="ARY12" s="37"/>
      <c r="ARZ12" s="37"/>
      <c r="ASA12" s="37"/>
      <c r="ASB12" s="37"/>
      <c r="ASC12" s="37"/>
      <c r="ASD12" s="37"/>
      <c r="ASE12" s="37"/>
      <c r="ASF12" s="37"/>
      <c r="ASG12" s="37"/>
      <c r="ASH12" s="37"/>
      <c r="ASI12" s="37"/>
      <c r="ASJ12" s="37"/>
      <c r="ASK12" s="37"/>
      <c r="ASL12" s="37"/>
      <c r="ASM12" s="37"/>
      <c r="ASN12" s="37"/>
      <c r="ASO12" s="37"/>
      <c r="ASP12" s="37"/>
      <c r="ASQ12" s="37"/>
      <c r="ASR12" s="37"/>
      <c r="ASS12" s="37"/>
      <c r="AST12" s="37"/>
      <c r="ASU12" s="37"/>
      <c r="ASV12" s="37"/>
      <c r="ASW12" s="37"/>
      <c r="ASX12" s="37"/>
      <c r="ASY12" s="37"/>
      <c r="ASZ12" s="37"/>
      <c r="ATA12" s="37"/>
      <c r="ATB12" s="37"/>
      <c r="ATC12" s="37"/>
      <c r="ATD12" s="37"/>
      <c r="ATE12" s="37"/>
      <c r="ATF12" s="37"/>
      <c r="ATG12" s="37"/>
      <c r="ATH12" s="37"/>
      <c r="ATI12" s="37"/>
      <c r="ATJ12" s="37"/>
      <c r="ATK12" s="37"/>
      <c r="ATL12" s="37"/>
      <c r="ATM12" s="37"/>
      <c r="ATN12" s="37"/>
      <c r="ATO12" s="37"/>
      <c r="ATP12" s="37"/>
      <c r="ATQ12" s="37"/>
      <c r="ATR12" s="37"/>
      <c r="ATS12" s="37"/>
      <c r="ATT12" s="37"/>
      <c r="ATU12" s="37"/>
      <c r="ATV12" s="37"/>
      <c r="ATW12" s="37"/>
      <c r="ATX12" s="37"/>
      <c r="ATY12" s="37"/>
      <c r="ATZ12" s="37"/>
      <c r="AUA12" s="37"/>
      <c r="AUB12" s="37"/>
      <c r="AUC12" s="37"/>
      <c r="AUD12" s="37"/>
      <c r="AUE12" s="37"/>
      <c r="AUF12" s="37"/>
      <c r="AUG12" s="37"/>
      <c r="AUH12" s="37"/>
      <c r="AUI12" s="37"/>
      <c r="AUJ12" s="37"/>
      <c r="AUK12" s="37"/>
      <c r="AUL12" s="37"/>
      <c r="AUM12" s="37"/>
      <c r="AUN12" s="37"/>
      <c r="AUO12" s="37"/>
      <c r="AUP12" s="37"/>
      <c r="AUQ12" s="37"/>
      <c r="AUR12" s="37"/>
      <c r="AUS12" s="37"/>
      <c r="AUT12" s="37"/>
      <c r="AUU12" s="37"/>
      <c r="AUV12" s="37"/>
      <c r="AUW12" s="37"/>
      <c r="AUX12" s="37"/>
      <c r="AUY12" s="37"/>
      <c r="AUZ12" s="37"/>
      <c r="AVA12" s="37"/>
      <c r="AVB12" s="37"/>
      <c r="AVC12" s="37"/>
      <c r="AVD12" s="37"/>
      <c r="AVE12" s="37"/>
      <c r="AVF12" s="37"/>
      <c r="AVG12" s="37"/>
      <c r="AVH12" s="37"/>
      <c r="AVI12" s="37"/>
      <c r="AVJ12" s="37"/>
      <c r="AVK12" s="37"/>
      <c r="AVL12" s="37"/>
      <c r="AVM12" s="37"/>
      <c r="AVN12" s="37"/>
      <c r="AVO12" s="37"/>
      <c r="AVP12" s="37"/>
      <c r="AVQ12" s="37"/>
      <c r="AVR12" s="37"/>
      <c r="AVS12" s="37"/>
      <c r="AVT12" s="37"/>
      <c r="AVU12" s="37"/>
      <c r="AVV12" s="37"/>
      <c r="AVW12" s="37"/>
      <c r="AVX12" s="37"/>
      <c r="AVY12" s="37"/>
      <c r="AVZ12" s="37"/>
      <c r="AWA12" s="37"/>
      <c r="AWB12" s="37"/>
      <c r="AWC12" s="37"/>
      <c r="AWD12" s="37"/>
      <c r="AWE12" s="37"/>
      <c r="AWF12" s="37"/>
      <c r="AWG12" s="37"/>
      <c r="AWH12" s="37"/>
      <c r="AWI12" s="37"/>
      <c r="AWJ12" s="37"/>
      <c r="AWK12" s="37"/>
      <c r="AWL12" s="37"/>
      <c r="AWM12" s="37"/>
      <c r="AWN12" s="37"/>
      <c r="AWO12" s="37"/>
      <c r="AWP12" s="37"/>
      <c r="AWQ12" s="37"/>
      <c r="AWR12" s="37"/>
      <c r="AWS12" s="37"/>
      <c r="AWT12" s="37"/>
      <c r="AWU12" s="37"/>
      <c r="AWV12" s="37"/>
      <c r="AWW12" s="37"/>
      <c r="AWX12" s="37"/>
      <c r="AWY12" s="37"/>
      <c r="AWZ12" s="37"/>
      <c r="AXA12" s="37"/>
      <c r="AXB12" s="37"/>
      <c r="AXC12" s="37"/>
      <c r="AXD12" s="37"/>
      <c r="AXE12" s="37"/>
      <c r="AXF12" s="37"/>
      <c r="AXG12" s="37"/>
      <c r="AXH12" s="37"/>
      <c r="AXI12" s="37"/>
      <c r="AXJ12" s="37"/>
      <c r="AXK12" s="37"/>
      <c r="AXL12" s="37"/>
      <c r="AXM12" s="37"/>
      <c r="AXN12" s="37"/>
      <c r="AXO12" s="37"/>
      <c r="AXP12" s="37"/>
      <c r="AXQ12" s="37"/>
      <c r="AXR12" s="37"/>
      <c r="AXS12" s="37"/>
      <c r="AXT12" s="37"/>
      <c r="AXU12" s="37"/>
      <c r="AXV12" s="37"/>
      <c r="AXW12" s="37"/>
      <c r="AXX12" s="37"/>
      <c r="AXY12" s="37"/>
      <c r="AXZ12" s="37"/>
      <c r="AYA12" s="37"/>
      <c r="AYB12" s="37"/>
      <c r="AYC12" s="37"/>
      <c r="AYD12" s="37"/>
      <c r="AYE12" s="37"/>
      <c r="AYF12" s="37"/>
      <c r="AYG12" s="37"/>
      <c r="AYH12" s="37"/>
      <c r="AYI12" s="37"/>
      <c r="AYJ12" s="37"/>
      <c r="AYK12" s="37"/>
      <c r="AYL12" s="37"/>
      <c r="AYM12" s="37"/>
      <c r="AYN12" s="37"/>
      <c r="AYO12" s="37"/>
      <c r="AYP12" s="37"/>
      <c r="AYQ12" s="37"/>
      <c r="AYR12" s="37"/>
      <c r="AYS12" s="37"/>
      <c r="AYT12" s="37"/>
      <c r="AYU12" s="37"/>
      <c r="AYV12" s="37"/>
      <c r="AYW12" s="37"/>
      <c r="AYX12" s="37"/>
      <c r="AYY12" s="37"/>
      <c r="AYZ12" s="37"/>
      <c r="AZA12" s="37"/>
      <c r="AZB12" s="37"/>
      <c r="AZC12" s="37"/>
      <c r="AZD12" s="37"/>
      <c r="AZE12" s="37"/>
      <c r="AZF12" s="37"/>
      <c r="AZG12" s="37"/>
      <c r="AZH12" s="37"/>
      <c r="AZI12" s="37"/>
      <c r="AZJ12" s="37"/>
      <c r="AZK12" s="37"/>
      <c r="AZL12" s="37"/>
      <c r="AZM12" s="37"/>
      <c r="AZN12" s="37"/>
      <c r="AZO12" s="37"/>
      <c r="AZP12" s="37"/>
      <c r="AZQ12" s="37"/>
      <c r="AZR12" s="37"/>
      <c r="AZS12" s="37"/>
      <c r="AZT12" s="37"/>
      <c r="AZU12" s="37"/>
      <c r="AZV12" s="37"/>
      <c r="AZW12" s="37"/>
      <c r="AZX12" s="37"/>
      <c r="AZY12" s="37"/>
      <c r="AZZ12" s="37"/>
      <c r="BAA12" s="37"/>
      <c r="BAB12" s="37"/>
      <c r="BAC12" s="37"/>
      <c r="BAD12" s="37"/>
      <c r="BAE12" s="37"/>
      <c r="BAF12" s="37"/>
      <c r="BAG12" s="37"/>
      <c r="BAH12" s="37"/>
      <c r="BAI12" s="37"/>
      <c r="BAJ12" s="37"/>
      <c r="BAK12" s="37"/>
      <c r="BAL12" s="37"/>
      <c r="BAM12" s="37"/>
      <c r="BAN12" s="37"/>
      <c r="BAO12" s="37"/>
      <c r="BAP12" s="37"/>
      <c r="BAQ12" s="37"/>
      <c r="BAR12" s="37"/>
      <c r="BAS12" s="37"/>
      <c r="BAT12" s="37"/>
      <c r="BAU12" s="37"/>
      <c r="BAV12" s="37"/>
      <c r="BAW12" s="37"/>
      <c r="BAX12" s="37"/>
      <c r="BAY12" s="37"/>
      <c r="BAZ12" s="37"/>
      <c r="BBA12" s="37"/>
      <c r="BBB12" s="37"/>
      <c r="BBC12" s="37"/>
      <c r="BBD12" s="37"/>
      <c r="BBE12" s="37"/>
      <c r="BBF12" s="37"/>
      <c r="BBG12" s="37"/>
      <c r="BBH12" s="37"/>
      <c r="BBI12" s="37"/>
      <c r="BBJ12" s="37"/>
      <c r="BBK12" s="37"/>
      <c r="BBL12" s="37"/>
      <c r="BBM12" s="37"/>
      <c r="BBN12" s="37"/>
      <c r="BBO12" s="37"/>
      <c r="BBP12" s="37"/>
      <c r="BBQ12" s="37"/>
      <c r="BBR12" s="37"/>
      <c r="BBS12" s="37"/>
      <c r="BBT12" s="37"/>
      <c r="BBU12" s="37"/>
      <c r="BBV12" s="37"/>
      <c r="BBW12" s="37"/>
      <c r="BBX12" s="37"/>
      <c r="BBY12" s="37"/>
      <c r="BBZ12" s="37"/>
      <c r="BCA12" s="37"/>
      <c r="BCB12" s="37"/>
      <c r="BCC12" s="37"/>
      <c r="BCD12" s="37"/>
      <c r="BCE12" s="37"/>
      <c r="BCF12" s="37"/>
      <c r="BCG12" s="37"/>
      <c r="BCH12" s="37"/>
      <c r="BCI12" s="37"/>
      <c r="BCJ12" s="37"/>
      <c r="BCK12" s="37"/>
      <c r="BCL12" s="37"/>
      <c r="BCM12" s="37"/>
      <c r="BCN12" s="37"/>
      <c r="BCO12" s="37"/>
      <c r="BCP12" s="37"/>
      <c r="BCQ12" s="37"/>
      <c r="BCR12" s="37"/>
      <c r="BCS12" s="37"/>
      <c r="BCT12" s="37"/>
      <c r="BCU12" s="37"/>
      <c r="BCV12" s="37"/>
      <c r="BCW12" s="37"/>
      <c r="BCX12" s="37"/>
      <c r="BCY12" s="37"/>
      <c r="BCZ12" s="37"/>
      <c r="BDA12" s="37"/>
      <c r="BDB12" s="37"/>
      <c r="BDC12" s="37"/>
      <c r="BDD12" s="37"/>
      <c r="BDE12" s="37"/>
      <c r="BDF12" s="37"/>
      <c r="BDG12" s="37"/>
      <c r="BDH12" s="37"/>
      <c r="BDI12" s="37"/>
      <c r="BDJ12" s="37"/>
      <c r="BDK12" s="37"/>
      <c r="BDL12" s="37"/>
      <c r="BDM12" s="37"/>
      <c r="BDN12" s="37"/>
      <c r="BDO12" s="37"/>
      <c r="BDP12" s="37"/>
      <c r="BDQ12" s="37"/>
      <c r="BDR12" s="37"/>
      <c r="BDS12" s="37"/>
      <c r="BDT12" s="37"/>
      <c r="BDU12" s="37"/>
      <c r="BDV12" s="37"/>
      <c r="BDW12" s="37"/>
      <c r="BDX12" s="37"/>
      <c r="BDY12" s="37"/>
      <c r="BDZ12" s="37"/>
      <c r="BEA12" s="37"/>
      <c r="BEB12" s="37"/>
      <c r="BEC12" s="37"/>
      <c r="BED12" s="37"/>
      <c r="BEE12" s="37"/>
      <c r="BEF12" s="37"/>
      <c r="BEG12" s="37"/>
      <c r="BEH12" s="37"/>
      <c r="BEI12" s="37"/>
      <c r="BEJ12" s="37"/>
      <c r="BEK12" s="37"/>
      <c r="BEL12" s="37"/>
      <c r="BEM12" s="37"/>
      <c r="BEN12" s="37"/>
      <c r="BEO12" s="37"/>
      <c r="BEP12" s="37"/>
      <c r="BEQ12" s="37"/>
      <c r="BER12" s="37"/>
      <c r="BES12" s="37"/>
      <c r="BET12" s="37"/>
      <c r="BEU12" s="37"/>
      <c r="BEV12" s="37"/>
      <c r="BEW12" s="37"/>
      <c r="BEX12" s="37"/>
      <c r="BEY12" s="37"/>
      <c r="BEZ12" s="37"/>
      <c r="BFA12" s="37"/>
      <c r="BFB12" s="37"/>
      <c r="BFC12" s="37"/>
      <c r="BFD12" s="37"/>
      <c r="BFE12" s="37"/>
      <c r="BFF12" s="37"/>
      <c r="BFG12" s="37"/>
      <c r="BFH12" s="37"/>
      <c r="BFI12" s="37"/>
      <c r="BFJ12" s="37"/>
      <c r="BFK12" s="37"/>
      <c r="BFL12" s="37"/>
      <c r="BFM12" s="37"/>
      <c r="BFN12" s="37"/>
      <c r="BFO12" s="37"/>
      <c r="BFP12" s="37"/>
      <c r="BFQ12" s="37"/>
      <c r="BFR12" s="37"/>
      <c r="BFS12" s="37"/>
      <c r="BFT12" s="37"/>
      <c r="BFU12" s="37"/>
      <c r="BFV12" s="37"/>
      <c r="BFW12" s="37"/>
      <c r="BFX12" s="37"/>
      <c r="BFY12" s="37"/>
      <c r="BFZ12" s="37"/>
      <c r="BGA12" s="37"/>
      <c r="BGB12" s="37"/>
      <c r="BGC12" s="37"/>
      <c r="BGD12" s="37"/>
      <c r="BGE12" s="37"/>
      <c r="BGF12" s="37"/>
      <c r="BGG12" s="37"/>
      <c r="BGH12" s="37"/>
      <c r="BGI12" s="37"/>
      <c r="BGJ12" s="37"/>
      <c r="BGK12" s="37"/>
      <c r="BGL12" s="37"/>
      <c r="BGM12" s="37"/>
      <c r="BGN12" s="37"/>
      <c r="BGO12" s="37"/>
      <c r="BGP12" s="37"/>
      <c r="BGQ12" s="37"/>
      <c r="BGR12" s="37"/>
      <c r="BGS12" s="37"/>
      <c r="BGT12" s="37"/>
      <c r="BGU12" s="37"/>
      <c r="BGV12" s="37"/>
      <c r="BGW12" s="37"/>
      <c r="BGX12" s="37"/>
      <c r="BGY12" s="37"/>
      <c r="BGZ12" s="37"/>
      <c r="BHA12" s="37"/>
      <c r="BHB12" s="37"/>
      <c r="BHC12" s="37"/>
      <c r="BHD12" s="37"/>
      <c r="BHE12" s="37"/>
      <c r="BHF12" s="37"/>
      <c r="BHG12" s="37"/>
      <c r="BHH12" s="37"/>
      <c r="BHI12" s="37"/>
      <c r="BHJ12" s="37"/>
      <c r="BHK12" s="37"/>
      <c r="BHL12" s="37"/>
      <c r="BHM12" s="37"/>
      <c r="BHN12" s="37"/>
      <c r="BHO12" s="37"/>
      <c r="BHP12" s="37"/>
      <c r="BHQ12" s="37"/>
      <c r="BHR12" s="37"/>
      <c r="BHS12" s="37"/>
      <c r="BHT12" s="37"/>
      <c r="BHU12" s="37"/>
      <c r="BHV12" s="37"/>
      <c r="BHW12" s="37"/>
      <c r="BHX12" s="37"/>
      <c r="BHY12" s="37"/>
      <c r="BHZ12" s="37"/>
      <c r="BIA12" s="37"/>
      <c r="BIB12" s="37"/>
      <c r="BIC12" s="37"/>
      <c r="BID12" s="37"/>
      <c r="BIE12" s="37"/>
      <c r="BIF12" s="37"/>
      <c r="BIG12" s="37"/>
      <c r="BIH12" s="37"/>
      <c r="BII12" s="37"/>
      <c r="BIJ12" s="37"/>
      <c r="BIK12" s="37"/>
      <c r="BIL12" s="37"/>
      <c r="BIM12" s="37"/>
      <c r="BIN12" s="37"/>
      <c r="BIO12" s="37"/>
      <c r="BIP12" s="37"/>
      <c r="BIQ12" s="37"/>
      <c r="BIR12" s="37"/>
      <c r="BIS12" s="37"/>
      <c r="BIT12" s="37"/>
      <c r="BIU12" s="37"/>
      <c r="BIV12" s="37"/>
      <c r="BIW12" s="37"/>
      <c r="BIX12" s="37"/>
      <c r="BIY12" s="37"/>
      <c r="BIZ12" s="37"/>
      <c r="BJA12" s="37"/>
      <c r="BJB12" s="37"/>
      <c r="BJC12" s="37"/>
      <c r="BJD12" s="37"/>
      <c r="BJE12" s="37"/>
      <c r="BJF12" s="37"/>
      <c r="BJG12" s="37"/>
      <c r="BJH12" s="37"/>
      <c r="BJI12" s="37"/>
      <c r="BJJ12" s="37"/>
      <c r="BJK12" s="37"/>
      <c r="BJL12" s="37"/>
      <c r="BJM12" s="37"/>
      <c r="BJN12" s="37"/>
      <c r="BJO12" s="37"/>
      <c r="BJP12" s="37"/>
      <c r="BJQ12" s="37"/>
      <c r="BJR12" s="37"/>
      <c r="BJS12" s="37"/>
      <c r="BJT12" s="37"/>
      <c r="BJU12" s="37"/>
      <c r="BJV12" s="37"/>
      <c r="BJW12" s="37"/>
      <c r="BJX12" s="37"/>
      <c r="BJY12" s="37"/>
      <c r="BJZ12" s="37"/>
      <c r="BKA12" s="37"/>
      <c r="BKB12" s="37"/>
      <c r="BKC12" s="37"/>
      <c r="BKD12" s="37"/>
      <c r="BKE12" s="37"/>
      <c r="BKF12" s="37"/>
      <c r="BKG12" s="37"/>
      <c r="BKH12" s="37"/>
      <c r="BKI12" s="37"/>
      <c r="BKJ12" s="37"/>
      <c r="BKK12" s="37"/>
      <c r="BKL12" s="37"/>
      <c r="BKM12" s="37"/>
      <c r="BKN12" s="37"/>
      <c r="BKO12" s="37"/>
      <c r="BKP12" s="37"/>
      <c r="BKQ12" s="37"/>
      <c r="BKR12" s="37"/>
      <c r="BKS12" s="37"/>
      <c r="BKT12" s="37"/>
      <c r="BKU12" s="37"/>
      <c r="BKV12" s="37"/>
      <c r="BKW12" s="37"/>
      <c r="BKX12" s="37"/>
      <c r="BKY12" s="37"/>
      <c r="BKZ12" s="37"/>
      <c r="BLA12" s="37"/>
      <c r="BLB12" s="37"/>
      <c r="BLC12" s="37"/>
      <c r="BLD12" s="37"/>
      <c r="BLE12" s="37"/>
      <c r="BLF12" s="37"/>
      <c r="BLG12" s="37"/>
      <c r="BLH12" s="37"/>
      <c r="BLI12" s="37"/>
      <c r="BLJ12" s="37"/>
      <c r="BLK12" s="37"/>
      <c r="BLL12" s="37"/>
      <c r="BLM12" s="37"/>
      <c r="BLN12" s="37"/>
      <c r="BLO12" s="37"/>
      <c r="BLP12" s="37"/>
      <c r="BLQ12" s="37"/>
      <c r="BLR12" s="37"/>
      <c r="BLS12" s="37"/>
      <c r="BLT12" s="37"/>
      <c r="BLU12" s="37"/>
      <c r="BLV12" s="37"/>
      <c r="BLW12" s="37"/>
      <c r="BLX12" s="37"/>
      <c r="BLY12" s="37"/>
      <c r="BLZ12" s="37"/>
      <c r="BMA12" s="37"/>
      <c r="BMB12" s="37"/>
      <c r="BMC12" s="37"/>
      <c r="BMD12" s="37"/>
      <c r="BME12" s="37"/>
      <c r="BMF12" s="37"/>
      <c r="BMG12" s="37"/>
      <c r="BMH12" s="37"/>
      <c r="BMI12" s="37"/>
      <c r="BMJ12" s="37"/>
      <c r="BMK12" s="37"/>
      <c r="BML12" s="37"/>
      <c r="BMM12" s="37"/>
      <c r="BMN12" s="37"/>
      <c r="BMO12" s="37"/>
      <c r="BMP12" s="37"/>
      <c r="BMQ12" s="37"/>
      <c r="BMR12" s="37"/>
      <c r="BMS12" s="37"/>
      <c r="BMT12" s="37"/>
      <c r="BMU12" s="37"/>
      <c r="BMV12" s="37"/>
      <c r="BMW12" s="37"/>
      <c r="BMX12" s="37"/>
      <c r="BMY12" s="37"/>
      <c r="BMZ12" s="37"/>
      <c r="BNA12" s="37"/>
      <c r="BNB12" s="37"/>
      <c r="BNC12" s="37"/>
      <c r="BND12" s="37"/>
      <c r="BNE12" s="37"/>
      <c r="BNF12" s="37"/>
      <c r="BNG12" s="37"/>
      <c r="BNH12" s="37"/>
      <c r="BNI12" s="37"/>
      <c r="BNJ12" s="37"/>
      <c r="BNK12" s="37"/>
      <c r="BNL12" s="37"/>
      <c r="BNM12" s="37"/>
      <c r="BNN12" s="37"/>
      <c r="BNO12" s="37"/>
      <c r="BNP12" s="37"/>
      <c r="BNQ12" s="37"/>
      <c r="BNR12" s="37"/>
      <c r="BNS12" s="37"/>
      <c r="BNT12" s="37"/>
      <c r="BNU12" s="37"/>
      <c r="BNV12" s="37"/>
      <c r="BNW12" s="37"/>
      <c r="BNX12" s="37"/>
      <c r="BNY12" s="37"/>
      <c r="BNZ12" s="37"/>
      <c r="BOA12" s="37"/>
      <c r="BOB12" s="37"/>
      <c r="BOC12" s="37"/>
      <c r="BOD12" s="37"/>
      <c r="BOE12" s="37"/>
      <c r="BOF12" s="37"/>
      <c r="BOG12" s="37"/>
      <c r="BOH12" s="37"/>
      <c r="BOI12" s="37"/>
      <c r="BOJ12" s="37"/>
      <c r="BOK12" s="37"/>
      <c r="BOL12" s="37"/>
      <c r="BOM12" s="37"/>
      <c r="BON12" s="37"/>
      <c r="BOO12" s="37"/>
      <c r="BOP12" s="37"/>
      <c r="BOQ12" s="37"/>
      <c r="BOR12" s="37"/>
      <c r="BOS12" s="37"/>
      <c r="BOT12" s="37"/>
      <c r="BOU12" s="37"/>
      <c r="BOV12" s="37"/>
      <c r="BOW12" s="37"/>
      <c r="BOX12" s="37"/>
      <c r="BOY12" s="37"/>
      <c r="BOZ12" s="37"/>
      <c r="BPA12" s="37"/>
      <c r="BPB12" s="37"/>
      <c r="BPC12" s="37"/>
      <c r="BPD12" s="37"/>
      <c r="BPE12" s="37"/>
      <c r="BPF12" s="37"/>
      <c r="BPG12" s="37"/>
      <c r="BPH12" s="37"/>
      <c r="BPI12" s="37"/>
      <c r="BPJ12" s="37"/>
      <c r="BPK12" s="37"/>
      <c r="BPL12" s="37"/>
      <c r="BPM12" s="37"/>
      <c r="BPN12" s="37"/>
      <c r="BPO12" s="37"/>
      <c r="BPP12" s="37"/>
      <c r="BPQ12" s="37"/>
      <c r="BPR12" s="37"/>
      <c r="BPS12" s="37"/>
      <c r="BPT12" s="37"/>
      <c r="BPU12" s="37"/>
      <c r="BPV12" s="37"/>
      <c r="BPW12" s="37"/>
      <c r="BPX12" s="37"/>
      <c r="BPY12" s="37"/>
      <c r="BPZ12" s="37"/>
      <c r="BQA12" s="37"/>
      <c r="BQB12" s="37"/>
      <c r="BQC12" s="37"/>
      <c r="BQD12" s="37"/>
      <c r="BQE12" s="37"/>
      <c r="BQF12" s="37"/>
      <c r="BQG12" s="37"/>
      <c r="BQH12" s="37"/>
      <c r="BQI12" s="37"/>
      <c r="BQJ12" s="37"/>
      <c r="BQK12" s="37"/>
      <c r="BQL12" s="37"/>
      <c r="BQM12" s="37"/>
      <c r="BQN12" s="37"/>
      <c r="BQO12" s="37"/>
      <c r="BQP12" s="37"/>
      <c r="BQQ12" s="37"/>
      <c r="BQR12" s="37"/>
      <c r="BQS12" s="37"/>
      <c r="BQT12" s="37"/>
      <c r="BQU12" s="37"/>
      <c r="BQV12" s="37"/>
      <c r="BQW12" s="37"/>
      <c r="BQX12" s="37"/>
      <c r="BQY12" s="37"/>
      <c r="BQZ12" s="37"/>
      <c r="BRA12" s="37"/>
      <c r="BRB12" s="37"/>
      <c r="BRC12" s="37"/>
      <c r="BRD12" s="37"/>
      <c r="BRE12" s="37"/>
      <c r="BRF12" s="37"/>
      <c r="BRG12" s="37"/>
      <c r="BRH12" s="37"/>
      <c r="BRI12" s="37"/>
      <c r="BRJ12" s="37"/>
      <c r="BRK12" s="37"/>
      <c r="BRL12" s="37"/>
      <c r="BRM12" s="37"/>
      <c r="BRN12" s="37"/>
      <c r="BRO12" s="37"/>
      <c r="BRP12" s="37"/>
      <c r="BRQ12" s="37"/>
      <c r="BRR12" s="37"/>
      <c r="BRS12" s="37"/>
      <c r="BRT12" s="37"/>
      <c r="BRU12" s="37"/>
      <c r="BRV12" s="37"/>
      <c r="BRW12" s="37"/>
      <c r="BRX12" s="37"/>
      <c r="BRY12" s="37"/>
      <c r="BRZ12" s="37"/>
      <c r="BSA12" s="37"/>
      <c r="BSB12" s="37"/>
      <c r="BSC12" s="37"/>
      <c r="BSD12" s="37"/>
      <c r="BSE12" s="37"/>
      <c r="BSF12" s="37"/>
      <c r="BSG12" s="37"/>
      <c r="BSH12" s="37"/>
      <c r="BSI12" s="37"/>
      <c r="BSJ12" s="37"/>
      <c r="BSK12" s="37"/>
      <c r="BSL12" s="37"/>
      <c r="BSM12" s="37"/>
      <c r="BSN12" s="37"/>
      <c r="BSO12" s="37"/>
      <c r="BSP12" s="37"/>
      <c r="BSQ12" s="37"/>
      <c r="BSR12" s="37"/>
      <c r="BSS12" s="37"/>
      <c r="BST12" s="37"/>
      <c r="BSU12" s="37"/>
      <c r="BSV12" s="37"/>
      <c r="BSW12" s="37"/>
      <c r="BSX12" s="37"/>
      <c r="BSY12" s="37"/>
      <c r="BSZ12" s="37"/>
      <c r="BTA12" s="37"/>
      <c r="BTB12" s="37"/>
      <c r="BTC12" s="37"/>
      <c r="BTD12" s="37"/>
      <c r="BTE12" s="37"/>
      <c r="BTF12" s="37"/>
      <c r="BTG12" s="37"/>
      <c r="BTH12" s="37"/>
      <c r="BTI12" s="37"/>
      <c r="BTJ12" s="37"/>
      <c r="BTK12" s="37"/>
      <c r="BTL12" s="37"/>
      <c r="BTM12" s="37"/>
      <c r="BTN12" s="37"/>
      <c r="BTO12" s="37"/>
      <c r="BTP12" s="37"/>
      <c r="BTQ12" s="37"/>
      <c r="BTR12" s="37"/>
      <c r="BTS12" s="37"/>
      <c r="BTT12" s="37"/>
      <c r="BTU12" s="37"/>
      <c r="BTV12" s="37"/>
      <c r="BTW12" s="37"/>
      <c r="BTX12" s="37"/>
      <c r="BTY12" s="37"/>
      <c r="BTZ12" s="37"/>
      <c r="BUA12" s="37"/>
      <c r="BUB12" s="37"/>
      <c r="BUC12" s="37"/>
      <c r="BUD12" s="37"/>
      <c r="BUE12" s="37"/>
      <c r="BUF12" s="37"/>
      <c r="BUG12" s="37"/>
      <c r="BUH12" s="37"/>
      <c r="BUI12" s="37"/>
      <c r="BUJ12" s="37"/>
      <c r="BUK12" s="37"/>
      <c r="BUL12" s="37"/>
      <c r="BUM12" s="37"/>
      <c r="BUN12" s="37"/>
      <c r="BUO12" s="37"/>
      <c r="BUP12" s="37"/>
      <c r="BUQ12" s="37"/>
      <c r="BUR12" s="37"/>
      <c r="BUS12" s="37"/>
      <c r="BUT12" s="37"/>
      <c r="BUU12" s="37"/>
      <c r="BUV12" s="37"/>
      <c r="BUW12" s="37"/>
      <c r="BUX12" s="37"/>
      <c r="BUY12" s="37"/>
      <c r="BUZ12" s="37"/>
      <c r="BVA12" s="37"/>
      <c r="BVB12" s="37"/>
      <c r="BVC12" s="37"/>
      <c r="BVD12" s="37"/>
      <c r="BVE12" s="37"/>
      <c r="BVF12" s="37"/>
      <c r="BVG12" s="37"/>
      <c r="BVH12" s="37"/>
      <c r="BVI12" s="37"/>
      <c r="BVJ12" s="37"/>
      <c r="BVK12" s="37"/>
      <c r="BVL12" s="37"/>
      <c r="BVM12" s="37"/>
      <c r="BVN12" s="37"/>
      <c r="BVO12" s="37"/>
      <c r="BVP12" s="37"/>
      <c r="BVQ12" s="37"/>
      <c r="BVR12" s="37"/>
      <c r="BVS12" s="37"/>
      <c r="BVT12" s="37"/>
      <c r="BVU12" s="37"/>
      <c r="BVV12" s="37"/>
      <c r="BVW12" s="37"/>
      <c r="BVX12" s="37"/>
      <c r="BVY12" s="37"/>
      <c r="BVZ12" s="37"/>
      <c r="BWA12" s="37"/>
      <c r="BWB12" s="37"/>
      <c r="BWC12" s="37"/>
      <c r="BWD12" s="37"/>
      <c r="BWE12" s="37"/>
      <c r="BWF12" s="37"/>
      <c r="BWG12" s="37"/>
      <c r="BWH12" s="37"/>
      <c r="BWI12" s="37"/>
      <c r="BWJ12" s="37"/>
      <c r="BWK12" s="37"/>
      <c r="BWL12" s="37"/>
      <c r="BWM12" s="37"/>
      <c r="BWN12" s="37"/>
      <c r="BWO12" s="37"/>
      <c r="BWP12" s="37"/>
      <c r="BWQ12" s="37"/>
      <c r="BWR12" s="37"/>
      <c r="BWS12" s="37"/>
      <c r="BWT12" s="37"/>
      <c r="BWU12" s="37"/>
      <c r="BWV12" s="37"/>
      <c r="BWW12" s="37"/>
      <c r="BWX12" s="37"/>
      <c r="BWY12" s="37"/>
      <c r="BWZ12" s="37"/>
      <c r="BXA12" s="37"/>
      <c r="BXB12" s="37"/>
      <c r="BXC12" s="37"/>
      <c r="BXD12" s="37"/>
      <c r="BXE12" s="37"/>
      <c r="BXF12" s="37"/>
      <c r="BXG12" s="37"/>
      <c r="BXH12" s="37"/>
      <c r="BXI12" s="37"/>
      <c r="BXJ12" s="37"/>
      <c r="BXK12" s="37"/>
      <c r="BXL12" s="37"/>
      <c r="BXM12" s="37"/>
      <c r="BXN12" s="37"/>
      <c r="BXO12" s="37"/>
      <c r="BXP12" s="37"/>
      <c r="BXQ12" s="37"/>
      <c r="BXR12" s="37"/>
      <c r="BXS12" s="37"/>
      <c r="BXT12" s="37"/>
      <c r="BXU12" s="37"/>
      <c r="BXV12" s="37"/>
      <c r="BXW12" s="37"/>
      <c r="BXX12" s="37"/>
      <c r="BXY12" s="37"/>
      <c r="BXZ12" s="37"/>
      <c r="BYA12" s="37"/>
      <c r="BYB12" s="37"/>
      <c r="BYC12" s="37"/>
      <c r="BYD12" s="37"/>
      <c r="BYE12" s="37"/>
      <c r="BYF12" s="37"/>
      <c r="BYG12" s="37"/>
      <c r="BYH12" s="37"/>
      <c r="BYI12" s="37"/>
      <c r="BYJ12" s="37"/>
      <c r="BYK12" s="37"/>
      <c r="BYL12" s="37"/>
      <c r="BYM12" s="37"/>
      <c r="BYN12" s="37"/>
      <c r="BYO12" s="37"/>
      <c r="BYP12" s="37"/>
      <c r="BYQ12" s="37"/>
      <c r="BYR12" s="37"/>
      <c r="BYS12" s="37"/>
      <c r="BYT12" s="37"/>
      <c r="BYU12" s="37"/>
      <c r="BYV12" s="37"/>
      <c r="BYW12" s="37"/>
      <c r="BYX12" s="37"/>
      <c r="BYY12" s="37"/>
      <c r="BYZ12" s="37"/>
      <c r="BZA12" s="37"/>
      <c r="BZB12" s="37"/>
      <c r="BZC12" s="37"/>
      <c r="BZD12" s="37"/>
      <c r="BZE12" s="37"/>
      <c r="BZF12" s="37"/>
      <c r="BZG12" s="37"/>
      <c r="BZH12" s="37"/>
      <c r="BZI12" s="37"/>
      <c r="BZJ12" s="37"/>
      <c r="BZK12" s="37"/>
      <c r="BZL12" s="37"/>
      <c r="BZM12" s="37"/>
      <c r="BZN12" s="37"/>
      <c r="BZO12" s="37"/>
      <c r="BZP12" s="37"/>
      <c r="BZQ12" s="37"/>
      <c r="BZR12" s="37"/>
      <c r="BZS12" s="37"/>
      <c r="BZT12" s="37"/>
      <c r="BZU12" s="37"/>
      <c r="BZV12" s="37"/>
      <c r="BZW12" s="37"/>
      <c r="BZX12" s="37"/>
      <c r="BZY12" s="37"/>
      <c r="BZZ12" s="37"/>
      <c r="CAA12" s="37"/>
      <c r="CAB12" s="37"/>
      <c r="CAC12" s="37"/>
      <c r="CAD12" s="37"/>
      <c r="CAE12" s="37"/>
      <c r="CAF12" s="37"/>
      <c r="CAG12" s="37"/>
      <c r="CAH12" s="37"/>
      <c r="CAI12" s="37"/>
      <c r="CAJ12" s="37"/>
      <c r="CAK12" s="37"/>
      <c r="CAL12" s="37"/>
      <c r="CAM12" s="37"/>
      <c r="CAN12" s="37"/>
      <c r="CAO12" s="37"/>
      <c r="CAP12" s="37"/>
      <c r="CAQ12" s="37"/>
      <c r="CAR12" s="37"/>
      <c r="CAS12" s="37"/>
      <c r="CAT12" s="37"/>
      <c r="CAU12" s="37"/>
      <c r="CAV12" s="37"/>
      <c r="CAW12" s="37"/>
      <c r="CAX12" s="37"/>
      <c r="CAY12" s="37"/>
      <c r="CAZ12" s="37"/>
      <c r="CBA12" s="37"/>
      <c r="CBB12" s="37"/>
      <c r="CBC12" s="37"/>
      <c r="CBD12" s="37"/>
      <c r="CBE12" s="37"/>
      <c r="CBF12" s="37"/>
      <c r="CBG12" s="37"/>
      <c r="CBH12" s="37"/>
    </row>
    <row r="13" spans="1:2088" x14ac:dyDescent="0.2">
      <c r="A13" s="1" t="s">
        <v>181</v>
      </c>
      <c r="B13" s="2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  <c r="AMM13" s="37"/>
      <c r="AMN13" s="37"/>
      <c r="AMO13" s="37"/>
      <c r="AMP13" s="37"/>
      <c r="AMQ13" s="37"/>
      <c r="AMR13" s="37"/>
      <c r="AMS13" s="37"/>
      <c r="AMT13" s="37"/>
      <c r="AMU13" s="37"/>
      <c r="AMV13" s="37"/>
      <c r="AMW13" s="37"/>
      <c r="AMX13" s="37"/>
      <c r="AMY13" s="37"/>
      <c r="AMZ13" s="37"/>
      <c r="ANA13" s="37"/>
      <c r="ANB13" s="37"/>
      <c r="ANC13" s="37"/>
      <c r="AND13" s="37"/>
      <c r="ANE13" s="37"/>
      <c r="ANF13" s="37"/>
      <c r="ANG13" s="37"/>
      <c r="ANH13" s="37"/>
      <c r="ANI13" s="37"/>
      <c r="ANJ13" s="37"/>
      <c r="ANK13" s="37"/>
      <c r="ANL13" s="37"/>
      <c r="ANM13" s="37"/>
      <c r="ANN13" s="37"/>
      <c r="ANO13" s="37"/>
      <c r="ANP13" s="37"/>
      <c r="ANQ13" s="37"/>
      <c r="ANR13" s="37"/>
      <c r="ANS13" s="37"/>
      <c r="ANT13" s="37"/>
      <c r="ANU13" s="37"/>
      <c r="ANV13" s="37"/>
      <c r="ANW13" s="37"/>
      <c r="ANX13" s="37"/>
      <c r="ANY13" s="37"/>
      <c r="ANZ13" s="37"/>
      <c r="AOA13" s="37"/>
      <c r="AOB13" s="37"/>
      <c r="AOC13" s="37"/>
      <c r="AOD13" s="37"/>
      <c r="AOE13" s="37"/>
      <c r="AOF13" s="37"/>
      <c r="AOG13" s="37"/>
      <c r="AOH13" s="37"/>
      <c r="AOI13" s="37"/>
      <c r="AOJ13" s="37"/>
      <c r="AOK13" s="37"/>
      <c r="AOL13" s="37"/>
      <c r="AOM13" s="37"/>
      <c r="AON13" s="37"/>
      <c r="AOO13" s="37"/>
      <c r="AOP13" s="37"/>
      <c r="AOQ13" s="37"/>
      <c r="AOR13" s="37"/>
      <c r="AOS13" s="37"/>
      <c r="AOT13" s="37"/>
      <c r="AOU13" s="37"/>
      <c r="AOV13" s="37"/>
      <c r="AOW13" s="37"/>
      <c r="AOX13" s="37"/>
      <c r="AOY13" s="37"/>
      <c r="AOZ13" s="37"/>
      <c r="APA13" s="37"/>
      <c r="APB13" s="37"/>
      <c r="APC13" s="37"/>
      <c r="APD13" s="37"/>
      <c r="APE13" s="37"/>
      <c r="APF13" s="37"/>
      <c r="APG13" s="37"/>
      <c r="APH13" s="37"/>
      <c r="API13" s="37"/>
      <c r="APJ13" s="37"/>
      <c r="APK13" s="37"/>
      <c r="APL13" s="37"/>
      <c r="APM13" s="37"/>
      <c r="APN13" s="37"/>
      <c r="APO13" s="37"/>
      <c r="APP13" s="37"/>
      <c r="APQ13" s="37"/>
      <c r="APR13" s="37"/>
      <c r="APS13" s="37"/>
      <c r="APT13" s="37"/>
      <c r="APU13" s="37"/>
      <c r="APV13" s="37"/>
      <c r="APW13" s="37"/>
      <c r="APX13" s="37"/>
      <c r="APY13" s="37"/>
      <c r="APZ13" s="37"/>
      <c r="AQA13" s="37"/>
      <c r="AQB13" s="37"/>
      <c r="AQC13" s="37"/>
      <c r="AQD13" s="37"/>
      <c r="AQE13" s="37"/>
      <c r="AQF13" s="37"/>
      <c r="AQG13" s="37"/>
      <c r="AQH13" s="37"/>
      <c r="AQI13" s="37"/>
      <c r="AQJ13" s="37"/>
      <c r="AQK13" s="37"/>
      <c r="AQL13" s="37"/>
      <c r="AQM13" s="37"/>
      <c r="AQN13" s="37"/>
      <c r="AQO13" s="37"/>
      <c r="AQP13" s="37"/>
      <c r="AQQ13" s="37"/>
      <c r="AQR13" s="37"/>
      <c r="AQS13" s="37"/>
      <c r="AQT13" s="37"/>
      <c r="AQU13" s="37"/>
      <c r="AQV13" s="37"/>
      <c r="AQW13" s="37"/>
      <c r="AQX13" s="37"/>
      <c r="AQY13" s="37"/>
      <c r="AQZ13" s="37"/>
      <c r="ARA13" s="37"/>
      <c r="ARB13" s="37"/>
      <c r="ARC13" s="37"/>
      <c r="ARD13" s="37"/>
      <c r="ARE13" s="37"/>
      <c r="ARF13" s="37"/>
      <c r="ARG13" s="37"/>
      <c r="ARH13" s="37"/>
      <c r="ARI13" s="37"/>
      <c r="ARJ13" s="37"/>
      <c r="ARK13" s="37"/>
      <c r="ARL13" s="37"/>
      <c r="ARM13" s="37"/>
      <c r="ARN13" s="37"/>
      <c r="ARO13" s="37"/>
      <c r="ARP13" s="37"/>
      <c r="ARQ13" s="37"/>
      <c r="ARR13" s="37"/>
      <c r="ARS13" s="37"/>
      <c r="ART13" s="37"/>
      <c r="ARU13" s="37"/>
      <c r="ARV13" s="37"/>
      <c r="ARW13" s="37"/>
      <c r="ARX13" s="37"/>
      <c r="ARY13" s="37"/>
      <c r="ARZ13" s="37"/>
      <c r="ASA13" s="37"/>
      <c r="ASB13" s="37"/>
      <c r="ASC13" s="37"/>
      <c r="ASD13" s="37"/>
      <c r="ASE13" s="37"/>
      <c r="ASF13" s="37"/>
      <c r="ASG13" s="37"/>
      <c r="ASH13" s="37"/>
      <c r="ASI13" s="37"/>
      <c r="ASJ13" s="37"/>
      <c r="ASK13" s="37"/>
      <c r="ASL13" s="37"/>
      <c r="ASM13" s="37"/>
      <c r="ASN13" s="37"/>
      <c r="ASO13" s="37"/>
      <c r="ASP13" s="37"/>
      <c r="ASQ13" s="37"/>
      <c r="ASR13" s="37"/>
      <c r="ASS13" s="37"/>
      <c r="AST13" s="37"/>
      <c r="ASU13" s="37"/>
      <c r="ASV13" s="37"/>
      <c r="ASW13" s="37"/>
      <c r="ASX13" s="37"/>
      <c r="ASY13" s="37"/>
      <c r="ASZ13" s="37"/>
      <c r="ATA13" s="37"/>
      <c r="ATB13" s="37"/>
      <c r="ATC13" s="37"/>
      <c r="ATD13" s="37"/>
      <c r="ATE13" s="37"/>
      <c r="ATF13" s="37"/>
      <c r="ATG13" s="37"/>
      <c r="ATH13" s="37"/>
      <c r="ATI13" s="37"/>
      <c r="ATJ13" s="37"/>
      <c r="ATK13" s="37"/>
      <c r="ATL13" s="37"/>
      <c r="ATM13" s="37"/>
      <c r="ATN13" s="37"/>
      <c r="ATO13" s="37"/>
      <c r="ATP13" s="37"/>
      <c r="ATQ13" s="37"/>
      <c r="ATR13" s="37"/>
      <c r="ATS13" s="37"/>
      <c r="ATT13" s="37"/>
      <c r="ATU13" s="37"/>
      <c r="ATV13" s="37"/>
      <c r="ATW13" s="37"/>
      <c r="ATX13" s="37"/>
      <c r="ATY13" s="37"/>
      <c r="ATZ13" s="37"/>
      <c r="AUA13" s="37"/>
      <c r="AUB13" s="37"/>
      <c r="AUC13" s="37"/>
      <c r="AUD13" s="37"/>
      <c r="AUE13" s="37"/>
      <c r="AUF13" s="37"/>
      <c r="AUG13" s="37"/>
      <c r="AUH13" s="37"/>
      <c r="AUI13" s="37"/>
      <c r="AUJ13" s="37"/>
      <c r="AUK13" s="37"/>
      <c r="AUL13" s="37"/>
      <c r="AUM13" s="37"/>
      <c r="AUN13" s="37"/>
      <c r="AUO13" s="37"/>
      <c r="AUP13" s="37"/>
      <c r="AUQ13" s="37"/>
      <c r="AUR13" s="37"/>
      <c r="AUS13" s="37"/>
      <c r="AUT13" s="37"/>
      <c r="AUU13" s="37"/>
      <c r="AUV13" s="37"/>
      <c r="AUW13" s="37"/>
      <c r="AUX13" s="37"/>
      <c r="AUY13" s="37"/>
      <c r="AUZ13" s="37"/>
      <c r="AVA13" s="37"/>
      <c r="AVB13" s="37"/>
      <c r="AVC13" s="37"/>
      <c r="AVD13" s="37"/>
      <c r="AVE13" s="37"/>
      <c r="AVF13" s="37"/>
      <c r="AVG13" s="37"/>
      <c r="AVH13" s="37"/>
      <c r="AVI13" s="37"/>
      <c r="AVJ13" s="37"/>
      <c r="AVK13" s="37"/>
      <c r="AVL13" s="37"/>
      <c r="AVM13" s="37"/>
      <c r="AVN13" s="37"/>
      <c r="AVO13" s="37"/>
      <c r="AVP13" s="37"/>
      <c r="AVQ13" s="37"/>
      <c r="AVR13" s="37"/>
      <c r="AVS13" s="37"/>
      <c r="AVT13" s="37"/>
      <c r="AVU13" s="37"/>
      <c r="AVV13" s="37"/>
      <c r="AVW13" s="37"/>
      <c r="AVX13" s="37"/>
      <c r="AVY13" s="37"/>
      <c r="AVZ13" s="37"/>
      <c r="AWA13" s="37"/>
      <c r="AWB13" s="37"/>
      <c r="AWC13" s="37"/>
      <c r="AWD13" s="37"/>
      <c r="AWE13" s="37"/>
      <c r="AWF13" s="37"/>
      <c r="AWG13" s="37"/>
      <c r="AWH13" s="37"/>
      <c r="AWI13" s="37"/>
      <c r="AWJ13" s="37"/>
      <c r="AWK13" s="37"/>
      <c r="AWL13" s="37"/>
      <c r="AWM13" s="37"/>
      <c r="AWN13" s="37"/>
      <c r="AWO13" s="37"/>
      <c r="AWP13" s="37"/>
      <c r="AWQ13" s="37"/>
      <c r="AWR13" s="37"/>
      <c r="AWS13" s="37"/>
      <c r="AWT13" s="37"/>
      <c r="AWU13" s="37"/>
      <c r="AWV13" s="37"/>
      <c r="AWW13" s="37"/>
      <c r="AWX13" s="37"/>
      <c r="AWY13" s="37"/>
      <c r="AWZ13" s="37"/>
      <c r="AXA13" s="37"/>
      <c r="AXB13" s="37"/>
      <c r="AXC13" s="37"/>
      <c r="AXD13" s="37"/>
      <c r="AXE13" s="37"/>
      <c r="AXF13" s="37"/>
      <c r="AXG13" s="37"/>
      <c r="AXH13" s="37"/>
      <c r="AXI13" s="37"/>
      <c r="AXJ13" s="37"/>
      <c r="AXK13" s="37"/>
      <c r="AXL13" s="37"/>
      <c r="AXM13" s="37"/>
      <c r="AXN13" s="37"/>
      <c r="AXO13" s="37"/>
      <c r="AXP13" s="37"/>
      <c r="AXQ13" s="37"/>
      <c r="AXR13" s="37"/>
      <c r="AXS13" s="37"/>
      <c r="AXT13" s="37"/>
      <c r="AXU13" s="37"/>
      <c r="AXV13" s="37"/>
      <c r="AXW13" s="37"/>
      <c r="AXX13" s="37"/>
      <c r="AXY13" s="37"/>
      <c r="AXZ13" s="37"/>
      <c r="AYA13" s="37"/>
      <c r="AYB13" s="37"/>
      <c r="AYC13" s="37"/>
      <c r="AYD13" s="37"/>
      <c r="AYE13" s="37"/>
      <c r="AYF13" s="37"/>
      <c r="AYG13" s="37"/>
      <c r="AYH13" s="37"/>
      <c r="AYI13" s="37"/>
      <c r="AYJ13" s="37"/>
      <c r="AYK13" s="37"/>
      <c r="AYL13" s="37"/>
      <c r="AYM13" s="37"/>
      <c r="AYN13" s="37"/>
      <c r="AYO13" s="37"/>
      <c r="AYP13" s="37"/>
      <c r="AYQ13" s="37"/>
      <c r="AYR13" s="37"/>
      <c r="AYS13" s="37"/>
      <c r="AYT13" s="37"/>
      <c r="AYU13" s="37"/>
      <c r="AYV13" s="37"/>
      <c r="AYW13" s="37"/>
      <c r="AYX13" s="37"/>
      <c r="AYY13" s="37"/>
      <c r="AYZ13" s="37"/>
      <c r="AZA13" s="37"/>
      <c r="AZB13" s="37"/>
      <c r="AZC13" s="37"/>
      <c r="AZD13" s="37"/>
      <c r="AZE13" s="37"/>
      <c r="AZF13" s="37"/>
      <c r="AZG13" s="37"/>
      <c r="AZH13" s="37"/>
      <c r="AZI13" s="37"/>
      <c r="AZJ13" s="37"/>
      <c r="AZK13" s="37"/>
      <c r="AZL13" s="37"/>
      <c r="AZM13" s="37"/>
      <c r="AZN13" s="37"/>
      <c r="AZO13" s="37"/>
      <c r="AZP13" s="37"/>
      <c r="AZQ13" s="37"/>
      <c r="AZR13" s="37"/>
      <c r="AZS13" s="37"/>
      <c r="AZT13" s="37"/>
      <c r="AZU13" s="37"/>
      <c r="AZV13" s="37"/>
      <c r="AZW13" s="37"/>
      <c r="AZX13" s="37"/>
      <c r="AZY13" s="37"/>
      <c r="AZZ13" s="37"/>
      <c r="BAA13" s="37"/>
      <c r="BAB13" s="37"/>
      <c r="BAC13" s="37"/>
      <c r="BAD13" s="37"/>
      <c r="BAE13" s="37"/>
      <c r="BAF13" s="37"/>
      <c r="BAG13" s="37"/>
      <c r="BAH13" s="37"/>
      <c r="BAI13" s="37"/>
      <c r="BAJ13" s="37"/>
      <c r="BAK13" s="37"/>
      <c r="BAL13" s="37"/>
      <c r="BAM13" s="37"/>
      <c r="BAN13" s="37"/>
      <c r="BAO13" s="37"/>
      <c r="BAP13" s="37"/>
      <c r="BAQ13" s="37"/>
      <c r="BAR13" s="37"/>
      <c r="BAS13" s="37"/>
      <c r="BAT13" s="37"/>
      <c r="BAU13" s="37"/>
      <c r="BAV13" s="37"/>
      <c r="BAW13" s="37"/>
      <c r="BAX13" s="37"/>
      <c r="BAY13" s="37"/>
      <c r="BAZ13" s="37"/>
      <c r="BBA13" s="37"/>
      <c r="BBB13" s="37"/>
      <c r="BBC13" s="37"/>
      <c r="BBD13" s="37"/>
      <c r="BBE13" s="37"/>
      <c r="BBF13" s="37"/>
      <c r="BBG13" s="37"/>
      <c r="BBH13" s="37"/>
      <c r="BBI13" s="37"/>
      <c r="BBJ13" s="37"/>
      <c r="BBK13" s="37"/>
      <c r="BBL13" s="37"/>
      <c r="BBM13" s="37"/>
      <c r="BBN13" s="37"/>
      <c r="BBO13" s="37"/>
      <c r="BBP13" s="37"/>
      <c r="BBQ13" s="37"/>
      <c r="BBR13" s="37"/>
      <c r="BBS13" s="37"/>
      <c r="BBT13" s="37"/>
      <c r="BBU13" s="37"/>
      <c r="BBV13" s="37"/>
      <c r="BBW13" s="37"/>
      <c r="BBX13" s="37"/>
      <c r="BBY13" s="37"/>
      <c r="BBZ13" s="37"/>
      <c r="BCA13" s="37"/>
      <c r="BCB13" s="37"/>
      <c r="BCC13" s="37"/>
      <c r="BCD13" s="37"/>
      <c r="BCE13" s="37"/>
      <c r="BCF13" s="37"/>
      <c r="BCG13" s="37"/>
      <c r="BCH13" s="37"/>
      <c r="BCI13" s="37"/>
      <c r="BCJ13" s="37"/>
      <c r="BCK13" s="37"/>
      <c r="BCL13" s="37"/>
      <c r="BCM13" s="37"/>
      <c r="BCN13" s="37"/>
      <c r="BCO13" s="37"/>
      <c r="BCP13" s="37"/>
      <c r="BCQ13" s="37"/>
      <c r="BCR13" s="37"/>
      <c r="BCS13" s="37"/>
      <c r="BCT13" s="37"/>
      <c r="BCU13" s="37"/>
      <c r="BCV13" s="37"/>
      <c r="BCW13" s="37"/>
      <c r="BCX13" s="37"/>
      <c r="BCY13" s="37"/>
      <c r="BCZ13" s="37"/>
      <c r="BDA13" s="37"/>
      <c r="BDB13" s="37"/>
      <c r="BDC13" s="37"/>
      <c r="BDD13" s="37"/>
      <c r="BDE13" s="37"/>
      <c r="BDF13" s="37"/>
      <c r="BDG13" s="37"/>
      <c r="BDH13" s="37"/>
      <c r="BDI13" s="37"/>
      <c r="BDJ13" s="37"/>
      <c r="BDK13" s="37"/>
      <c r="BDL13" s="37"/>
      <c r="BDM13" s="37"/>
      <c r="BDN13" s="37"/>
      <c r="BDO13" s="37"/>
      <c r="BDP13" s="37"/>
      <c r="BDQ13" s="37"/>
      <c r="BDR13" s="37"/>
      <c r="BDS13" s="37"/>
      <c r="BDT13" s="37"/>
      <c r="BDU13" s="37"/>
      <c r="BDV13" s="37"/>
      <c r="BDW13" s="37"/>
      <c r="BDX13" s="37"/>
      <c r="BDY13" s="37"/>
      <c r="BDZ13" s="37"/>
      <c r="BEA13" s="37"/>
      <c r="BEB13" s="37"/>
      <c r="BEC13" s="37"/>
      <c r="BED13" s="37"/>
      <c r="BEE13" s="37"/>
      <c r="BEF13" s="37"/>
      <c r="BEG13" s="37"/>
      <c r="BEH13" s="37"/>
      <c r="BEI13" s="37"/>
      <c r="BEJ13" s="37"/>
      <c r="BEK13" s="37"/>
      <c r="BEL13" s="37"/>
      <c r="BEM13" s="37"/>
      <c r="BEN13" s="37"/>
      <c r="BEO13" s="37"/>
      <c r="BEP13" s="37"/>
      <c r="BEQ13" s="37"/>
      <c r="BER13" s="37"/>
      <c r="BES13" s="37"/>
      <c r="BET13" s="37"/>
      <c r="BEU13" s="37"/>
      <c r="BEV13" s="37"/>
      <c r="BEW13" s="37"/>
      <c r="BEX13" s="37"/>
      <c r="BEY13" s="37"/>
      <c r="BEZ13" s="37"/>
      <c r="BFA13" s="37"/>
      <c r="BFB13" s="37"/>
      <c r="BFC13" s="37"/>
      <c r="BFD13" s="37"/>
      <c r="BFE13" s="37"/>
      <c r="BFF13" s="37"/>
      <c r="BFG13" s="37"/>
      <c r="BFH13" s="37"/>
      <c r="BFI13" s="37"/>
      <c r="BFJ13" s="37"/>
      <c r="BFK13" s="37"/>
      <c r="BFL13" s="37"/>
      <c r="BFM13" s="37"/>
      <c r="BFN13" s="37"/>
      <c r="BFO13" s="37"/>
      <c r="BFP13" s="37"/>
      <c r="BFQ13" s="37"/>
      <c r="BFR13" s="37"/>
      <c r="BFS13" s="37"/>
      <c r="BFT13" s="37"/>
      <c r="BFU13" s="37"/>
      <c r="BFV13" s="37"/>
      <c r="BFW13" s="37"/>
      <c r="BFX13" s="37"/>
      <c r="BFY13" s="37"/>
      <c r="BFZ13" s="37"/>
      <c r="BGA13" s="37"/>
      <c r="BGB13" s="37"/>
      <c r="BGC13" s="37"/>
      <c r="BGD13" s="37"/>
      <c r="BGE13" s="37"/>
      <c r="BGF13" s="37"/>
      <c r="BGG13" s="37"/>
      <c r="BGH13" s="37"/>
      <c r="BGI13" s="37"/>
      <c r="BGJ13" s="37"/>
      <c r="BGK13" s="37"/>
      <c r="BGL13" s="37"/>
      <c r="BGM13" s="37"/>
      <c r="BGN13" s="37"/>
      <c r="BGO13" s="37"/>
      <c r="BGP13" s="37"/>
      <c r="BGQ13" s="37"/>
      <c r="BGR13" s="37"/>
      <c r="BGS13" s="37"/>
      <c r="BGT13" s="37"/>
      <c r="BGU13" s="37"/>
      <c r="BGV13" s="37"/>
      <c r="BGW13" s="37"/>
      <c r="BGX13" s="37"/>
      <c r="BGY13" s="37"/>
      <c r="BGZ13" s="37"/>
      <c r="BHA13" s="37"/>
      <c r="BHB13" s="37"/>
      <c r="BHC13" s="37"/>
      <c r="BHD13" s="37"/>
      <c r="BHE13" s="37"/>
      <c r="BHF13" s="37"/>
      <c r="BHG13" s="37"/>
      <c r="BHH13" s="37"/>
      <c r="BHI13" s="37"/>
      <c r="BHJ13" s="37"/>
      <c r="BHK13" s="37"/>
      <c r="BHL13" s="37"/>
      <c r="BHM13" s="37"/>
      <c r="BHN13" s="37"/>
      <c r="BHO13" s="37"/>
      <c r="BHP13" s="37"/>
      <c r="BHQ13" s="37"/>
      <c r="BHR13" s="37"/>
      <c r="BHS13" s="37"/>
      <c r="BHT13" s="37"/>
      <c r="BHU13" s="37"/>
      <c r="BHV13" s="37"/>
      <c r="BHW13" s="37"/>
      <c r="BHX13" s="37"/>
      <c r="BHY13" s="37"/>
      <c r="BHZ13" s="37"/>
      <c r="BIA13" s="37"/>
      <c r="BIB13" s="37"/>
      <c r="BIC13" s="37"/>
      <c r="BID13" s="37"/>
      <c r="BIE13" s="37"/>
      <c r="BIF13" s="37"/>
      <c r="BIG13" s="37"/>
      <c r="BIH13" s="37"/>
      <c r="BII13" s="37"/>
      <c r="BIJ13" s="37"/>
      <c r="BIK13" s="37"/>
      <c r="BIL13" s="37"/>
      <c r="BIM13" s="37"/>
      <c r="BIN13" s="37"/>
      <c r="BIO13" s="37"/>
      <c r="BIP13" s="37"/>
      <c r="BIQ13" s="37"/>
      <c r="BIR13" s="37"/>
      <c r="BIS13" s="37"/>
      <c r="BIT13" s="37"/>
      <c r="BIU13" s="37"/>
      <c r="BIV13" s="37"/>
      <c r="BIW13" s="37"/>
      <c r="BIX13" s="37"/>
      <c r="BIY13" s="37"/>
      <c r="BIZ13" s="37"/>
      <c r="BJA13" s="37"/>
      <c r="BJB13" s="37"/>
      <c r="BJC13" s="37"/>
      <c r="BJD13" s="37"/>
      <c r="BJE13" s="37"/>
      <c r="BJF13" s="37"/>
      <c r="BJG13" s="37"/>
      <c r="BJH13" s="37"/>
      <c r="BJI13" s="37"/>
      <c r="BJJ13" s="37"/>
      <c r="BJK13" s="37"/>
      <c r="BJL13" s="37"/>
      <c r="BJM13" s="37"/>
      <c r="BJN13" s="37"/>
      <c r="BJO13" s="37"/>
      <c r="BJP13" s="37"/>
      <c r="BJQ13" s="37"/>
      <c r="BJR13" s="37"/>
      <c r="BJS13" s="37"/>
      <c r="BJT13" s="37"/>
      <c r="BJU13" s="37"/>
      <c r="BJV13" s="37"/>
      <c r="BJW13" s="37"/>
      <c r="BJX13" s="37"/>
      <c r="BJY13" s="37"/>
      <c r="BJZ13" s="37"/>
      <c r="BKA13" s="37"/>
      <c r="BKB13" s="37"/>
      <c r="BKC13" s="37"/>
      <c r="BKD13" s="37"/>
      <c r="BKE13" s="37"/>
      <c r="BKF13" s="37"/>
      <c r="BKG13" s="37"/>
      <c r="BKH13" s="37"/>
      <c r="BKI13" s="37"/>
      <c r="BKJ13" s="37"/>
      <c r="BKK13" s="37"/>
      <c r="BKL13" s="37"/>
      <c r="BKM13" s="37"/>
      <c r="BKN13" s="37"/>
      <c r="BKO13" s="37"/>
      <c r="BKP13" s="37"/>
      <c r="BKQ13" s="37"/>
      <c r="BKR13" s="37"/>
      <c r="BKS13" s="37"/>
      <c r="BKT13" s="37"/>
      <c r="BKU13" s="37"/>
      <c r="BKV13" s="37"/>
      <c r="BKW13" s="37"/>
      <c r="BKX13" s="37"/>
      <c r="BKY13" s="37"/>
      <c r="BKZ13" s="37"/>
      <c r="BLA13" s="37"/>
      <c r="BLB13" s="37"/>
      <c r="BLC13" s="37"/>
      <c r="BLD13" s="37"/>
      <c r="BLE13" s="37"/>
      <c r="BLF13" s="37"/>
      <c r="BLG13" s="37"/>
      <c r="BLH13" s="37"/>
      <c r="BLI13" s="37"/>
      <c r="BLJ13" s="37"/>
      <c r="BLK13" s="37"/>
      <c r="BLL13" s="37"/>
      <c r="BLM13" s="37"/>
      <c r="BLN13" s="37"/>
      <c r="BLO13" s="37"/>
      <c r="BLP13" s="37"/>
      <c r="BLQ13" s="37"/>
      <c r="BLR13" s="37"/>
      <c r="BLS13" s="37"/>
      <c r="BLT13" s="37"/>
      <c r="BLU13" s="37"/>
      <c r="BLV13" s="37"/>
      <c r="BLW13" s="37"/>
      <c r="BLX13" s="37"/>
      <c r="BLY13" s="37"/>
      <c r="BLZ13" s="37"/>
      <c r="BMA13" s="37"/>
      <c r="BMB13" s="37"/>
      <c r="BMC13" s="37"/>
      <c r="BMD13" s="37"/>
      <c r="BME13" s="37"/>
      <c r="BMF13" s="37"/>
      <c r="BMG13" s="37"/>
      <c r="BMH13" s="37"/>
      <c r="BMI13" s="37"/>
      <c r="BMJ13" s="37"/>
      <c r="BMK13" s="37"/>
      <c r="BML13" s="37"/>
      <c r="BMM13" s="37"/>
      <c r="BMN13" s="37"/>
      <c r="BMO13" s="37"/>
      <c r="BMP13" s="37"/>
      <c r="BMQ13" s="37"/>
      <c r="BMR13" s="37"/>
      <c r="BMS13" s="37"/>
      <c r="BMT13" s="37"/>
      <c r="BMU13" s="37"/>
      <c r="BMV13" s="37"/>
      <c r="BMW13" s="37"/>
      <c r="BMX13" s="37"/>
      <c r="BMY13" s="37"/>
      <c r="BMZ13" s="37"/>
      <c r="BNA13" s="37"/>
      <c r="BNB13" s="37"/>
      <c r="BNC13" s="37"/>
      <c r="BND13" s="37"/>
      <c r="BNE13" s="37"/>
      <c r="BNF13" s="37"/>
      <c r="BNG13" s="37"/>
      <c r="BNH13" s="37"/>
      <c r="BNI13" s="37"/>
      <c r="BNJ13" s="37"/>
      <c r="BNK13" s="37"/>
      <c r="BNL13" s="37"/>
      <c r="BNM13" s="37"/>
      <c r="BNN13" s="37"/>
      <c r="BNO13" s="37"/>
      <c r="BNP13" s="37"/>
      <c r="BNQ13" s="37"/>
      <c r="BNR13" s="37"/>
      <c r="BNS13" s="37"/>
      <c r="BNT13" s="37"/>
      <c r="BNU13" s="37"/>
      <c r="BNV13" s="37"/>
      <c r="BNW13" s="37"/>
      <c r="BNX13" s="37"/>
      <c r="BNY13" s="37"/>
      <c r="BNZ13" s="37"/>
      <c r="BOA13" s="37"/>
      <c r="BOB13" s="37"/>
      <c r="BOC13" s="37"/>
      <c r="BOD13" s="37"/>
      <c r="BOE13" s="37"/>
      <c r="BOF13" s="37"/>
      <c r="BOG13" s="37"/>
      <c r="BOH13" s="37"/>
      <c r="BOI13" s="37"/>
      <c r="BOJ13" s="37"/>
      <c r="BOK13" s="37"/>
      <c r="BOL13" s="37"/>
      <c r="BOM13" s="37"/>
      <c r="BON13" s="37"/>
      <c r="BOO13" s="37"/>
      <c r="BOP13" s="37"/>
      <c r="BOQ13" s="37"/>
      <c r="BOR13" s="37"/>
      <c r="BOS13" s="37"/>
      <c r="BOT13" s="37"/>
      <c r="BOU13" s="37"/>
      <c r="BOV13" s="37"/>
      <c r="BOW13" s="37"/>
      <c r="BOX13" s="37"/>
      <c r="BOY13" s="37"/>
      <c r="BOZ13" s="37"/>
      <c r="BPA13" s="37"/>
      <c r="BPB13" s="37"/>
      <c r="BPC13" s="37"/>
      <c r="BPD13" s="37"/>
      <c r="BPE13" s="37"/>
      <c r="BPF13" s="37"/>
      <c r="BPG13" s="37"/>
      <c r="BPH13" s="37"/>
      <c r="BPI13" s="37"/>
      <c r="BPJ13" s="37"/>
      <c r="BPK13" s="37"/>
      <c r="BPL13" s="37"/>
      <c r="BPM13" s="37"/>
      <c r="BPN13" s="37"/>
      <c r="BPO13" s="37"/>
      <c r="BPP13" s="37"/>
      <c r="BPQ13" s="37"/>
      <c r="BPR13" s="37"/>
      <c r="BPS13" s="37"/>
      <c r="BPT13" s="37"/>
      <c r="BPU13" s="37"/>
      <c r="BPV13" s="37"/>
      <c r="BPW13" s="37"/>
      <c r="BPX13" s="37"/>
      <c r="BPY13" s="37"/>
      <c r="BPZ13" s="37"/>
      <c r="BQA13" s="37"/>
      <c r="BQB13" s="37"/>
      <c r="BQC13" s="37"/>
      <c r="BQD13" s="37"/>
      <c r="BQE13" s="37"/>
      <c r="BQF13" s="37"/>
      <c r="BQG13" s="37"/>
      <c r="BQH13" s="37"/>
      <c r="BQI13" s="37"/>
      <c r="BQJ13" s="37"/>
      <c r="BQK13" s="37"/>
      <c r="BQL13" s="37"/>
      <c r="BQM13" s="37"/>
      <c r="BQN13" s="37"/>
      <c r="BQO13" s="37"/>
      <c r="BQP13" s="37"/>
      <c r="BQQ13" s="37"/>
      <c r="BQR13" s="37"/>
      <c r="BQS13" s="37"/>
      <c r="BQT13" s="37"/>
      <c r="BQU13" s="37"/>
      <c r="BQV13" s="37"/>
      <c r="BQW13" s="37"/>
      <c r="BQX13" s="37"/>
      <c r="BQY13" s="37"/>
      <c r="BQZ13" s="37"/>
      <c r="BRA13" s="37"/>
      <c r="BRB13" s="37"/>
      <c r="BRC13" s="37"/>
      <c r="BRD13" s="37"/>
      <c r="BRE13" s="37"/>
      <c r="BRF13" s="37"/>
      <c r="BRG13" s="37"/>
      <c r="BRH13" s="37"/>
      <c r="BRI13" s="37"/>
      <c r="BRJ13" s="37"/>
      <c r="BRK13" s="37"/>
      <c r="BRL13" s="37"/>
      <c r="BRM13" s="37"/>
      <c r="BRN13" s="37"/>
      <c r="BRO13" s="37"/>
      <c r="BRP13" s="37"/>
      <c r="BRQ13" s="37"/>
      <c r="BRR13" s="37"/>
      <c r="BRS13" s="37"/>
      <c r="BRT13" s="37"/>
      <c r="BRU13" s="37"/>
      <c r="BRV13" s="37"/>
      <c r="BRW13" s="37"/>
      <c r="BRX13" s="37"/>
      <c r="BRY13" s="37"/>
      <c r="BRZ13" s="37"/>
      <c r="BSA13" s="37"/>
      <c r="BSB13" s="37"/>
      <c r="BSC13" s="37"/>
      <c r="BSD13" s="37"/>
      <c r="BSE13" s="37"/>
      <c r="BSF13" s="37"/>
      <c r="BSG13" s="37"/>
      <c r="BSH13" s="37"/>
      <c r="BSI13" s="37"/>
      <c r="BSJ13" s="37"/>
      <c r="BSK13" s="37"/>
      <c r="BSL13" s="37"/>
      <c r="BSM13" s="37"/>
      <c r="BSN13" s="37"/>
      <c r="BSO13" s="37"/>
      <c r="BSP13" s="37"/>
      <c r="BSQ13" s="37"/>
      <c r="BSR13" s="37"/>
      <c r="BSS13" s="37"/>
      <c r="BST13" s="37"/>
      <c r="BSU13" s="37"/>
      <c r="BSV13" s="37"/>
      <c r="BSW13" s="37"/>
      <c r="BSX13" s="37"/>
      <c r="BSY13" s="37"/>
      <c r="BSZ13" s="37"/>
      <c r="BTA13" s="37"/>
      <c r="BTB13" s="37"/>
      <c r="BTC13" s="37"/>
      <c r="BTD13" s="37"/>
      <c r="BTE13" s="37"/>
      <c r="BTF13" s="37"/>
      <c r="BTG13" s="37"/>
      <c r="BTH13" s="37"/>
      <c r="BTI13" s="37"/>
      <c r="BTJ13" s="37"/>
      <c r="BTK13" s="37"/>
      <c r="BTL13" s="37"/>
      <c r="BTM13" s="37"/>
      <c r="BTN13" s="37"/>
      <c r="BTO13" s="37"/>
      <c r="BTP13" s="37"/>
      <c r="BTQ13" s="37"/>
      <c r="BTR13" s="37"/>
      <c r="BTS13" s="37"/>
      <c r="BTT13" s="37"/>
      <c r="BTU13" s="37"/>
      <c r="BTV13" s="37"/>
      <c r="BTW13" s="37"/>
      <c r="BTX13" s="37"/>
      <c r="BTY13" s="37"/>
      <c r="BTZ13" s="37"/>
      <c r="BUA13" s="37"/>
      <c r="BUB13" s="37"/>
      <c r="BUC13" s="37"/>
      <c r="BUD13" s="37"/>
      <c r="BUE13" s="37"/>
      <c r="BUF13" s="37"/>
      <c r="BUG13" s="37"/>
      <c r="BUH13" s="37"/>
      <c r="BUI13" s="37"/>
      <c r="BUJ13" s="37"/>
      <c r="BUK13" s="37"/>
      <c r="BUL13" s="37"/>
      <c r="BUM13" s="37"/>
      <c r="BUN13" s="37"/>
      <c r="BUO13" s="37"/>
      <c r="BUP13" s="37"/>
      <c r="BUQ13" s="37"/>
      <c r="BUR13" s="37"/>
      <c r="BUS13" s="37"/>
      <c r="BUT13" s="37"/>
      <c r="BUU13" s="37"/>
      <c r="BUV13" s="37"/>
      <c r="BUW13" s="37"/>
      <c r="BUX13" s="37"/>
      <c r="BUY13" s="37"/>
      <c r="BUZ13" s="37"/>
      <c r="BVA13" s="37"/>
      <c r="BVB13" s="37"/>
      <c r="BVC13" s="37"/>
      <c r="BVD13" s="37"/>
      <c r="BVE13" s="37"/>
      <c r="BVF13" s="37"/>
      <c r="BVG13" s="37"/>
      <c r="BVH13" s="37"/>
      <c r="BVI13" s="37"/>
      <c r="BVJ13" s="37"/>
      <c r="BVK13" s="37"/>
      <c r="BVL13" s="37"/>
      <c r="BVM13" s="37"/>
      <c r="BVN13" s="37"/>
      <c r="BVO13" s="37"/>
      <c r="BVP13" s="37"/>
      <c r="BVQ13" s="37"/>
      <c r="BVR13" s="37"/>
      <c r="BVS13" s="37"/>
      <c r="BVT13" s="37"/>
      <c r="BVU13" s="37"/>
      <c r="BVV13" s="37"/>
      <c r="BVW13" s="37"/>
      <c r="BVX13" s="37"/>
      <c r="BVY13" s="37"/>
      <c r="BVZ13" s="37"/>
      <c r="BWA13" s="37"/>
      <c r="BWB13" s="37"/>
      <c r="BWC13" s="37"/>
      <c r="BWD13" s="37"/>
      <c r="BWE13" s="37"/>
      <c r="BWF13" s="37"/>
      <c r="BWG13" s="37"/>
      <c r="BWH13" s="37"/>
      <c r="BWI13" s="37"/>
      <c r="BWJ13" s="37"/>
      <c r="BWK13" s="37"/>
      <c r="BWL13" s="37"/>
      <c r="BWM13" s="37"/>
      <c r="BWN13" s="37"/>
      <c r="BWO13" s="37"/>
      <c r="BWP13" s="37"/>
      <c r="BWQ13" s="37"/>
      <c r="BWR13" s="37"/>
      <c r="BWS13" s="37"/>
      <c r="BWT13" s="37"/>
      <c r="BWU13" s="37"/>
      <c r="BWV13" s="37"/>
      <c r="BWW13" s="37"/>
      <c r="BWX13" s="37"/>
      <c r="BWY13" s="37"/>
      <c r="BWZ13" s="37"/>
      <c r="BXA13" s="37"/>
      <c r="BXB13" s="37"/>
      <c r="BXC13" s="37"/>
      <c r="BXD13" s="37"/>
      <c r="BXE13" s="37"/>
      <c r="BXF13" s="37"/>
      <c r="BXG13" s="37"/>
      <c r="BXH13" s="37"/>
      <c r="BXI13" s="37"/>
      <c r="BXJ13" s="37"/>
      <c r="BXK13" s="37"/>
      <c r="BXL13" s="37"/>
      <c r="BXM13" s="37"/>
      <c r="BXN13" s="37"/>
      <c r="BXO13" s="37"/>
      <c r="BXP13" s="37"/>
      <c r="BXQ13" s="37"/>
      <c r="BXR13" s="37"/>
      <c r="BXS13" s="37"/>
      <c r="BXT13" s="37"/>
      <c r="BXU13" s="37"/>
      <c r="BXV13" s="37"/>
      <c r="BXW13" s="37"/>
      <c r="BXX13" s="37"/>
      <c r="BXY13" s="37"/>
      <c r="BXZ13" s="37"/>
      <c r="BYA13" s="37"/>
      <c r="BYB13" s="37"/>
      <c r="BYC13" s="37"/>
      <c r="BYD13" s="37"/>
      <c r="BYE13" s="37"/>
      <c r="BYF13" s="37"/>
      <c r="BYG13" s="37"/>
      <c r="BYH13" s="37"/>
      <c r="BYI13" s="37"/>
      <c r="BYJ13" s="37"/>
      <c r="BYK13" s="37"/>
      <c r="BYL13" s="37"/>
      <c r="BYM13" s="37"/>
      <c r="BYN13" s="37"/>
      <c r="BYO13" s="37"/>
      <c r="BYP13" s="37"/>
      <c r="BYQ13" s="37"/>
      <c r="BYR13" s="37"/>
      <c r="BYS13" s="37"/>
      <c r="BYT13" s="37"/>
      <c r="BYU13" s="37"/>
      <c r="BYV13" s="37"/>
      <c r="BYW13" s="37"/>
      <c r="BYX13" s="37"/>
      <c r="BYY13" s="37"/>
      <c r="BYZ13" s="37"/>
      <c r="BZA13" s="37"/>
      <c r="BZB13" s="37"/>
      <c r="BZC13" s="37"/>
      <c r="BZD13" s="37"/>
      <c r="BZE13" s="37"/>
      <c r="BZF13" s="37"/>
      <c r="BZG13" s="37"/>
      <c r="BZH13" s="37"/>
      <c r="BZI13" s="37"/>
      <c r="BZJ13" s="37"/>
      <c r="BZK13" s="37"/>
      <c r="BZL13" s="37"/>
      <c r="BZM13" s="37"/>
      <c r="BZN13" s="37"/>
      <c r="BZO13" s="37"/>
      <c r="BZP13" s="37"/>
      <c r="BZQ13" s="37"/>
      <c r="BZR13" s="37"/>
      <c r="BZS13" s="37"/>
      <c r="BZT13" s="37"/>
      <c r="BZU13" s="37"/>
      <c r="BZV13" s="37"/>
      <c r="BZW13" s="37"/>
      <c r="BZX13" s="37"/>
      <c r="BZY13" s="37"/>
      <c r="BZZ13" s="37"/>
      <c r="CAA13" s="37"/>
      <c r="CAB13" s="37"/>
      <c r="CAC13" s="37"/>
      <c r="CAD13" s="37"/>
      <c r="CAE13" s="37"/>
      <c r="CAF13" s="37"/>
      <c r="CAG13" s="37"/>
      <c r="CAH13" s="37"/>
      <c r="CAI13" s="37"/>
      <c r="CAJ13" s="37"/>
      <c r="CAK13" s="37"/>
      <c r="CAL13" s="37"/>
      <c r="CAM13" s="37"/>
      <c r="CAN13" s="37"/>
      <c r="CAO13" s="37"/>
      <c r="CAP13" s="37"/>
      <c r="CAQ13" s="37"/>
      <c r="CAR13" s="37"/>
      <c r="CAS13" s="37"/>
      <c r="CAT13" s="37"/>
      <c r="CAU13" s="37"/>
      <c r="CAV13" s="37"/>
      <c r="CAW13" s="37"/>
      <c r="CAX13" s="37"/>
      <c r="CAY13" s="37"/>
      <c r="CAZ13" s="37"/>
      <c r="CBA13" s="37"/>
      <c r="CBB13" s="37"/>
      <c r="CBC13" s="37"/>
      <c r="CBD13" s="37"/>
      <c r="CBE13" s="37"/>
      <c r="CBF13" s="37"/>
      <c r="CBG13" s="37"/>
      <c r="CBH13" s="37"/>
    </row>
    <row r="14" spans="1:2088" x14ac:dyDescent="0.2">
      <c r="A14" s="1" t="s">
        <v>187</v>
      </c>
      <c r="B14" s="24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  <c r="AUA14" s="38"/>
      <c r="AUB14" s="38"/>
      <c r="AUC14" s="38"/>
      <c r="AUD14" s="38"/>
      <c r="AUE14" s="38"/>
      <c r="AUF14" s="38"/>
      <c r="AUG14" s="38"/>
      <c r="AUH14" s="38"/>
      <c r="AUI14" s="38"/>
      <c r="AUJ14" s="38"/>
      <c r="AUK14" s="38"/>
      <c r="AUL14" s="38"/>
      <c r="AUM14" s="38"/>
      <c r="AUN14" s="38"/>
      <c r="AUO14" s="38"/>
      <c r="AUP14" s="38"/>
      <c r="AUQ14" s="38"/>
      <c r="AUR14" s="38"/>
      <c r="AUS14" s="38"/>
      <c r="AUT14" s="38"/>
      <c r="AUU14" s="38"/>
      <c r="AUV14" s="38"/>
      <c r="AUW14" s="38"/>
      <c r="AUX14" s="38"/>
      <c r="AUY14" s="38"/>
      <c r="AUZ14" s="38"/>
      <c r="AVA14" s="38"/>
      <c r="AVB14" s="38"/>
      <c r="AVC14" s="38"/>
      <c r="AVD14" s="38"/>
      <c r="AVE14" s="38"/>
      <c r="AVF14" s="38"/>
      <c r="AVG14" s="38"/>
      <c r="AVH14" s="38"/>
      <c r="AVI14" s="38"/>
      <c r="AVJ14" s="38"/>
      <c r="AVK14" s="38"/>
      <c r="AVL14" s="38"/>
      <c r="AVM14" s="38"/>
      <c r="AVN14" s="38"/>
      <c r="AVO14" s="38"/>
      <c r="AVP14" s="38"/>
      <c r="AVQ14" s="38"/>
      <c r="AVR14" s="38"/>
      <c r="AVS14" s="38"/>
      <c r="AVT14" s="38"/>
      <c r="AVU14" s="38"/>
      <c r="AVV14" s="38"/>
      <c r="AVW14" s="38"/>
      <c r="AVX14" s="38"/>
      <c r="AVY14" s="38"/>
      <c r="AVZ14" s="38"/>
      <c r="AWA14" s="38"/>
      <c r="AWB14" s="38"/>
      <c r="AWC14" s="38"/>
      <c r="AWD14" s="38"/>
      <c r="AWE14" s="38"/>
      <c r="AWF14" s="38"/>
      <c r="AWG14" s="38"/>
      <c r="AWH14" s="38"/>
      <c r="AWI14" s="38"/>
      <c r="AWJ14" s="38"/>
      <c r="AWK14" s="38"/>
      <c r="AWL14" s="38"/>
      <c r="AWM14" s="38"/>
      <c r="AWN14" s="38"/>
      <c r="AWO14" s="38"/>
      <c r="AWP14" s="38"/>
      <c r="AWQ14" s="38"/>
      <c r="AWR14" s="38"/>
      <c r="AWS14" s="38"/>
      <c r="AWT14" s="38"/>
      <c r="AWU14" s="38"/>
      <c r="AWV14" s="38"/>
      <c r="AWW14" s="38"/>
      <c r="AWX14" s="38"/>
      <c r="AWY14" s="38"/>
      <c r="AWZ14" s="38"/>
      <c r="AXA14" s="38"/>
      <c r="AXB14" s="38"/>
      <c r="AXC14" s="38"/>
      <c r="AXD14" s="38"/>
      <c r="AXE14" s="38"/>
      <c r="AXF14" s="38"/>
      <c r="AXG14" s="38"/>
      <c r="AXH14" s="38"/>
      <c r="AXI14" s="38"/>
      <c r="AXJ14" s="38"/>
      <c r="AXK14" s="38"/>
      <c r="AXL14" s="38"/>
      <c r="AXM14" s="38"/>
      <c r="AXN14" s="38"/>
      <c r="AXO14" s="38"/>
      <c r="AXP14" s="38"/>
      <c r="AXQ14" s="38"/>
      <c r="AXR14" s="38"/>
      <c r="AXS14" s="38"/>
      <c r="AXT14" s="38"/>
      <c r="AXU14" s="38"/>
      <c r="AXV14" s="38"/>
      <c r="AXW14" s="38"/>
      <c r="AXX14" s="38"/>
      <c r="AXY14" s="38"/>
      <c r="AXZ14" s="38"/>
      <c r="AYA14" s="38"/>
      <c r="AYB14" s="38"/>
      <c r="AYC14" s="38"/>
      <c r="AYD14" s="38"/>
      <c r="AYE14" s="38"/>
      <c r="AYF14" s="38"/>
      <c r="AYG14" s="38"/>
      <c r="AYH14" s="38"/>
      <c r="AYI14" s="38"/>
      <c r="AYJ14" s="38"/>
      <c r="AYK14" s="38"/>
      <c r="AYL14" s="38"/>
      <c r="AYM14" s="38"/>
      <c r="AYN14" s="38"/>
      <c r="AYO14" s="38"/>
      <c r="AYP14" s="38"/>
      <c r="AYQ14" s="38"/>
      <c r="AYR14" s="38"/>
      <c r="AYS14" s="38"/>
      <c r="AYT14" s="38"/>
      <c r="AYU14" s="38"/>
      <c r="AYV14" s="38"/>
      <c r="AYW14" s="38"/>
      <c r="AYX14" s="38"/>
      <c r="AYY14" s="38"/>
      <c r="AYZ14" s="38"/>
      <c r="AZA14" s="38"/>
      <c r="AZB14" s="38"/>
      <c r="AZC14" s="38"/>
      <c r="AZD14" s="38"/>
      <c r="AZE14" s="38"/>
      <c r="AZF14" s="38"/>
      <c r="AZG14" s="38"/>
      <c r="AZH14" s="38"/>
      <c r="AZI14" s="38"/>
      <c r="AZJ14" s="38"/>
      <c r="AZK14" s="38"/>
      <c r="AZL14" s="38"/>
      <c r="AZM14" s="38"/>
      <c r="AZN14" s="38"/>
      <c r="AZO14" s="38"/>
      <c r="AZP14" s="38"/>
      <c r="AZQ14" s="38"/>
      <c r="AZR14" s="38"/>
      <c r="AZS14" s="38"/>
      <c r="AZT14" s="38"/>
      <c r="AZU14" s="38"/>
      <c r="AZV14" s="38"/>
      <c r="AZW14" s="38"/>
      <c r="AZX14" s="38"/>
      <c r="AZY14" s="38"/>
      <c r="AZZ14" s="38"/>
      <c r="BAA14" s="38"/>
      <c r="BAB14" s="38"/>
      <c r="BAC14" s="38"/>
      <c r="BAD14" s="38"/>
      <c r="BAE14" s="38"/>
      <c r="BAF14" s="38"/>
      <c r="BAG14" s="38"/>
      <c r="BAH14" s="38"/>
      <c r="BAI14" s="38"/>
      <c r="BAJ14" s="38"/>
      <c r="BAK14" s="38"/>
      <c r="BAL14" s="38"/>
      <c r="BAM14" s="38"/>
      <c r="BAN14" s="38"/>
      <c r="BAO14" s="38"/>
      <c r="BAP14" s="38"/>
      <c r="BAQ14" s="38"/>
      <c r="BAR14" s="38"/>
      <c r="BAS14" s="38"/>
      <c r="BAT14" s="38"/>
      <c r="BAU14" s="38"/>
      <c r="BAV14" s="38"/>
      <c r="BAW14" s="38"/>
      <c r="BAX14" s="38"/>
      <c r="BAY14" s="38"/>
      <c r="BAZ14" s="38"/>
      <c r="BBA14" s="38"/>
      <c r="BBB14" s="38"/>
      <c r="BBC14" s="38"/>
      <c r="BBD14" s="38"/>
      <c r="BBE14" s="38"/>
      <c r="BBF14" s="38"/>
      <c r="BBG14" s="38"/>
      <c r="BBH14" s="38"/>
      <c r="BBI14" s="38"/>
      <c r="BBJ14" s="38"/>
      <c r="BBK14" s="38"/>
      <c r="BBL14" s="38"/>
      <c r="BBM14" s="38"/>
      <c r="BBN14" s="38"/>
      <c r="BBO14" s="38"/>
      <c r="BBP14" s="38"/>
      <c r="BBQ14" s="38"/>
      <c r="BBR14" s="38"/>
      <c r="BBS14" s="38"/>
      <c r="BBT14" s="38"/>
      <c r="BBU14" s="38"/>
      <c r="BBV14" s="38"/>
      <c r="BBW14" s="38"/>
      <c r="BBX14" s="38"/>
      <c r="BBY14" s="38"/>
      <c r="BBZ14" s="38"/>
      <c r="BCA14" s="38"/>
      <c r="BCB14" s="38"/>
      <c r="BCC14" s="38"/>
      <c r="BCD14" s="38"/>
      <c r="BCE14" s="38"/>
      <c r="BCF14" s="38"/>
      <c r="BCG14" s="38"/>
      <c r="BCH14" s="38"/>
      <c r="BCI14" s="38"/>
      <c r="BCJ14" s="38"/>
      <c r="BCK14" s="38"/>
      <c r="BCL14" s="38"/>
      <c r="BCM14" s="38"/>
      <c r="BCN14" s="38"/>
      <c r="BCO14" s="38"/>
      <c r="BCP14" s="38"/>
      <c r="BCQ14" s="38"/>
      <c r="BCR14" s="38"/>
      <c r="BCS14" s="38"/>
      <c r="BCT14" s="38"/>
      <c r="BCU14" s="38"/>
      <c r="BCV14" s="38"/>
      <c r="BCW14" s="38"/>
      <c r="BCX14" s="38"/>
      <c r="BCY14" s="38"/>
      <c r="BCZ14" s="38"/>
      <c r="BDA14" s="38"/>
      <c r="BDB14" s="38"/>
      <c r="BDC14" s="38"/>
      <c r="BDD14" s="38"/>
      <c r="BDE14" s="38"/>
      <c r="BDF14" s="38"/>
      <c r="BDG14" s="38"/>
      <c r="BDH14" s="38"/>
      <c r="BDI14" s="38"/>
      <c r="BDJ14" s="38"/>
      <c r="BDK14" s="38"/>
      <c r="BDL14" s="38"/>
      <c r="BDM14" s="38"/>
      <c r="BDN14" s="38"/>
      <c r="BDO14" s="38"/>
      <c r="BDP14" s="38"/>
      <c r="BDQ14" s="38"/>
      <c r="BDR14" s="38"/>
      <c r="BDS14" s="38"/>
      <c r="BDT14" s="38"/>
      <c r="BDU14" s="38"/>
      <c r="BDV14" s="38"/>
      <c r="BDW14" s="38"/>
      <c r="BDX14" s="38"/>
      <c r="BDY14" s="38"/>
      <c r="BDZ14" s="38"/>
      <c r="BEA14" s="38"/>
      <c r="BEB14" s="38"/>
      <c r="BEC14" s="38"/>
      <c r="BED14" s="38"/>
      <c r="BEE14" s="38"/>
      <c r="BEF14" s="38"/>
      <c r="BEG14" s="38"/>
      <c r="BEH14" s="38"/>
      <c r="BEI14" s="38"/>
      <c r="BEJ14" s="38"/>
      <c r="BEK14" s="38"/>
      <c r="BEL14" s="38"/>
      <c r="BEM14" s="38"/>
      <c r="BEN14" s="38"/>
      <c r="BEO14" s="38"/>
      <c r="BEP14" s="38"/>
      <c r="BEQ14" s="38"/>
      <c r="BER14" s="38"/>
      <c r="BES14" s="38"/>
      <c r="BET14" s="38"/>
      <c r="BEU14" s="38"/>
      <c r="BEV14" s="38"/>
      <c r="BEW14" s="38"/>
      <c r="BEX14" s="38"/>
      <c r="BEY14" s="38"/>
      <c r="BEZ14" s="38"/>
      <c r="BFA14" s="38"/>
      <c r="BFB14" s="38"/>
      <c r="BFC14" s="38"/>
      <c r="BFD14" s="38"/>
      <c r="BFE14" s="38"/>
      <c r="BFF14" s="38"/>
      <c r="BFG14" s="38"/>
      <c r="BFH14" s="38"/>
      <c r="BFI14" s="38"/>
      <c r="BFJ14" s="38"/>
      <c r="BFK14" s="38"/>
      <c r="BFL14" s="38"/>
      <c r="BFM14" s="38"/>
      <c r="BFN14" s="38"/>
      <c r="BFO14" s="38"/>
      <c r="BFP14" s="38"/>
      <c r="BFQ14" s="38"/>
      <c r="BFR14" s="38"/>
      <c r="BFS14" s="38"/>
      <c r="BFT14" s="38"/>
      <c r="BFU14" s="38"/>
      <c r="BFV14" s="38"/>
      <c r="BFW14" s="38"/>
      <c r="BFX14" s="38"/>
      <c r="BFY14" s="38"/>
      <c r="BFZ14" s="38"/>
      <c r="BGA14" s="38"/>
      <c r="BGB14" s="38"/>
      <c r="BGC14" s="38"/>
      <c r="BGD14" s="38"/>
      <c r="BGE14" s="38"/>
      <c r="BGF14" s="38"/>
      <c r="BGG14" s="38"/>
      <c r="BGH14" s="38"/>
      <c r="BGI14" s="38"/>
      <c r="BGJ14" s="38"/>
      <c r="BGK14" s="38"/>
      <c r="BGL14" s="38"/>
      <c r="BGM14" s="38"/>
      <c r="BGN14" s="38"/>
      <c r="BGO14" s="38"/>
      <c r="BGP14" s="38"/>
      <c r="BGQ14" s="38"/>
      <c r="BGR14" s="38"/>
      <c r="BGS14" s="38"/>
      <c r="BGT14" s="38"/>
      <c r="BGU14" s="38"/>
      <c r="BGV14" s="38"/>
      <c r="BGW14" s="38"/>
      <c r="BGX14" s="38"/>
      <c r="BGY14" s="38"/>
      <c r="BGZ14" s="38"/>
      <c r="BHA14" s="38"/>
      <c r="BHB14" s="38"/>
      <c r="BHC14" s="38"/>
      <c r="BHD14" s="38"/>
      <c r="BHE14" s="38"/>
      <c r="BHF14" s="38"/>
      <c r="BHG14" s="38"/>
      <c r="BHH14" s="38"/>
      <c r="BHI14" s="38"/>
      <c r="BHJ14" s="38"/>
      <c r="BHK14" s="38"/>
      <c r="BHL14" s="38"/>
      <c r="BHM14" s="38"/>
      <c r="BHN14" s="38"/>
      <c r="BHO14" s="38"/>
      <c r="BHP14" s="38"/>
      <c r="BHQ14" s="38"/>
      <c r="BHR14" s="38"/>
      <c r="BHS14" s="38"/>
      <c r="BHT14" s="38"/>
      <c r="BHU14" s="38"/>
      <c r="BHV14" s="38"/>
      <c r="BHW14" s="38"/>
      <c r="BHX14" s="38"/>
      <c r="BHY14" s="38"/>
      <c r="BHZ14" s="38"/>
      <c r="BIA14" s="38"/>
      <c r="BIB14" s="38"/>
      <c r="BIC14" s="38"/>
      <c r="BID14" s="38"/>
      <c r="BIE14" s="38"/>
      <c r="BIF14" s="38"/>
      <c r="BIG14" s="38"/>
      <c r="BIH14" s="38"/>
      <c r="BII14" s="38"/>
      <c r="BIJ14" s="38"/>
      <c r="BIK14" s="38"/>
      <c r="BIL14" s="38"/>
      <c r="BIM14" s="38"/>
      <c r="BIN14" s="38"/>
      <c r="BIO14" s="38"/>
      <c r="BIP14" s="38"/>
      <c r="BIQ14" s="38"/>
      <c r="BIR14" s="38"/>
      <c r="BIS14" s="38"/>
      <c r="BIT14" s="38"/>
      <c r="BIU14" s="38"/>
      <c r="BIV14" s="38"/>
      <c r="BIW14" s="38"/>
      <c r="BIX14" s="38"/>
      <c r="BIY14" s="38"/>
      <c r="BIZ14" s="38"/>
      <c r="BJA14" s="38"/>
      <c r="BJB14" s="38"/>
      <c r="BJC14" s="38"/>
      <c r="BJD14" s="38"/>
      <c r="BJE14" s="38"/>
      <c r="BJF14" s="38"/>
      <c r="BJG14" s="38"/>
      <c r="BJH14" s="38"/>
      <c r="BJI14" s="38"/>
      <c r="BJJ14" s="38"/>
      <c r="BJK14" s="38"/>
      <c r="BJL14" s="38"/>
      <c r="BJM14" s="38"/>
      <c r="BJN14" s="38"/>
      <c r="BJO14" s="38"/>
      <c r="BJP14" s="38"/>
      <c r="BJQ14" s="38"/>
      <c r="BJR14" s="38"/>
      <c r="BJS14" s="38"/>
      <c r="BJT14" s="38"/>
      <c r="BJU14" s="38"/>
      <c r="BJV14" s="38"/>
      <c r="BJW14" s="38"/>
      <c r="BJX14" s="38"/>
      <c r="BJY14" s="38"/>
      <c r="BJZ14" s="38"/>
      <c r="BKA14" s="38"/>
      <c r="BKB14" s="38"/>
      <c r="BKC14" s="38"/>
      <c r="BKD14" s="38"/>
      <c r="BKE14" s="38"/>
      <c r="BKF14" s="38"/>
      <c r="BKG14" s="38"/>
      <c r="BKH14" s="38"/>
      <c r="BKI14" s="38"/>
      <c r="BKJ14" s="38"/>
      <c r="BKK14" s="38"/>
      <c r="BKL14" s="38"/>
      <c r="BKM14" s="38"/>
      <c r="BKN14" s="38"/>
      <c r="BKO14" s="38"/>
      <c r="BKP14" s="38"/>
      <c r="BKQ14" s="38"/>
      <c r="BKR14" s="38"/>
      <c r="BKS14" s="38"/>
      <c r="BKT14" s="38"/>
      <c r="BKU14" s="38"/>
      <c r="BKV14" s="38"/>
      <c r="BKW14" s="38"/>
      <c r="BKX14" s="38"/>
      <c r="BKY14" s="38"/>
      <c r="BKZ14" s="38"/>
      <c r="BLA14" s="38"/>
      <c r="BLB14" s="38"/>
      <c r="BLC14" s="38"/>
      <c r="BLD14" s="38"/>
      <c r="BLE14" s="38"/>
      <c r="BLF14" s="38"/>
      <c r="BLG14" s="38"/>
      <c r="BLH14" s="38"/>
      <c r="BLI14" s="38"/>
      <c r="BLJ14" s="38"/>
      <c r="BLK14" s="38"/>
      <c r="BLL14" s="38"/>
      <c r="BLM14" s="38"/>
      <c r="BLN14" s="38"/>
      <c r="BLO14" s="38"/>
      <c r="BLP14" s="38"/>
      <c r="BLQ14" s="38"/>
      <c r="BLR14" s="38"/>
      <c r="BLS14" s="38"/>
      <c r="BLT14" s="38"/>
      <c r="BLU14" s="38"/>
      <c r="BLV14" s="38"/>
      <c r="BLW14" s="38"/>
      <c r="BLX14" s="38"/>
      <c r="BLY14" s="38"/>
      <c r="BLZ14" s="38"/>
      <c r="BMA14" s="38"/>
      <c r="BMB14" s="38"/>
      <c r="BMC14" s="38"/>
      <c r="BMD14" s="38"/>
      <c r="BME14" s="38"/>
      <c r="BMF14" s="38"/>
      <c r="BMG14" s="38"/>
      <c r="BMH14" s="38"/>
      <c r="BMI14" s="38"/>
      <c r="BMJ14" s="38"/>
      <c r="BMK14" s="38"/>
      <c r="BML14" s="38"/>
      <c r="BMM14" s="38"/>
      <c r="BMN14" s="38"/>
      <c r="BMO14" s="38"/>
      <c r="BMP14" s="38"/>
      <c r="BMQ14" s="38"/>
      <c r="BMR14" s="38"/>
      <c r="BMS14" s="38"/>
      <c r="BMT14" s="38"/>
      <c r="BMU14" s="38"/>
      <c r="BMV14" s="38"/>
      <c r="BMW14" s="38"/>
      <c r="BMX14" s="38"/>
      <c r="BMY14" s="38"/>
      <c r="BMZ14" s="38"/>
      <c r="BNA14" s="38"/>
      <c r="BNB14" s="38"/>
      <c r="BNC14" s="38"/>
      <c r="BND14" s="38"/>
      <c r="BNE14" s="38"/>
      <c r="BNF14" s="38"/>
      <c r="BNG14" s="38"/>
      <c r="BNH14" s="38"/>
      <c r="BNI14" s="38"/>
      <c r="BNJ14" s="38"/>
      <c r="BNK14" s="38"/>
      <c r="BNL14" s="38"/>
      <c r="BNM14" s="38"/>
      <c r="BNN14" s="38"/>
      <c r="BNO14" s="38"/>
      <c r="BNP14" s="38"/>
      <c r="BNQ14" s="38"/>
      <c r="BNR14" s="38"/>
      <c r="BNS14" s="38"/>
      <c r="BNT14" s="38"/>
      <c r="BNU14" s="38"/>
      <c r="BNV14" s="38"/>
      <c r="BNW14" s="38"/>
      <c r="BNX14" s="38"/>
      <c r="BNY14" s="38"/>
      <c r="BNZ14" s="38"/>
      <c r="BOA14" s="38"/>
      <c r="BOB14" s="38"/>
      <c r="BOC14" s="38"/>
      <c r="BOD14" s="38"/>
      <c r="BOE14" s="38"/>
      <c r="BOF14" s="38"/>
      <c r="BOG14" s="38"/>
      <c r="BOH14" s="38"/>
      <c r="BOI14" s="38"/>
      <c r="BOJ14" s="38"/>
      <c r="BOK14" s="38"/>
      <c r="BOL14" s="38"/>
      <c r="BOM14" s="38"/>
      <c r="BON14" s="38"/>
      <c r="BOO14" s="38"/>
      <c r="BOP14" s="38"/>
      <c r="BOQ14" s="38"/>
      <c r="BOR14" s="38"/>
      <c r="BOS14" s="38"/>
      <c r="BOT14" s="38"/>
      <c r="BOU14" s="38"/>
      <c r="BOV14" s="38"/>
      <c r="BOW14" s="38"/>
      <c r="BOX14" s="38"/>
      <c r="BOY14" s="38"/>
      <c r="BOZ14" s="38"/>
      <c r="BPA14" s="38"/>
      <c r="BPB14" s="38"/>
      <c r="BPC14" s="38"/>
      <c r="BPD14" s="38"/>
      <c r="BPE14" s="38"/>
      <c r="BPF14" s="38"/>
      <c r="BPG14" s="38"/>
      <c r="BPH14" s="38"/>
      <c r="BPI14" s="38"/>
      <c r="BPJ14" s="38"/>
      <c r="BPK14" s="38"/>
      <c r="BPL14" s="38"/>
      <c r="BPM14" s="38"/>
      <c r="BPN14" s="38"/>
      <c r="BPO14" s="38"/>
      <c r="BPP14" s="38"/>
      <c r="BPQ14" s="38"/>
      <c r="BPR14" s="38"/>
      <c r="BPS14" s="38"/>
      <c r="BPT14" s="38"/>
      <c r="BPU14" s="38"/>
      <c r="BPV14" s="38"/>
      <c r="BPW14" s="38"/>
      <c r="BPX14" s="38"/>
      <c r="BPY14" s="38"/>
      <c r="BPZ14" s="38"/>
      <c r="BQA14" s="38"/>
      <c r="BQB14" s="38"/>
      <c r="BQC14" s="38"/>
      <c r="BQD14" s="38"/>
      <c r="BQE14" s="38"/>
      <c r="BQF14" s="38"/>
      <c r="BQG14" s="38"/>
      <c r="BQH14" s="38"/>
      <c r="BQI14" s="38"/>
      <c r="BQJ14" s="38"/>
      <c r="BQK14" s="38"/>
      <c r="BQL14" s="38"/>
      <c r="BQM14" s="38"/>
      <c r="BQN14" s="38"/>
      <c r="BQO14" s="38"/>
      <c r="BQP14" s="38"/>
      <c r="BQQ14" s="38"/>
      <c r="BQR14" s="38"/>
      <c r="BQS14" s="38"/>
      <c r="BQT14" s="38"/>
      <c r="BQU14" s="38"/>
      <c r="BQV14" s="38"/>
      <c r="BQW14" s="38"/>
      <c r="BQX14" s="38"/>
      <c r="BQY14" s="38"/>
      <c r="BQZ14" s="38"/>
      <c r="BRA14" s="38"/>
      <c r="BRB14" s="38"/>
      <c r="BRC14" s="38"/>
      <c r="BRD14" s="38"/>
      <c r="BRE14" s="38"/>
      <c r="BRF14" s="38"/>
      <c r="BRG14" s="38"/>
      <c r="BRH14" s="38"/>
      <c r="BRI14" s="38"/>
      <c r="BRJ14" s="38"/>
      <c r="BRK14" s="38"/>
      <c r="BRL14" s="38"/>
      <c r="BRM14" s="38"/>
      <c r="BRN14" s="38"/>
      <c r="BRO14" s="38"/>
      <c r="BRP14" s="38"/>
      <c r="BRQ14" s="38"/>
      <c r="BRR14" s="38"/>
      <c r="BRS14" s="38"/>
      <c r="BRT14" s="38"/>
      <c r="BRU14" s="38"/>
      <c r="BRV14" s="38"/>
      <c r="BRW14" s="38"/>
      <c r="BRX14" s="38"/>
      <c r="BRY14" s="38"/>
      <c r="BRZ14" s="38"/>
      <c r="BSA14" s="38"/>
      <c r="BSB14" s="38"/>
      <c r="BSC14" s="38"/>
      <c r="BSD14" s="38"/>
      <c r="BSE14" s="38"/>
      <c r="BSF14" s="38"/>
      <c r="BSG14" s="38"/>
      <c r="BSH14" s="38"/>
      <c r="BSI14" s="38"/>
      <c r="BSJ14" s="38"/>
      <c r="BSK14" s="38"/>
      <c r="BSL14" s="38"/>
      <c r="BSM14" s="38"/>
      <c r="BSN14" s="38"/>
      <c r="BSO14" s="38"/>
      <c r="BSP14" s="38"/>
      <c r="BSQ14" s="38"/>
      <c r="BSR14" s="38"/>
      <c r="BSS14" s="38"/>
      <c r="BST14" s="38"/>
      <c r="BSU14" s="38"/>
      <c r="BSV14" s="38"/>
      <c r="BSW14" s="38"/>
      <c r="BSX14" s="38"/>
      <c r="BSY14" s="38"/>
      <c r="BSZ14" s="38"/>
      <c r="BTA14" s="38"/>
      <c r="BTB14" s="38"/>
      <c r="BTC14" s="38"/>
      <c r="BTD14" s="38"/>
      <c r="BTE14" s="38"/>
      <c r="BTF14" s="38"/>
      <c r="BTG14" s="38"/>
      <c r="BTH14" s="38"/>
      <c r="BTI14" s="38"/>
      <c r="BTJ14" s="38"/>
      <c r="BTK14" s="38"/>
      <c r="BTL14" s="38"/>
      <c r="BTM14" s="38"/>
      <c r="BTN14" s="38"/>
      <c r="BTO14" s="38"/>
      <c r="BTP14" s="38"/>
      <c r="BTQ14" s="38"/>
      <c r="BTR14" s="38"/>
      <c r="BTS14" s="38"/>
      <c r="BTT14" s="38"/>
      <c r="BTU14" s="38"/>
      <c r="BTV14" s="38"/>
      <c r="BTW14" s="38"/>
      <c r="BTX14" s="38"/>
      <c r="BTY14" s="38"/>
      <c r="BTZ14" s="38"/>
      <c r="BUA14" s="38"/>
      <c r="BUB14" s="38"/>
      <c r="BUC14" s="38"/>
      <c r="BUD14" s="38"/>
      <c r="BUE14" s="38"/>
      <c r="BUF14" s="38"/>
      <c r="BUG14" s="38"/>
      <c r="BUH14" s="38"/>
      <c r="BUI14" s="38"/>
      <c r="BUJ14" s="38"/>
      <c r="BUK14" s="38"/>
      <c r="BUL14" s="38"/>
      <c r="BUM14" s="38"/>
      <c r="BUN14" s="38"/>
      <c r="BUO14" s="38"/>
      <c r="BUP14" s="38"/>
      <c r="BUQ14" s="38"/>
      <c r="BUR14" s="38"/>
      <c r="BUS14" s="38"/>
      <c r="BUT14" s="38"/>
      <c r="BUU14" s="38"/>
      <c r="BUV14" s="38"/>
      <c r="BUW14" s="38"/>
      <c r="BUX14" s="38"/>
      <c r="BUY14" s="38"/>
      <c r="BUZ14" s="38"/>
      <c r="BVA14" s="38"/>
      <c r="BVB14" s="38"/>
      <c r="BVC14" s="38"/>
      <c r="BVD14" s="38"/>
      <c r="BVE14" s="38"/>
      <c r="BVF14" s="38"/>
      <c r="BVG14" s="38"/>
      <c r="BVH14" s="38"/>
      <c r="BVI14" s="38"/>
      <c r="BVJ14" s="38"/>
      <c r="BVK14" s="38"/>
      <c r="BVL14" s="38"/>
      <c r="BVM14" s="38"/>
      <c r="BVN14" s="38"/>
      <c r="BVO14" s="38"/>
      <c r="BVP14" s="38"/>
      <c r="BVQ14" s="38"/>
      <c r="BVR14" s="38"/>
      <c r="BVS14" s="38"/>
      <c r="BVT14" s="38"/>
      <c r="BVU14" s="38"/>
      <c r="BVV14" s="38"/>
      <c r="BVW14" s="38"/>
      <c r="BVX14" s="38"/>
      <c r="BVY14" s="38"/>
      <c r="BVZ14" s="38"/>
      <c r="BWA14" s="38"/>
      <c r="BWB14" s="38"/>
      <c r="BWC14" s="38"/>
      <c r="BWD14" s="38"/>
      <c r="BWE14" s="38"/>
      <c r="BWF14" s="38"/>
      <c r="BWG14" s="38"/>
      <c r="BWH14" s="38"/>
      <c r="BWI14" s="38"/>
      <c r="BWJ14" s="38"/>
      <c r="BWK14" s="38"/>
      <c r="BWL14" s="38"/>
      <c r="BWM14" s="38"/>
      <c r="BWN14" s="38"/>
      <c r="BWO14" s="38"/>
      <c r="BWP14" s="38"/>
      <c r="BWQ14" s="38"/>
      <c r="BWR14" s="38"/>
      <c r="BWS14" s="38"/>
      <c r="BWT14" s="38"/>
      <c r="BWU14" s="38"/>
      <c r="BWV14" s="38"/>
      <c r="BWW14" s="38"/>
      <c r="BWX14" s="38"/>
      <c r="BWY14" s="38"/>
      <c r="BWZ14" s="38"/>
      <c r="BXA14" s="38"/>
      <c r="BXB14" s="38"/>
      <c r="BXC14" s="38"/>
      <c r="BXD14" s="38"/>
      <c r="BXE14" s="38"/>
      <c r="BXF14" s="38"/>
      <c r="BXG14" s="38"/>
      <c r="BXH14" s="38"/>
      <c r="BXI14" s="38"/>
      <c r="BXJ14" s="38"/>
      <c r="BXK14" s="38"/>
      <c r="BXL14" s="38"/>
      <c r="BXM14" s="38"/>
      <c r="BXN14" s="38"/>
      <c r="BXO14" s="38"/>
      <c r="BXP14" s="38"/>
      <c r="BXQ14" s="38"/>
      <c r="BXR14" s="38"/>
      <c r="BXS14" s="38"/>
      <c r="BXT14" s="38"/>
      <c r="BXU14" s="38"/>
      <c r="BXV14" s="38"/>
      <c r="BXW14" s="38"/>
      <c r="BXX14" s="38"/>
      <c r="BXY14" s="38"/>
      <c r="BXZ14" s="38"/>
      <c r="BYA14" s="38"/>
      <c r="BYB14" s="38"/>
      <c r="BYC14" s="38"/>
      <c r="BYD14" s="38"/>
      <c r="BYE14" s="38"/>
      <c r="BYF14" s="38"/>
      <c r="BYG14" s="38"/>
      <c r="BYH14" s="38"/>
      <c r="BYI14" s="38"/>
      <c r="BYJ14" s="38"/>
      <c r="BYK14" s="38"/>
      <c r="BYL14" s="38"/>
      <c r="BYM14" s="38"/>
      <c r="BYN14" s="38"/>
      <c r="BYO14" s="38"/>
      <c r="BYP14" s="38"/>
      <c r="BYQ14" s="38"/>
      <c r="BYR14" s="38"/>
      <c r="BYS14" s="38"/>
      <c r="BYT14" s="38"/>
      <c r="BYU14" s="38"/>
      <c r="BYV14" s="38"/>
      <c r="BYW14" s="38"/>
      <c r="BYX14" s="38"/>
      <c r="BYY14" s="38"/>
      <c r="BYZ14" s="38"/>
      <c r="BZA14" s="38"/>
      <c r="BZB14" s="38"/>
      <c r="BZC14" s="38"/>
      <c r="BZD14" s="38"/>
      <c r="BZE14" s="38"/>
      <c r="BZF14" s="38"/>
      <c r="BZG14" s="38"/>
      <c r="BZH14" s="38"/>
      <c r="BZI14" s="38"/>
      <c r="BZJ14" s="38"/>
      <c r="BZK14" s="38"/>
      <c r="BZL14" s="38"/>
      <c r="BZM14" s="38"/>
      <c r="BZN14" s="38"/>
      <c r="BZO14" s="38"/>
      <c r="BZP14" s="38"/>
      <c r="BZQ14" s="38"/>
      <c r="BZR14" s="38"/>
      <c r="BZS14" s="38"/>
      <c r="BZT14" s="38"/>
      <c r="BZU14" s="38"/>
      <c r="BZV14" s="38"/>
      <c r="BZW14" s="38"/>
      <c r="BZX14" s="38"/>
      <c r="BZY14" s="38"/>
      <c r="BZZ14" s="38"/>
      <c r="CAA14" s="38"/>
      <c r="CAB14" s="38"/>
      <c r="CAC14" s="38"/>
      <c r="CAD14" s="38"/>
      <c r="CAE14" s="38"/>
      <c r="CAF14" s="38"/>
      <c r="CAG14" s="38"/>
      <c r="CAH14" s="38"/>
      <c r="CAI14" s="38"/>
      <c r="CAJ14" s="38"/>
      <c r="CAK14" s="38"/>
      <c r="CAL14" s="38"/>
      <c r="CAM14" s="38"/>
      <c r="CAN14" s="38"/>
      <c r="CAO14" s="38"/>
      <c r="CAP14" s="38"/>
      <c r="CAQ14" s="38"/>
      <c r="CAR14" s="38"/>
      <c r="CAS14" s="38"/>
      <c r="CAT14" s="38"/>
      <c r="CAU14" s="38"/>
      <c r="CAV14" s="38"/>
      <c r="CAW14" s="38"/>
      <c r="CAX14" s="38"/>
      <c r="CAY14" s="38"/>
      <c r="CAZ14" s="38"/>
      <c r="CBA14" s="38"/>
      <c r="CBB14" s="38"/>
      <c r="CBC14" s="38"/>
      <c r="CBD14" s="38"/>
      <c r="CBE14" s="38"/>
      <c r="CBF14" s="38"/>
      <c r="CBG14" s="38"/>
      <c r="CBH14" s="38"/>
    </row>
    <row r="15" spans="1:2088" s="36" customFormat="1" ht="15" customHeight="1" x14ac:dyDescent="0.2">
      <c r="A15" s="1" t="s">
        <v>5</v>
      </c>
      <c r="B15" s="25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  <c r="ALQ15" s="39"/>
      <c r="ALR15" s="39"/>
      <c r="ALS15" s="39"/>
      <c r="ALT15" s="39"/>
      <c r="ALU15" s="39"/>
      <c r="ALV15" s="39"/>
      <c r="ALW15" s="39"/>
      <c r="ALX15" s="39"/>
      <c r="ALY15" s="39"/>
      <c r="ALZ15" s="39"/>
      <c r="AMA15" s="39"/>
      <c r="AMB15" s="39"/>
      <c r="AMC15" s="39"/>
      <c r="AMD15" s="39"/>
      <c r="AME15" s="39"/>
      <c r="AMF15" s="39"/>
      <c r="AMG15" s="39"/>
      <c r="AMH15" s="39"/>
      <c r="AMI15" s="39"/>
      <c r="AMJ15" s="39"/>
      <c r="AMK15" s="39"/>
      <c r="AML15" s="39"/>
      <c r="AMM15" s="39"/>
      <c r="AMN15" s="39"/>
      <c r="AMO15" s="39"/>
      <c r="AMP15" s="39"/>
      <c r="AMQ15" s="39"/>
      <c r="AMR15" s="39"/>
      <c r="AMS15" s="39"/>
      <c r="AMT15" s="39"/>
      <c r="AMU15" s="39"/>
      <c r="AMV15" s="39"/>
      <c r="AMW15" s="39"/>
      <c r="AMX15" s="39"/>
      <c r="AMY15" s="39"/>
      <c r="AMZ15" s="39"/>
      <c r="ANA15" s="39"/>
      <c r="ANB15" s="39"/>
      <c r="ANC15" s="39"/>
      <c r="AND15" s="39"/>
      <c r="ANE15" s="39"/>
      <c r="ANF15" s="39"/>
      <c r="ANG15" s="39"/>
      <c r="ANH15" s="39"/>
      <c r="ANI15" s="39"/>
      <c r="ANJ15" s="39"/>
      <c r="ANK15" s="39"/>
      <c r="ANL15" s="39"/>
      <c r="ANM15" s="39"/>
      <c r="ANN15" s="39"/>
      <c r="ANO15" s="39"/>
      <c r="ANP15" s="39"/>
      <c r="ANQ15" s="39"/>
      <c r="ANR15" s="39"/>
      <c r="ANS15" s="39"/>
      <c r="ANT15" s="39"/>
      <c r="ANU15" s="39"/>
      <c r="ANV15" s="39"/>
      <c r="ANW15" s="39"/>
      <c r="ANX15" s="39"/>
      <c r="ANY15" s="39"/>
      <c r="ANZ15" s="39"/>
      <c r="AOA15" s="39"/>
      <c r="AOB15" s="39"/>
      <c r="AOC15" s="39"/>
      <c r="AOD15" s="39"/>
      <c r="AOE15" s="39"/>
      <c r="AOF15" s="39"/>
      <c r="AOG15" s="39"/>
      <c r="AOH15" s="39"/>
      <c r="AOI15" s="39"/>
      <c r="AOJ15" s="39"/>
      <c r="AOK15" s="39"/>
      <c r="AOL15" s="39"/>
      <c r="AOM15" s="39"/>
      <c r="AON15" s="39"/>
      <c r="AOO15" s="39"/>
      <c r="AOP15" s="39"/>
      <c r="AOQ15" s="39"/>
      <c r="AOR15" s="39"/>
      <c r="AOS15" s="39"/>
      <c r="AOT15" s="39"/>
      <c r="AOU15" s="39"/>
      <c r="AOV15" s="39"/>
      <c r="AOW15" s="39"/>
      <c r="AOX15" s="39"/>
      <c r="AOY15" s="39"/>
      <c r="AOZ15" s="39"/>
      <c r="APA15" s="39"/>
      <c r="APB15" s="39"/>
      <c r="APC15" s="39"/>
      <c r="APD15" s="39"/>
      <c r="APE15" s="39"/>
      <c r="APF15" s="39"/>
      <c r="APG15" s="39"/>
      <c r="APH15" s="39"/>
      <c r="API15" s="39"/>
      <c r="APJ15" s="39"/>
      <c r="APK15" s="39"/>
      <c r="APL15" s="39"/>
      <c r="APM15" s="39"/>
      <c r="APN15" s="39"/>
      <c r="APO15" s="39"/>
      <c r="APP15" s="39"/>
      <c r="APQ15" s="39"/>
      <c r="APR15" s="39"/>
      <c r="APS15" s="39"/>
      <c r="APT15" s="39"/>
      <c r="APU15" s="39"/>
      <c r="APV15" s="39"/>
      <c r="APW15" s="39"/>
      <c r="APX15" s="39"/>
      <c r="APY15" s="39"/>
      <c r="APZ15" s="39"/>
      <c r="AQA15" s="39"/>
      <c r="AQB15" s="39"/>
      <c r="AQC15" s="39"/>
      <c r="AQD15" s="39"/>
      <c r="AQE15" s="39"/>
      <c r="AQF15" s="39"/>
      <c r="AQG15" s="39"/>
      <c r="AQH15" s="39"/>
      <c r="AQI15" s="39"/>
      <c r="AQJ15" s="39"/>
      <c r="AQK15" s="39"/>
      <c r="AQL15" s="39"/>
      <c r="AQM15" s="39"/>
      <c r="AQN15" s="39"/>
      <c r="AQO15" s="39"/>
      <c r="AQP15" s="39"/>
      <c r="AQQ15" s="39"/>
      <c r="AQR15" s="39"/>
      <c r="AQS15" s="39"/>
      <c r="AQT15" s="39"/>
      <c r="AQU15" s="39"/>
      <c r="AQV15" s="39"/>
      <c r="AQW15" s="39"/>
      <c r="AQX15" s="39"/>
      <c r="AQY15" s="39"/>
      <c r="AQZ15" s="39"/>
      <c r="ARA15" s="39"/>
      <c r="ARB15" s="39"/>
      <c r="ARC15" s="39"/>
      <c r="ARD15" s="39"/>
      <c r="ARE15" s="39"/>
      <c r="ARF15" s="39"/>
      <c r="ARG15" s="39"/>
      <c r="ARH15" s="39"/>
      <c r="ARI15" s="39"/>
      <c r="ARJ15" s="39"/>
      <c r="ARK15" s="39"/>
      <c r="ARL15" s="39"/>
      <c r="ARM15" s="39"/>
      <c r="ARN15" s="39"/>
      <c r="ARO15" s="39"/>
      <c r="ARP15" s="39"/>
      <c r="ARQ15" s="39"/>
      <c r="ARR15" s="39"/>
      <c r="ARS15" s="39"/>
      <c r="ART15" s="39"/>
      <c r="ARU15" s="39"/>
      <c r="ARV15" s="39"/>
      <c r="ARW15" s="39"/>
      <c r="ARX15" s="39"/>
      <c r="ARY15" s="39"/>
      <c r="ARZ15" s="39"/>
      <c r="ASA15" s="39"/>
      <c r="ASB15" s="39"/>
      <c r="ASC15" s="39"/>
      <c r="ASD15" s="39"/>
      <c r="ASE15" s="39"/>
      <c r="ASF15" s="39"/>
      <c r="ASG15" s="39"/>
      <c r="ASH15" s="39"/>
      <c r="ASI15" s="39"/>
      <c r="ASJ15" s="39"/>
      <c r="ASK15" s="39"/>
      <c r="ASL15" s="39"/>
      <c r="ASM15" s="39"/>
      <c r="ASN15" s="39"/>
      <c r="ASO15" s="39"/>
      <c r="ASP15" s="39"/>
      <c r="ASQ15" s="39"/>
      <c r="ASR15" s="39"/>
      <c r="ASS15" s="39"/>
      <c r="AST15" s="39"/>
      <c r="ASU15" s="39"/>
      <c r="ASV15" s="39"/>
      <c r="ASW15" s="39"/>
      <c r="ASX15" s="39"/>
      <c r="ASY15" s="39"/>
      <c r="ASZ15" s="39"/>
      <c r="ATA15" s="39"/>
      <c r="ATB15" s="39"/>
      <c r="ATC15" s="39"/>
      <c r="ATD15" s="39"/>
      <c r="ATE15" s="39"/>
      <c r="ATF15" s="39"/>
      <c r="ATG15" s="39"/>
      <c r="ATH15" s="39"/>
      <c r="ATI15" s="39"/>
      <c r="ATJ15" s="39"/>
      <c r="ATK15" s="39"/>
      <c r="ATL15" s="39"/>
      <c r="ATM15" s="39"/>
      <c r="ATN15" s="39"/>
      <c r="ATO15" s="39"/>
      <c r="ATP15" s="39"/>
      <c r="ATQ15" s="39"/>
      <c r="ATR15" s="39"/>
      <c r="ATS15" s="39"/>
      <c r="ATT15" s="39"/>
      <c r="ATU15" s="39"/>
      <c r="ATV15" s="39"/>
      <c r="ATW15" s="39"/>
      <c r="ATX15" s="39"/>
      <c r="ATY15" s="39"/>
      <c r="ATZ15" s="39"/>
      <c r="AUA15" s="39"/>
      <c r="AUB15" s="39"/>
      <c r="AUC15" s="39"/>
      <c r="AUD15" s="39"/>
      <c r="AUE15" s="39"/>
      <c r="AUF15" s="39"/>
      <c r="AUG15" s="39"/>
      <c r="AUH15" s="39"/>
      <c r="AUI15" s="39"/>
      <c r="AUJ15" s="39"/>
      <c r="AUK15" s="39"/>
      <c r="AUL15" s="39"/>
      <c r="AUM15" s="39"/>
      <c r="AUN15" s="39"/>
      <c r="AUO15" s="39"/>
      <c r="AUP15" s="39"/>
      <c r="AUQ15" s="39"/>
      <c r="AUR15" s="39"/>
      <c r="AUS15" s="39"/>
      <c r="AUT15" s="39"/>
      <c r="AUU15" s="39"/>
      <c r="AUV15" s="39"/>
      <c r="AUW15" s="39"/>
      <c r="AUX15" s="39"/>
      <c r="AUY15" s="39"/>
      <c r="AUZ15" s="39"/>
      <c r="AVA15" s="39"/>
      <c r="AVB15" s="39"/>
      <c r="AVC15" s="39"/>
      <c r="AVD15" s="39"/>
      <c r="AVE15" s="39"/>
      <c r="AVF15" s="39"/>
      <c r="AVG15" s="39"/>
      <c r="AVH15" s="39"/>
      <c r="AVI15" s="39"/>
      <c r="AVJ15" s="39"/>
      <c r="AVK15" s="39"/>
      <c r="AVL15" s="39"/>
      <c r="AVM15" s="39"/>
      <c r="AVN15" s="39"/>
      <c r="AVO15" s="39"/>
      <c r="AVP15" s="39"/>
      <c r="AVQ15" s="39"/>
      <c r="AVR15" s="39"/>
      <c r="AVS15" s="39"/>
      <c r="AVT15" s="39"/>
      <c r="AVU15" s="39"/>
      <c r="AVV15" s="39"/>
      <c r="AVW15" s="39"/>
      <c r="AVX15" s="39"/>
      <c r="AVY15" s="39"/>
      <c r="AVZ15" s="39"/>
      <c r="AWA15" s="39"/>
      <c r="AWB15" s="39"/>
      <c r="AWC15" s="39"/>
      <c r="AWD15" s="39"/>
      <c r="AWE15" s="39"/>
      <c r="AWF15" s="39"/>
      <c r="AWG15" s="39"/>
      <c r="AWH15" s="39"/>
      <c r="AWI15" s="39"/>
      <c r="AWJ15" s="39"/>
      <c r="AWK15" s="39"/>
      <c r="AWL15" s="39"/>
      <c r="AWM15" s="39"/>
      <c r="AWN15" s="39"/>
      <c r="AWO15" s="39"/>
      <c r="AWP15" s="39"/>
      <c r="AWQ15" s="39"/>
      <c r="AWR15" s="39"/>
      <c r="AWS15" s="39"/>
      <c r="AWT15" s="39"/>
      <c r="AWU15" s="39"/>
      <c r="AWV15" s="39"/>
      <c r="AWW15" s="39"/>
      <c r="AWX15" s="39"/>
      <c r="AWY15" s="39"/>
      <c r="AWZ15" s="39"/>
      <c r="AXA15" s="39"/>
      <c r="AXB15" s="39"/>
      <c r="AXC15" s="39"/>
      <c r="AXD15" s="39"/>
      <c r="AXE15" s="39"/>
      <c r="AXF15" s="39"/>
      <c r="AXG15" s="39"/>
      <c r="AXH15" s="39"/>
      <c r="AXI15" s="39"/>
      <c r="AXJ15" s="39"/>
      <c r="AXK15" s="39"/>
      <c r="AXL15" s="39"/>
      <c r="AXM15" s="39"/>
      <c r="AXN15" s="39"/>
      <c r="AXO15" s="39"/>
      <c r="AXP15" s="39"/>
      <c r="AXQ15" s="39"/>
      <c r="AXR15" s="39"/>
      <c r="AXS15" s="39"/>
      <c r="AXT15" s="39"/>
      <c r="AXU15" s="39"/>
      <c r="AXV15" s="39"/>
      <c r="AXW15" s="39"/>
      <c r="AXX15" s="39"/>
      <c r="AXY15" s="39"/>
      <c r="AXZ15" s="39"/>
      <c r="AYA15" s="39"/>
      <c r="AYB15" s="39"/>
      <c r="AYC15" s="39"/>
      <c r="AYD15" s="39"/>
      <c r="AYE15" s="39"/>
      <c r="AYF15" s="39"/>
      <c r="AYG15" s="39"/>
      <c r="AYH15" s="39"/>
      <c r="AYI15" s="39"/>
      <c r="AYJ15" s="39"/>
      <c r="AYK15" s="39"/>
      <c r="AYL15" s="39"/>
      <c r="AYM15" s="39"/>
      <c r="AYN15" s="39"/>
      <c r="AYO15" s="39"/>
      <c r="AYP15" s="39"/>
      <c r="AYQ15" s="39"/>
      <c r="AYR15" s="39"/>
      <c r="AYS15" s="39"/>
      <c r="AYT15" s="39"/>
      <c r="AYU15" s="39"/>
      <c r="AYV15" s="39"/>
      <c r="AYW15" s="39"/>
      <c r="AYX15" s="39"/>
      <c r="AYY15" s="39"/>
      <c r="AYZ15" s="39"/>
      <c r="AZA15" s="39"/>
      <c r="AZB15" s="39"/>
      <c r="AZC15" s="39"/>
      <c r="AZD15" s="39"/>
      <c r="AZE15" s="39"/>
      <c r="AZF15" s="39"/>
      <c r="AZG15" s="39"/>
      <c r="AZH15" s="39"/>
      <c r="AZI15" s="39"/>
      <c r="AZJ15" s="39"/>
      <c r="AZK15" s="39"/>
      <c r="AZL15" s="39"/>
      <c r="AZM15" s="39"/>
      <c r="AZN15" s="39"/>
      <c r="AZO15" s="39"/>
      <c r="AZP15" s="39"/>
      <c r="AZQ15" s="39"/>
      <c r="AZR15" s="39"/>
      <c r="AZS15" s="39"/>
      <c r="AZT15" s="39"/>
      <c r="AZU15" s="39"/>
      <c r="AZV15" s="39"/>
      <c r="AZW15" s="39"/>
      <c r="AZX15" s="39"/>
      <c r="AZY15" s="39"/>
      <c r="AZZ15" s="39"/>
      <c r="BAA15" s="39"/>
      <c r="BAB15" s="39"/>
      <c r="BAC15" s="39"/>
      <c r="BAD15" s="39"/>
      <c r="BAE15" s="39"/>
      <c r="BAF15" s="39"/>
      <c r="BAG15" s="39"/>
      <c r="BAH15" s="39"/>
      <c r="BAI15" s="39"/>
      <c r="BAJ15" s="39"/>
      <c r="BAK15" s="39"/>
      <c r="BAL15" s="39"/>
      <c r="BAM15" s="39"/>
      <c r="BAN15" s="39"/>
      <c r="BAO15" s="39"/>
      <c r="BAP15" s="39"/>
      <c r="BAQ15" s="39"/>
      <c r="BAR15" s="39"/>
      <c r="BAS15" s="39"/>
      <c r="BAT15" s="39"/>
      <c r="BAU15" s="39"/>
      <c r="BAV15" s="39"/>
      <c r="BAW15" s="39"/>
      <c r="BAX15" s="39"/>
      <c r="BAY15" s="39"/>
      <c r="BAZ15" s="39"/>
      <c r="BBA15" s="39"/>
      <c r="BBB15" s="39"/>
      <c r="BBC15" s="39"/>
      <c r="BBD15" s="39"/>
      <c r="BBE15" s="39"/>
      <c r="BBF15" s="39"/>
      <c r="BBG15" s="39"/>
      <c r="BBH15" s="39"/>
      <c r="BBI15" s="39"/>
      <c r="BBJ15" s="39"/>
      <c r="BBK15" s="39"/>
      <c r="BBL15" s="39"/>
      <c r="BBM15" s="39"/>
      <c r="BBN15" s="39"/>
      <c r="BBO15" s="39"/>
      <c r="BBP15" s="39"/>
      <c r="BBQ15" s="39"/>
      <c r="BBR15" s="39"/>
      <c r="BBS15" s="39"/>
      <c r="BBT15" s="39"/>
      <c r="BBU15" s="39"/>
      <c r="BBV15" s="39"/>
      <c r="BBW15" s="39"/>
      <c r="BBX15" s="39"/>
      <c r="BBY15" s="39"/>
      <c r="BBZ15" s="39"/>
      <c r="BCA15" s="39"/>
      <c r="BCB15" s="39"/>
      <c r="BCC15" s="39"/>
      <c r="BCD15" s="39"/>
      <c r="BCE15" s="39"/>
      <c r="BCF15" s="39"/>
      <c r="BCG15" s="39"/>
      <c r="BCH15" s="39"/>
      <c r="BCI15" s="39"/>
      <c r="BCJ15" s="39"/>
      <c r="BCK15" s="39"/>
      <c r="BCL15" s="39"/>
      <c r="BCM15" s="39"/>
      <c r="BCN15" s="39"/>
      <c r="BCO15" s="39"/>
      <c r="BCP15" s="39"/>
      <c r="BCQ15" s="39"/>
      <c r="BCR15" s="39"/>
      <c r="BCS15" s="39"/>
      <c r="BCT15" s="39"/>
      <c r="BCU15" s="39"/>
      <c r="BCV15" s="39"/>
      <c r="BCW15" s="39"/>
      <c r="BCX15" s="39"/>
      <c r="BCY15" s="39"/>
      <c r="BCZ15" s="39"/>
      <c r="BDA15" s="39"/>
      <c r="BDB15" s="39"/>
      <c r="BDC15" s="39"/>
      <c r="BDD15" s="39"/>
      <c r="BDE15" s="39"/>
      <c r="BDF15" s="39"/>
      <c r="BDG15" s="39"/>
      <c r="BDH15" s="39"/>
      <c r="BDI15" s="39"/>
      <c r="BDJ15" s="39"/>
      <c r="BDK15" s="39"/>
      <c r="BDL15" s="39"/>
      <c r="BDM15" s="39"/>
      <c r="BDN15" s="39"/>
      <c r="BDO15" s="39"/>
      <c r="BDP15" s="39"/>
      <c r="BDQ15" s="39"/>
      <c r="BDR15" s="39"/>
      <c r="BDS15" s="39"/>
      <c r="BDT15" s="39"/>
      <c r="BDU15" s="39"/>
      <c r="BDV15" s="39"/>
      <c r="BDW15" s="39"/>
      <c r="BDX15" s="39"/>
      <c r="BDY15" s="39"/>
      <c r="BDZ15" s="39"/>
      <c r="BEA15" s="39"/>
      <c r="BEB15" s="39"/>
      <c r="BEC15" s="39"/>
      <c r="BED15" s="39"/>
      <c r="BEE15" s="39"/>
      <c r="BEF15" s="39"/>
      <c r="BEG15" s="39"/>
      <c r="BEH15" s="39"/>
      <c r="BEI15" s="39"/>
      <c r="BEJ15" s="39"/>
      <c r="BEK15" s="39"/>
      <c r="BEL15" s="39"/>
      <c r="BEM15" s="39"/>
      <c r="BEN15" s="39"/>
      <c r="BEO15" s="39"/>
      <c r="BEP15" s="39"/>
      <c r="BEQ15" s="39"/>
      <c r="BER15" s="39"/>
      <c r="BES15" s="39"/>
      <c r="BET15" s="39"/>
      <c r="BEU15" s="39"/>
      <c r="BEV15" s="39"/>
      <c r="BEW15" s="39"/>
      <c r="BEX15" s="39"/>
      <c r="BEY15" s="39"/>
      <c r="BEZ15" s="39"/>
      <c r="BFA15" s="39"/>
      <c r="BFB15" s="39"/>
      <c r="BFC15" s="39"/>
      <c r="BFD15" s="39"/>
      <c r="BFE15" s="39"/>
      <c r="BFF15" s="39"/>
      <c r="BFG15" s="39"/>
      <c r="BFH15" s="39"/>
      <c r="BFI15" s="39"/>
      <c r="BFJ15" s="39"/>
      <c r="BFK15" s="39"/>
      <c r="BFL15" s="39"/>
      <c r="BFM15" s="39"/>
      <c r="BFN15" s="39"/>
      <c r="BFO15" s="39"/>
      <c r="BFP15" s="39"/>
      <c r="BFQ15" s="39"/>
      <c r="BFR15" s="39"/>
      <c r="BFS15" s="39"/>
      <c r="BFT15" s="39"/>
      <c r="BFU15" s="39"/>
      <c r="BFV15" s="39"/>
      <c r="BFW15" s="39"/>
      <c r="BFX15" s="39"/>
      <c r="BFY15" s="39"/>
      <c r="BFZ15" s="39"/>
      <c r="BGA15" s="39"/>
      <c r="BGB15" s="39"/>
      <c r="BGC15" s="39"/>
      <c r="BGD15" s="39"/>
      <c r="BGE15" s="39"/>
      <c r="BGF15" s="39"/>
      <c r="BGG15" s="39"/>
      <c r="BGH15" s="39"/>
      <c r="BGI15" s="39"/>
      <c r="BGJ15" s="39"/>
      <c r="BGK15" s="39"/>
      <c r="BGL15" s="39"/>
      <c r="BGM15" s="39"/>
      <c r="BGN15" s="39"/>
      <c r="BGO15" s="39"/>
      <c r="BGP15" s="39"/>
      <c r="BGQ15" s="39"/>
      <c r="BGR15" s="39"/>
      <c r="BGS15" s="39"/>
      <c r="BGT15" s="39"/>
      <c r="BGU15" s="39"/>
      <c r="BGV15" s="39"/>
      <c r="BGW15" s="39"/>
      <c r="BGX15" s="39"/>
      <c r="BGY15" s="39"/>
      <c r="BGZ15" s="39"/>
      <c r="BHA15" s="39"/>
      <c r="BHB15" s="39"/>
      <c r="BHC15" s="39"/>
      <c r="BHD15" s="39"/>
      <c r="BHE15" s="39"/>
      <c r="BHF15" s="39"/>
      <c r="BHG15" s="39"/>
      <c r="BHH15" s="39"/>
      <c r="BHI15" s="39"/>
      <c r="BHJ15" s="39"/>
      <c r="BHK15" s="39"/>
      <c r="BHL15" s="39"/>
      <c r="BHM15" s="39"/>
      <c r="BHN15" s="39"/>
      <c r="BHO15" s="39"/>
      <c r="BHP15" s="39"/>
      <c r="BHQ15" s="39"/>
      <c r="BHR15" s="39"/>
      <c r="BHS15" s="39"/>
      <c r="BHT15" s="39"/>
      <c r="BHU15" s="39"/>
      <c r="BHV15" s="39"/>
      <c r="BHW15" s="39"/>
      <c r="BHX15" s="39"/>
      <c r="BHY15" s="39"/>
      <c r="BHZ15" s="39"/>
      <c r="BIA15" s="39"/>
      <c r="BIB15" s="39"/>
      <c r="BIC15" s="39"/>
      <c r="BID15" s="39"/>
      <c r="BIE15" s="39"/>
      <c r="BIF15" s="39"/>
      <c r="BIG15" s="39"/>
      <c r="BIH15" s="39"/>
      <c r="BII15" s="39"/>
      <c r="BIJ15" s="39"/>
      <c r="BIK15" s="39"/>
      <c r="BIL15" s="39"/>
      <c r="BIM15" s="39"/>
      <c r="BIN15" s="39"/>
      <c r="BIO15" s="39"/>
      <c r="BIP15" s="39"/>
      <c r="BIQ15" s="39"/>
      <c r="BIR15" s="39"/>
      <c r="BIS15" s="39"/>
      <c r="BIT15" s="39"/>
      <c r="BIU15" s="39"/>
      <c r="BIV15" s="39"/>
      <c r="BIW15" s="39"/>
      <c r="BIX15" s="39"/>
      <c r="BIY15" s="39"/>
      <c r="BIZ15" s="39"/>
      <c r="BJA15" s="39"/>
      <c r="BJB15" s="39"/>
      <c r="BJC15" s="39"/>
      <c r="BJD15" s="39"/>
      <c r="BJE15" s="39"/>
      <c r="BJF15" s="39"/>
      <c r="BJG15" s="39"/>
      <c r="BJH15" s="39"/>
      <c r="BJI15" s="39"/>
      <c r="BJJ15" s="39"/>
      <c r="BJK15" s="39"/>
      <c r="BJL15" s="39"/>
      <c r="BJM15" s="39"/>
      <c r="BJN15" s="39"/>
      <c r="BJO15" s="39"/>
      <c r="BJP15" s="39"/>
      <c r="BJQ15" s="39"/>
      <c r="BJR15" s="39"/>
      <c r="BJS15" s="39"/>
      <c r="BJT15" s="39"/>
      <c r="BJU15" s="39"/>
      <c r="BJV15" s="39"/>
      <c r="BJW15" s="39"/>
      <c r="BJX15" s="39"/>
      <c r="BJY15" s="39"/>
      <c r="BJZ15" s="39"/>
      <c r="BKA15" s="39"/>
      <c r="BKB15" s="39"/>
      <c r="BKC15" s="39"/>
      <c r="BKD15" s="39"/>
      <c r="BKE15" s="39"/>
      <c r="BKF15" s="39"/>
      <c r="BKG15" s="39"/>
      <c r="BKH15" s="39"/>
      <c r="BKI15" s="39"/>
      <c r="BKJ15" s="39"/>
      <c r="BKK15" s="39"/>
      <c r="BKL15" s="39"/>
      <c r="BKM15" s="39"/>
      <c r="BKN15" s="39"/>
      <c r="BKO15" s="39"/>
      <c r="BKP15" s="39"/>
      <c r="BKQ15" s="39"/>
      <c r="BKR15" s="39"/>
      <c r="BKS15" s="39"/>
      <c r="BKT15" s="39"/>
      <c r="BKU15" s="39"/>
      <c r="BKV15" s="39"/>
      <c r="BKW15" s="39"/>
      <c r="BKX15" s="39"/>
      <c r="BKY15" s="39"/>
      <c r="BKZ15" s="39"/>
      <c r="BLA15" s="39"/>
      <c r="BLB15" s="39"/>
      <c r="BLC15" s="39"/>
      <c r="BLD15" s="39"/>
      <c r="BLE15" s="39"/>
      <c r="BLF15" s="39"/>
      <c r="BLG15" s="39"/>
      <c r="BLH15" s="39"/>
      <c r="BLI15" s="39"/>
      <c r="BLJ15" s="39"/>
      <c r="BLK15" s="39"/>
      <c r="BLL15" s="39"/>
      <c r="BLM15" s="39"/>
      <c r="BLN15" s="39"/>
      <c r="BLO15" s="39"/>
      <c r="BLP15" s="39"/>
      <c r="BLQ15" s="39"/>
      <c r="BLR15" s="39"/>
      <c r="BLS15" s="39"/>
      <c r="BLT15" s="39"/>
      <c r="BLU15" s="39"/>
      <c r="BLV15" s="39"/>
      <c r="BLW15" s="39"/>
      <c r="BLX15" s="39"/>
      <c r="BLY15" s="39"/>
      <c r="BLZ15" s="39"/>
      <c r="BMA15" s="39"/>
      <c r="BMB15" s="39"/>
      <c r="BMC15" s="39"/>
      <c r="BMD15" s="39"/>
      <c r="BME15" s="39"/>
      <c r="BMF15" s="39"/>
      <c r="BMG15" s="39"/>
      <c r="BMH15" s="39"/>
      <c r="BMI15" s="39"/>
      <c r="BMJ15" s="39"/>
      <c r="BMK15" s="39"/>
      <c r="BML15" s="39"/>
      <c r="BMM15" s="39"/>
      <c r="BMN15" s="39"/>
      <c r="BMO15" s="39"/>
      <c r="BMP15" s="39"/>
      <c r="BMQ15" s="39"/>
      <c r="BMR15" s="39"/>
      <c r="BMS15" s="39"/>
      <c r="BMT15" s="39"/>
      <c r="BMU15" s="39"/>
      <c r="BMV15" s="39"/>
      <c r="BMW15" s="39"/>
      <c r="BMX15" s="39"/>
      <c r="BMY15" s="39"/>
      <c r="BMZ15" s="39"/>
      <c r="BNA15" s="39"/>
      <c r="BNB15" s="39"/>
      <c r="BNC15" s="39"/>
      <c r="BND15" s="39"/>
      <c r="BNE15" s="39"/>
      <c r="BNF15" s="39"/>
      <c r="BNG15" s="39"/>
      <c r="BNH15" s="39"/>
      <c r="BNI15" s="39"/>
      <c r="BNJ15" s="39"/>
      <c r="BNK15" s="39"/>
      <c r="BNL15" s="39"/>
      <c r="BNM15" s="39"/>
      <c r="BNN15" s="39"/>
      <c r="BNO15" s="39"/>
      <c r="BNP15" s="39"/>
      <c r="BNQ15" s="39"/>
      <c r="BNR15" s="39"/>
      <c r="BNS15" s="39"/>
      <c r="BNT15" s="39"/>
      <c r="BNU15" s="39"/>
      <c r="BNV15" s="39"/>
      <c r="BNW15" s="39"/>
      <c r="BNX15" s="39"/>
      <c r="BNY15" s="39"/>
      <c r="BNZ15" s="39"/>
      <c r="BOA15" s="39"/>
      <c r="BOB15" s="39"/>
      <c r="BOC15" s="39"/>
      <c r="BOD15" s="39"/>
      <c r="BOE15" s="39"/>
      <c r="BOF15" s="39"/>
      <c r="BOG15" s="39"/>
      <c r="BOH15" s="39"/>
      <c r="BOI15" s="39"/>
      <c r="BOJ15" s="39"/>
      <c r="BOK15" s="39"/>
      <c r="BOL15" s="39"/>
      <c r="BOM15" s="39"/>
      <c r="BON15" s="39"/>
      <c r="BOO15" s="39"/>
      <c r="BOP15" s="39"/>
      <c r="BOQ15" s="39"/>
      <c r="BOR15" s="39"/>
      <c r="BOS15" s="39"/>
      <c r="BOT15" s="39"/>
      <c r="BOU15" s="39"/>
      <c r="BOV15" s="39"/>
      <c r="BOW15" s="39"/>
      <c r="BOX15" s="39"/>
      <c r="BOY15" s="39"/>
      <c r="BOZ15" s="39"/>
      <c r="BPA15" s="39"/>
      <c r="BPB15" s="39"/>
      <c r="BPC15" s="39"/>
      <c r="BPD15" s="39"/>
      <c r="BPE15" s="39"/>
      <c r="BPF15" s="39"/>
      <c r="BPG15" s="39"/>
      <c r="BPH15" s="39"/>
      <c r="BPI15" s="39"/>
      <c r="BPJ15" s="39"/>
      <c r="BPK15" s="39"/>
      <c r="BPL15" s="39"/>
      <c r="BPM15" s="39"/>
      <c r="BPN15" s="39"/>
      <c r="BPO15" s="39"/>
      <c r="BPP15" s="39"/>
      <c r="BPQ15" s="39"/>
      <c r="BPR15" s="39"/>
      <c r="BPS15" s="39"/>
      <c r="BPT15" s="39"/>
      <c r="BPU15" s="39"/>
      <c r="BPV15" s="39"/>
      <c r="BPW15" s="39"/>
      <c r="BPX15" s="39"/>
      <c r="BPY15" s="39"/>
      <c r="BPZ15" s="39"/>
      <c r="BQA15" s="39"/>
      <c r="BQB15" s="39"/>
      <c r="BQC15" s="39"/>
      <c r="BQD15" s="39"/>
      <c r="BQE15" s="39"/>
      <c r="BQF15" s="39"/>
      <c r="BQG15" s="39"/>
      <c r="BQH15" s="39"/>
      <c r="BQI15" s="39"/>
      <c r="BQJ15" s="39"/>
      <c r="BQK15" s="39"/>
      <c r="BQL15" s="39"/>
      <c r="BQM15" s="39"/>
      <c r="BQN15" s="39"/>
      <c r="BQO15" s="39"/>
      <c r="BQP15" s="39"/>
      <c r="BQQ15" s="39"/>
      <c r="BQR15" s="39"/>
      <c r="BQS15" s="39"/>
      <c r="BQT15" s="39"/>
      <c r="BQU15" s="39"/>
      <c r="BQV15" s="39"/>
      <c r="BQW15" s="39"/>
      <c r="BQX15" s="39"/>
      <c r="BQY15" s="39"/>
      <c r="BQZ15" s="39"/>
      <c r="BRA15" s="39"/>
      <c r="BRB15" s="39"/>
      <c r="BRC15" s="39"/>
      <c r="BRD15" s="39"/>
      <c r="BRE15" s="39"/>
      <c r="BRF15" s="39"/>
      <c r="BRG15" s="39"/>
      <c r="BRH15" s="39"/>
      <c r="BRI15" s="39"/>
      <c r="BRJ15" s="39"/>
      <c r="BRK15" s="39"/>
      <c r="BRL15" s="39"/>
      <c r="BRM15" s="39"/>
      <c r="BRN15" s="39"/>
      <c r="BRO15" s="39"/>
      <c r="BRP15" s="39"/>
      <c r="BRQ15" s="39"/>
      <c r="BRR15" s="39"/>
      <c r="BRS15" s="39"/>
      <c r="BRT15" s="39"/>
      <c r="BRU15" s="39"/>
      <c r="BRV15" s="39"/>
      <c r="BRW15" s="39"/>
      <c r="BRX15" s="39"/>
      <c r="BRY15" s="39"/>
      <c r="BRZ15" s="39"/>
      <c r="BSA15" s="39"/>
      <c r="BSB15" s="39"/>
      <c r="BSC15" s="39"/>
      <c r="BSD15" s="39"/>
      <c r="BSE15" s="39"/>
      <c r="BSF15" s="39"/>
      <c r="BSG15" s="39"/>
      <c r="BSH15" s="39"/>
      <c r="BSI15" s="39"/>
      <c r="BSJ15" s="39"/>
      <c r="BSK15" s="39"/>
      <c r="BSL15" s="39"/>
      <c r="BSM15" s="39"/>
      <c r="BSN15" s="39"/>
      <c r="BSO15" s="39"/>
      <c r="BSP15" s="39"/>
      <c r="BSQ15" s="39"/>
      <c r="BSR15" s="39"/>
      <c r="BSS15" s="39"/>
      <c r="BST15" s="39"/>
      <c r="BSU15" s="39"/>
      <c r="BSV15" s="39"/>
      <c r="BSW15" s="39"/>
      <c r="BSX15" s="39"/>
      <c r="BSY15" s="39"/>
      <c r="BSZ15" s="39"/>
      <c r="BTA15" s="39"/>
      <c r="BTB15" s="39"/>
      <c r="BTC15" s="39"/>
      <c r="BTD15" s="39"/>
      <c r="BTE15" s="39"/>
      <c r="BTF15" s="39"/>
      <c r="BTG15" s="39"/>
      <c r="BTH15" s="39"/>
      <c r="BTI15" s="39"/>
      <c r="BTJ15" s="39"/>
      <c r="BTK15" s="39"/>
      <c r="BTL15" s="39"/>
      <c r="BTM15" s="39"/>
      <c r="BTN15" s="39"/>
      <c r="BTO15" s="39"/>
      <c r="BTP15" s="39"/>
      <c r="BTQ15" s="39"/>
      <c r="BTR15" s="39"/>
      <c r="BTS15" s="39"/>
      <c r="BTT15" s="39"/>
      <c r="BTU15" s="39"/>
      <c r="BTV15" s="39"/>
      <c r="BTW15" s="39"/>
      <c r="BTX15" s="39"/>
      <c r="BTY15" s="39"/>
      <c r="BTZ15" s="39"/>
      <c r="BUA15" s="39"/>
      <c r="BUB15" s="39"/>
      <c r="BUC15" s="39"/>
      <c r="BUD15" s="39"/>
      <c r="BUE15" s="39"/>
      <c r="BUF15" s="39"/>
      <c r="BUG15" s="39"/>
      <c r="BUH15" s="39"/>
      <c r="BUI15" s="39"/>
      <c r="BUJ15" s="39"/>
      <c r="BUK15" s="39"/>
      <c r="BUL15" s="39"/>
      <c r="BUM15" s="39"/>
      <c r="BUN15" s="39"/>
      <c r="BUO15" s="39"/>
      <c r="BUP15" s="39"/>
      <c r="BUQ15" s="39"/>
      <c r="BUR15" s="39"/>
      <c r="BUS15" s="39"/>
      <c r="BUT15" s="39"/>
      <c r="BUU15" s="39"/>
      <c r="BUV15" s="39"/>
      <c r="BUW15" s="39"/>
      <c r="BUX15" s="39"/>
      <c r="BUY15" s="39"/>
      <c r="BUZ15" s="39"/>
      <c r="BVA15" s="39"/>
      <c r="BVB15" s="39"/>
      <c r="BVC15" s="39"/>
      <c r="BVD15" s="39"/>
      <c r="BVE15" s="39"/>
      <c r="BVF15" s="39"/>
      <c r="BVG15" s="39"/>
      <c r="BVH15" s="39"/>
      <c r="BVI15" s="39"/>
      <c r="BVJ15" s="39"/>
      <c r="BVK15" s="39"/>
      <c r="BVL15" s="39"/>
      <c r="BVM15" s="39"/>
      <c r="BVN15" s="39"/>
      <c r="BVO15" s="39"/>
      <c r="BVP15" s="39"/>
      <c r="BVQ15" s="39"/>
      <c r="BVR15" s="39"/>
      <c r="BVS15" s="39"/>
      <c r="BVT15" s="39"/>
      <c r="BVU15" s="39"/>
      <c r="BVV15" s="39"/>
      <c r="BVW15" s="39"/>
      <c r="BVX15" s="39"/>
      <c r="BVY15" s="39"/>
      <c r="BVZ15" s="39"/>
      <c r="BWA15" s="39"/>
      <c r="BWB15" s="39"/>
      <c r="BWC15" s="39"/>
      <c r="BWD15" s="39"/>
      <c r="BWE15" s="39"/>
      <c r="BWF15" s="39"/>
      <c r="BWG15" s="39"/>
      <c r="BWH15" s="39"/>
      <c r="BWI15" s="39"/>
      <c r="BWJ15" s="39"/>
      <c r="BWK15" s="39"/>
      <c r="BWL15" s="39"/>
      <c r="BWM15" s="39"/>
      <c r="BWN15" s="39"/>
      <c r="BWO15" s="39"/>
      <c r="BWP15" s="39"/>
      <c r="BWQ15" s="39"/>
      <c r="BWR15" s="39"/>
      <c r="BWS15" s="39"/>
      <c r="BWT15" s="39"/>
      <c r="BWU15" s="39"/>
      <c r="BWV15" s="39"/>
      <c r="BWW15" s="39"/>
      <c r="BWX15" s="39"/>
      <c r="BWY15" s="39"/>
      <c r="BWZ15" s="39"/>
      <c r="BXA15" s="39"/>
      <c r="BXB15" s="39"/>
      <c r="BXC15" s="39"/>
      <c r="BXD15" s="39"/>
      <c r="BXE15" s="39"/>
      <c r="BXF15" s="39"/>
      <c r="BXG15" s="39"/>
      <c r="BXH15" s="39"/>
      <c r="BXI15" s="39"/>
      <c r="BXJ15" s="39"/>
      <c r="BXK15" s="39"/>
      <c r="BXL15" s="39"/>
      <c r="BXM15" s="39"/>
      <c r="BXN15" s="39"/>
      <c r="BXO15" s="39"/>
      <c r="BXP15" s="39"/>
      <c r="BXQ15" s="39"/>
      <c r="BXR15" s="39"/>
      <c r="BXS15" s="39"/>
      <c r="BXT15" s="39"/>
      <c r="BXU15" s="39"/>
      <c r="BXV15" s="39"/>
      <c r="BXW15" s="39"/>
      <c r="BXX15" s="39"/>
      <c r="BXY15" s="39"/>
      <c r="BXZ15" s="39"/>
      <c r="BYA15" s="39"/>
      <c r="BYB15" s="39"/>
      <c r="BYC15" s="39"/>
      <c r="BYD15" s="39"/>
      <c r="BYE15" s="39"/>
      <c r="BYF15" s="39"/>
      <c r="BYG15" s="39"/>
      <c r="BYH15" s="39"/>
      <c r="BYI15" s="39"/>
      <c r="BYJ15" s="39"/>
      <c r="BYK15" s="39"/>
      <c r="BYL15" s="39"/>
      <c r="BYM15" s="39"/>
      <c r="BYN15" s="39"/>
      <c r="BYO15" s="39"/>
      <c r="BYP15" s="39"/>
      <c r="BYQ15" s="39"/>
      <c r="BYR15" s="39"/>
      <c r="BYS15" s="39"/>
      <c r="BYT15" s="39"/>
      <c r="BYU15" s="39"/>
      <c r="BYV15" s="39"/>
      <c r="BYW15" s="39"/>
      <c r="BYX15" s="39"/>
      <c r="BYY15" s="39"/>
      <c r="BYZ15" s="39"/>
      <c r="BZA15" s="39"/>
      <c r="BZB15" s="39"/>
      <c r="BZC15" s="39"/>
      <c r="BZD15" s="39"/>
      <c r="BZE15" s="39"/>
      <c r="BZF15" s="39"/>
      <c r="BZG15" s="39"/>
      <c r="BZH15" s="39"/>
      <c r="BZI15" s="39"/>
      <c r="BZJ15" s="39"/>
      <c r="BZK15" s="39"/>
      <c r="BZL15" s="39"/>
      <c r="BZM15" s="39"/>
      <c r="BZN15" s="39"/>
      <c r="BZO15" s="39"/>
      <c r="BZP15" s="39"/>
      <c r="BZQ15" s="39"/>
      <c r="BZR15" s="39"/>
      <c r="BZS15" s="39"/>
      <c r="BZT15" s="39"/>
      <c r="BZU15" s="39"/>
      <c r="BZV15" s="39"/>
      <c r="BZW15" s="39"/>
      <c r="BZX15" s="39"/>
      <c r="BZY15" s="39"/>
      <c r="BZZ15" s="39"/>
      <c r="CAA15" s="39"/>
      <c r="CAB15" s="39"/>
      <c r="CAC15" s="39"/>
      <c r="CAD15" s="39"/>
      <c r="CAE15" s="39"/>
      <c r="CAF15" s="39"/>
      <c r="CAG15" s="39"/>
      <c r="CAH15" s="39"/>
      <c r="CAI15" s="39"/>
      <c r="CAJ15" s="39"/>
      <c r="CAK15" s="39"/>
      <c r="CAL15" s="39"/>
      <c r="CAM15" s="39"/>
      <c r="CAN15" s="39"/>
      <c r="CAO15" s="39"/>
      <c r="CAP15" s="39"/>
      <c r="CAQ15" s="39"/>
      <c r="CAR15" s="39"/>
      <c r="CAS15" s="39"/>
      <c r="CAT15" s="39"/>
      <c r="CAU15" s="39"/>
      <c r="CAV15" s="39"/>
      <c r="CAW15" s="39"/>
      <c r="CAX15" s="39"/>
      <c r="CAY15" s="39"/>
      <c r="CAZ15" s="39"/>
      <c r="CBA15" s="39"/>
      <c r="CBB15" s="39"/>
      <c r="CBC15" s="39"/>
      <c r="CBD15" s="39"/>
      <c r="CBE15" s="39"/>
      <c r="CBF15" s="39"/>
      <c r="CBG15" s="39"/>
      <c r="CBH15" s="39"/>
    </row>
    <row r="16" spans="1:2088" ht="15" customHeight="1" x14ac:dyDescent="0.2">
      <c r="A16" s="9" t="s">
        <v>155</v>
      </c>
      <c r="B16" s="52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36"/>
      <c r="AFC16" s="36"/>
      <c r="AFD16" s="36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36"/>
      <c r="AFU16" s="36"/>
      <c r="AFV16" s="36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36"/>
      <c r="AGM16" s="36"/>
      <c r="AGN16" s="36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36"/>
      <c r="AHE16" s="36"/>
      <c r="AHF16" s="36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36"/>
      <c r="AHW16" s="36"/>
      <c r="AHX16" s="36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36"/>
      <c r="AIO16" s="36"/>
      <c r="AIP16" s="36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36"/>
      <c r="AJG16" s="36"/>
      <c r="AJH16" s="36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36"/>
      <c r="AJY16" s="36"/>
      <c r="AJZ16" s="36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36"/>
      <c r="AKQ16" s="36"/>
      <c r="AKR16" s="36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36"/>
      <c r="ALI16" s="36"/>
      <c r="ALJ16" s="36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36"/>
      <c r="AMA16" s="36"/>
      <c r="AMB16" s="36"/>
      <c r="AMC16" s="36"/>
      <c r="AMD16" s="36"/>
      <c r="AME16" s="36"/>
      <c r="AMF16" s="36"/>
      <c r="AMG16" s="36"/>
      <c r="AMH16" s="36"/>
      <c r="AMI16" s="36"/>
      <c r="AMJ16" s="36"/>
      <c r="AMK16" s="36"/>
      <c r="AML16" s="36"/>
      <c r="AMM16" s="36"/>
      <c r="AMN16" s="36"/>
      <c r="AMO16" s="36"/>
      <c r="AMP16" s="36"/>
      <c r="AMQ16" s="36"/>
      <c r="AMR16" s="36"/>
      <c r="AMS16" s="36"/>
      <c r="AMT16" s="36"/>
      <c r="AMU16" s="36"/>
      <c r="AMV16" s="36"/>
      <c r="AMW16" s="36"/>
      <c r="AMX16" s="36"/>
      <c r="AMY16" s="36"/>
      <c r="AMZ16" s="36"/>
      <c r="ANA16" s="36"/>
      <c r="ANB16" s="36"/>
      <c r="ANC16" s="36"/>
      <c r="AND16" s="36"/>
      <c r="ANE16" s="36"/>
      <c r="ANF16" s="36"/>
      <c r="ANG16" s="36"/>
      <c r="ANH16" s="36"/>
      <c r="ANI16" s="36"/>
      <c r="ANJ16" s="36"/>
      <c r="ANK16" s="36"/>
      <c r="ANL16" s="36"/>
      <c r="ANM16" s="36"/>
      <c r="ANN16" s="36"/>
      <c r="ANO16" s="36"/>
      <c r="ANP16" s="36"/>
      <c r="ANQ16" s="36"/>
      <c r="ANR16" s="36"/>
      <c r="ANS16" s="36"/>
      <c r="ANT16" s="36"/>
      <c r="ANU16" s="36"/>
      <c r="ANV16" s="36"/>
      <c r="ANW16" s="36"/>
      <c r="ANX16" s="36"/>
      <c r="ANY16" s="36"/>
      <c r="ANZ16" s="36"/>
      <c r="AOA16" s="36"/>
      <c r="AOB16" s="36"/>
      <c r="AOC16" s="36"/>
      <c r="AOD16" s="36"/>
      <c r="AOE16" s="36"/>
      <c r="AOF16" s="36"/>
      <c r="AOG16" s="36"/>
      <c r="AOH16" s="36"/>
      <c r="AOI16" s="36"/>
      <c r="AOJ16" s="36"/>
      <c r="AOK16" s="36"/>
      <c r="AOL16" s="36"/>
      <c r="AOM16" s="36"/>
      <c r="AON16" s="36"/>
      <c r="AOO16" s="36"/>
      <c r="AOP16" s="36"/>
      <c r="AOQ16" s="36"/>
      <c r="AOR16" s="36"/>
      <c r="AOS16" s="36"/>
      <c r="AOT16" s="36"/>
      <c r="AOU16" s="36"/>
      <c r="AOV16" s="36"/>
      <c r="AOW16" s="36"/>
      <c r="AOX16" s="36"/>
      <c r="AOY16" s="36"/>
      <c r="AOZ16" s="36"/>
      <c r="APA16" s="36"/>
      <c r="APB16" s="36"/>
      <c r="APC16" s="36"/>
      <c r="APD16" s="36"/>
      <c r="APE16" s="36"/>
      <c r="APF16" s="36"/>
      <c r="APG16" s="36"/>
      <c r="APH16" s="36"/>
      <c r="API16" s="36"/>
      <c r="APJ16" s="36"/>
      <c r="APK16" s="36"/>
      <c r="APL16" s="36"/>
      <c r="APM16" s="36"/>
      <c r="APN16" s="36"/>
      <c r="APO16" s="36"/>
      <c r="APP16" s="36"/>
      <c r="APQ16" s="36"/>
      <c r="APR16" s="36"/>
      <c r="APS16" s="36"/>
      <c r="APT16" s="36"/>
      <c r="APU16" s="36"/>
      <c r="APV16" s="36"/>
      <c r="APW16" s="36"/>
      <c r="APX16" s="36"/>
      <c r="APY16" s="36"/>
      <c r="APZ16" s="36"/>
      <c r="AQA16" s="36"/>
      <c r="AQB16" s="36"/>
      <c r="AQC16" s="36"/>
      <c r="AQD16" s="36"/>
      <c r="AQE16" s="36"/>
      <c r="AQF16" s="36"/>
      <c r="AQG16" s="36"/>
      <c r="AQH16" s="36"/>
      <c r="AQI16" s="36"/>
      <c r="AQJ16" s="36"/>
      <c r="AQK16" s="36"/>
      <c r="AQL16" s="36"/>
      <c r="AQM16" s="36"/>
      <c r="AQN16" s="36"/>
      <c r="AQO16" s="36"/>
      <c r="AQP16" s="36"/>
      <c r="AQQ16" s="36"/>
      <c r="AQR16" s="36"/>
      <c r="AQS16" s="36"/>
      <c r="AQT16" s="36"/>
      <c r="AQU16" s="36"/>
      <c r="AQV16" s="36"/>
      <c r="AQW16" s="36"/>
      <c r="AQX16" s="36"/>
      <c r="AQY16" s="36"/>
      <c r="AQZ16" s="36"/>
      <c r="ARA16" s="36"/>
      <c r="ARB16" s="36"/>
      <c r="ARC16" s="36"/>
      <c r="ARD16" s="36"/>
      <c r="ARE16" s="36"/>
      <c r="ARF16" s="36"/>
      <c r="ARG16" s="36"/>
      <c r="ARH16" s="36"/>
      <c r="ARI16" s="36"/>
      <c r="ARJ16" s="36"/>
      <c r="ARK16" s="36"/>
      <c r="ARL16" s="36"/>
      <c r="ARM16" s="36"/>
      <c r="ARN16" s="36"/>
      <c r="ARO16" s="36"/>
      <c r="ARP16" s="36"/>
      <c r="ARQ16" s="36"/>
      <c r="ARR16" s="36"/>
      <c r="ARS16" s="36"/>
      <c r="ART16" s="36"/>
      <c r="ARU16" s="36"/>
      <c r="ARV16" s="36"/>
      <c r="ARW16" s="36"/>
      <c r="ARX16" s="36"/>
      <c r="ARY16" s="36"/>
      <c r="ARZ16" s="36"/>
      <c r="ASA16" s="36"/>
      <c r="ASB16" s="36"/>
      <c r="ASC16" s="36"/>
      <c r="ASD16" s="36"/>
      <c r="ASE16" s="36"/>
      <c r="ASF16" s="36"/>
      <c r="ASG16" s="36"/>
      <c r="ASH16" s="36"/>
      <c r="ASI16" s="36"/>
      <c r="ASJ16" s="36"/>
      <c r="ASK16" s="36"/>
      <c r="ASL16" s="36"/>
      <c r="ASM16" s="36"/>
      <c r="ASN16" s="36"/>
      <c r="ASO16" s="36"/>
      <c r="ASP16" s="36"/>
      <c r="ASQ16" s="36"/>
      <c r="ASR16" s="36"/>
      <c r="ASS16" s="36"/>
      <c r="AST16" s="36"/>
      <c r="ASU16" s="36"/>
      <c r="ASV16" s="36"/>
      <c r="ASW16" s="36"/>
      <c r="ASX16" s="36"/>
      <c r="ASY16" s="36"/>
      <c r="ASZ16" s="36"/>
      <c r="ATA16" s="36"/>
      <c r="ATB16" s="36"/>
      <c r="ATC16" s="36"/>
      <c r="ATD16" s="36"/>
      <c r="ATE16" s="36"/>
      <c r="ATF16" s="36"/>
      <c r="ATG16" s="36"/>
      <c r="ATH16" s="36"/>
      <c r="ATI16" s="36"/>
      <c r="ATJ16" s="36"/>
      <c r="ATK16" s="36"/>
      <c r="ATL16" s="36"/>
      <c r="ATM16" s="36"/>
      <c r="ATN16" s="36"/>
      <c r="ATO16" s="36"/>
      <c r="ATP16" s="36"/>
      <c r="ATQ16" s="36"/>
      <c r="ATR16" s="36"/>
      <c r="ATS16" s="36"/>
      <c r="ATT16" s="36"/>
      <c r="ATU16" s="36"/>
      <c r="ATV16" s="36"/>
      <c r="ATW16" s="36"/>
      <c r="ATX16" s="36"/>
      <c r="ATY16" s="36"/>
      <c r="ATZ16" s="36"/>
      <c r="AUA16" s="36"/>
      <c r="AUB16" s="36"/>
      <c r="AUC16" s="36"/>
      <c r="AUD16" s="36"/>
      <c r="AUE16" s="36"/>
      <c r="AUF16" s="36"/>
      <c r="AUG16" s="36"/>
      <c r="AUH16" s="36"/>
      <c r="AUI16" s="36"/>
      <c r="AUJ16" s="36"/>
      <c r="AUK16" s="36"/>
      <c r="AUL16" s="36"/>
      <c r="AUM16" s="36"/>
      <c r="AUN16" s="36"/>
      <c r="AUO16" s="36"/>
      <c r="AUP16" s="36"/>
      <c r="AUQ16" s="36"/>
      <c r="AUR16" s="36"/>
      <c r="AUS16" s="36"/>
      <c r="AUT16" s="36"/>
      <c r="AUU16" s="36"/>
      <c r="AUV16" s="36"/>
      <c r="AUW16" s="36"/>
      <c r="AUX16" s="36"/>
      <c r="AUY16" s="36"/>
      <c r="AUZ16" s="36"/>
      <c r="AVA16" s="36"/>
      <c r="AVB16" s="36"/>
      <c r="AVC16" s="36"/>
      <c r="AVD16" s="36"/>
      <c r="AVE16" s="36"/>
      <c r="AVF16" s="36"/>
      <c r="AVG16" s="36"/>
      <c r="AVH16" s="36"/>
      <c r="AVI16" s="36"/>
      <c r="AVJ16" s="36"/>
      <c r="AVK16" s="36"/>
      <c r="AVL16" s="36"/>
      <c r="AVM16" s="36"/>
      <c r="AVN16" s="36"/>
      <c r="AVO16" s="36"/>
      <c r="AVP16" s="36"/>
      <c r="AVQ16" s="36"/>
      <c r="AVR16" s="36"/>
      <c r="AVS16" s="36"/>
      <c r="AVT16" s="36"/>
      <c r="AVU16" s="36"/>
      <c r="AVV16" s="36"/>
      <c r="AVW16" s="36"/>
      <c r="AVX16" s="36"/>
      <c r="AVY16" s="36"/>
      <c r="AVZ16" s="36"/>
      <c r="AWA16" s="36"/>
      <c r="AWB16" s="36"/>
      <c r="AWC16" s="36"/>
      <c r="AWD16" s="36"/>
      <c r="AWE16" s="36"/>
      <c r="AWF16" s="36"/>
      <c r="AWG16" s="36"/>
      <c r="AWH16" s="36"/>
      <c r="AWI16" s="36"/>
      <c r="AWJ16" s="36"/>
      <c r="AWK16" s="36"/>
      <c r="AWL16" s="36"/>
      <c r="AWM16" s="36"/>
      <c r="AWN16" s="36"/>
      <c r="AWO16" s="36"/>
      <c r="AWP16" s="36"/>
      <c r="AWQ16" s="36"/>
      <c r="AWR16" s="36"/>
      <c r="AWS16" s="36"/>
      <c r="AWT16" s="36"/>
      <c r="AWU16" s="36"/>
      <c r="AWV16" s="36"/>
      <c r="AWW16" s="36"/>
      <c r="AWX16" s="36"/>
      <c r="AWY16" s="36"/>
      <c r="AWZ16" s="36"/>
      <c r="AXA16" s="36"/>
      <c r="AXB16" s="36"/>
      <c r="AXC16" s="36"/>
      <c r="AXD16" s="36"/>
      <c r="AXE16" s="36"/>
      <c r="AXF16" s="36"/>
      <c r="AXG16" s="36"/>
      <c r="AXH16" s="36"/>
      <c r="AXI16" s="36"/>
      <c r="AXJ16" s="36"/>
      <c r="AXK16" s="36"/>
      <c r="AXL16" s="36"/>
      <c r="AXM16" s="36"/>
      <c r="AXN16" s="36"/>
      <c r="AXO16" s="36"/>
      <c r="AXP16" s="36"/>
      <c r="AXQ16" s="36"/>
      <c r="AXR16" s="36"/>
      <c r="AXS16" s="36"/>
      <c r="AXT16" s="36"/>
      <c r="AXU16" s="36"/>
      <c r="AXV16" s="36"/>
      <c r="AXW16" s="36"/>
      <c r="AXX16" s="36"/>
      <c r="AXY16" s="36"/>
      <c r="AXZ16" s="36"/>
      <c r="AYA16" s="36"/>
      <c r="AYB16" s="36"/>
      <c r="AYC16" s="36"/>
      <c r="AYD16" s="36"/>
      <c r="AYE16" s="36"/>
      <c r="AYF16" s="36"/>
      <c r="AYG16" s="36"/>
      <c r="AYH16" s="36"/>
      <c r="AYI16" s="36"/>
      <c r="AYJ16" s="36"/>
      <c r="AYK16" s="36"/>
      <c r="AYL16" s="36"/>
      <c r="AYM16" s="36"/>
      <c r="AYN16" s="36"/>
      <c r="AYO16" s="36"/>
      <c r="AYP16" s="36"/>
      <c r="AYQ16" s="36"/>
      <c r="AYR16" s="36"/>
      <c r="AYS16" s="36"/>
      <c r="AYT16" s="36"/>
      <c r="AYU16" s="36"/>
      <c r="AYV16" s="36"/>
      <c r="AYW16" s="36"/>
      <c r="AYX16" s="36"/>
      <c r="AYY16" s="36"/>
      <c r="AYZ16" s="36"/>
      <c r="AZA16" s="36"/>
      <c r="AZB16" s="36"/>
      <c r="AZC16" s="36"/>
      <c r="AZD16" s="36"/>
      <c r="AZE16" s="36"/>
      <c r="AZF16" s="36"/>
      <c r="AZG16" s="36"/>
      <c r="AZH16" s="36"/>
      <c r="AZI16" s="36"/>
      <c r="AZJ16" s="36"/>
      <c r="AZK16" s="36"/>
      <c r="AZL16" s="36"/>
      <c r="AZM16" s="36"/>
      <c r="AZN16" s="36"/>
      <c r="AZO16" s="36"/>
      <c r="AZP16" s="36"/>
      <c r="AZQ16" s="36"/>
      <c r="AZR16" s="36"/>
      <c r="AZS16" s="36"/>
      <c r="AZT16" s="36"/>
      <c r="AZU16" s="36"/>
      <c r="AZV16" s="36"/>
      <c r="AZW16" s="36"/>
      <c r="AZX16" s="36"/>
      <c r="AZY16" s="36"/>
      <c r="AZZ16" s="36"/>
      <c r="BAA16" s="36"/>
      <c r="BAB16" s="36"/>
      <c r="BAC16" s="36"/>
      <c r="BAD16" s="36"/>
      <c r="BAE16" s="36"/>
      <c r="BAF16" s="36"/>
      <c r="BAG16" s="36"/>
      <c r="BAH16" s="36"/>
      <c r="BAI16" s="36"/>
      <c r="BAJ16" s="36"/>
      <c r="BAK16" s="36"/>
      <c r="BAL16" s="36"/>
      <c r="BAM16" s="36"/>
      <c r="BAN16" s="36"/>
      <c r="BAO16" s="36"/>
      <c r="BAP16" s="36"/>
      <c r="BAQ16" s="36"/>
      <c r="BAR16" s="36"/>
      <c r="BAS16" s="36"/>
      <c r="BAT16" s="36"/>
      <c r="BAU16" s="36"/>
      <c r="BAV16" s="36"/>
      <c r="BAW16" s="36"/>
      <c r="BAX16" s="36"/>
      <c r="BAY16" s="36"/>
      <c r="BAZ16" s="36"/>
      <c r="BBA16" s="36"/>
      <c r="BBB16" s="36"/>
      <c r="BBC16" s="36"/>
      <c r="BBD16" s="36"/>
      <c r="BBE16" s="36"/>
      <c r="BBF16" s="36"/>
      <c r="BBG16" s="36"/>
      <c r="BBH16" s="36"/>
      <c r="BBI16" s="36"/>
      <c r="BBJ16" s="36"/>
      <c r="BBK16" s="36"/>
      <c r="BBL16" s="36"/>
      <c r="BBM16" s="36"/>
      <c r="BBN16" s="36"/>
      <c r="BBO16" s="36"/>
      <c r="BBP16" s="36"/>
      <c r="BBQ16" s="36"/>
      <c r="BBR16" s="36"/>
      <c r="BBS16" s="36"/>
      <c r="BBT16" s="36"/>
      <c r="BBU16" s="36"/>
      <c r="BBV16" s="36"/>
      <c r="BBW16" s="36"/>
      <c r="BBX16" s="36"/>
      <c r="BBY16" s="36"/>
      <c r="BBZ16" s="36"/>
      <c r="BCA16" s="36"/>
      <c r="BCB16" s="36"/>
      <c r="BCC16" s="36"/>
      <c r="BCD16" s="36"/>
      <c r="BCE16" s="36"/>
      <c r="BCF16" s="36"/>
      <c r="BCG16" s="36"/>
      <c r="BCH16" s="36"/>
      <c r="BCI16" s="36"/>
      <c r="BCJ16" s="36"/>
      <c r="BCK16" s="36"/>
      <c r="BCL16" s="36"/>
      <c r="BCM16" s="36"/>
      <c r="BCN16" s="36"/>
      <c r="BCO16" s="36"/>
      <c r="BCP16" s="36"/>
      <c r="BCQ16" s="36"/>
      <c r="BCR16" s="36"/>
      <c r="BCS16" s="36"/>
      <c r="BCT16" s="36"/>
      <c r="BCU16" s="36"/>
      <c r="BCV16" s="36"/>
      <c r="BCW16" s="36"/>
      <c r="BCX16" s="36"/>
      <c r="BCY16" s="36"/>
      <c r="BCZ16" s="36"/>
      <c r="BDA16" s="36"/>
      <c r="BDB16" s="36"/>
      <c r="BDC16" s="36"/>
      <c r="BDD16" s="36"/>
      <c r="BDE16" s="36"/>
      <c r="BDF16" s="36"/>
      <c r="BDG16" s="36"/>
      <c r="BDH16" s="36"/>
      <c r="BDI16" s="36"/>
      <c r="BDJ16" s="36"/>
      <c r="BDK16" s="36"/>
      <c r="BDL16" s="36"/>
      <c r="BDM16" s="36"/>
      <c r="BDN16" s="36"/>
      <c r="BDO16" s="36"/>
      <c r="BDP16" s="36"/>
      <c r="BDQ16" s="36"/>
      <c r="BDR16" s="36"/>
      <c r="BDS16" s="36"/>
      <c r="BDT16" s="36"/>
      <c r="BDU16" s="36"/>
      <c r="BDV16" s="36"/>
      <c r="BDW16" s="36"/>
      <c r="BDX16" s="36"/>
      <c r="BDY16" s="36"/>
      <c r="BDZ16" s="36"/>
      <c r="BEA16" s="36"/>
      <c r="BEB16" s="36"/>
      <c r="BEC16" s="36"/>
      <c r="BED16" s="36"/>
      <c r="BEE16" s="36"/>
      <c r="BEF16" s="36"/>
      <c r="BEG16" s="36"/>
      <c r="BEH16" s="36"/>
      <c r="BEI16" s="36"/>
      <c r="BEJ16" s="36"/>
      <c r="BEK16" s="36"/>
      <c r="BEL16" s="36"/>
      <c r="BEM16" s="36"/>
      <c r="BEN16" s="36"/>
      <c r="BEO16" s="36"/>
      <c r="BEP16" s="36"/>
      <c r="BEQ16" s="36"/>
      <c r="BER16" s="36"/>
      <c r="BES16" s="36"/>
      <c r="BET16" s="36"/>
      <c r="BEU16" s="36"/>
      <c r="BEV16" s="36"/>
      <c r="BEW16" s="36"/>
      <c r="BEX16" s="36"/>
      <c r="BEY16" s="36"/>
      <c r="BEZ16" s="36"/>
      <c r="BFA16" s="36"/>
      <c r="BFB16" s="36"/>
      <c r="BFC16" s="36"/>
      <c r="BFD16" s="36"/>
      <c r="BFE16" s="36"/>
      <c r="BFF16" s="36"/>
      <c r="BFG16" s="36"/>
      <c r="BFH16" s="36"/>
      <c r="BFI16" s="36"/>
      <c r="BFJ16" s="36"/>
      <c r="BFK16" s="36"/>
      <c r="BFL16" s="36"/>
      <c r="BFM16" s="36"/>
      <c r="BFN16" s="36"/>
      <c r="BFO16" s="36"/>
      <c r="BFP16" s="36"/>
      <c r="BFQ16" s="36"/>
      <c r="BFR16" s="36"/>
      <c r="BFS16" s="36"/>
      <c r="BFT16" s="36"/>
      <c r="BFU16" s="36"/>
      <c r="BFV16" s="36"/>
      <c r="BFW16" s="36"/>
      <c r="BFX16" s="36"/>
      <c r="BFY16" s="36"/>
      <c r="BFZ16" s="36"/>
      <c r="BGA16" s="36"/>
      <c r="BGB16" s="36"/>
      <c r="BGC16" s="36"/>
      <c r="BGD16" s="36"/>
      <c r="BGE16" s="36"/>
      <c r="BGF16" s="36"/>
      <c r="BGG16" s="36"/>
      <c r="BGH16" s="36"/>
      <c r="BGI16" s="36"/>
      <c r="BGJ16" s="36"/>
      <c r="BGK16" s="36"/>
      <c r="BGL16" s="36"/>
      <c r="BGM16" s="36"/>
      <c r="BGN16" s="36"/>
      <c r="BGO16" s="36"/>
      <c r="BGP16" s="36"/>
      <c r="BGQ16" s="36"/>
      <c r="BGR16" s="36"/>
      <c r="BGS16" s="36"/>
      <c r="BGT16" s="36"/>
      <c r="BGU16" s="36"/>
      <c r="BGV16" s="36"/>
      <c r="BGW16" s="36"/>
      <c r="BGX16" s="36"/>
      <c r="BGY16" s="36"/>
      <c r="BGZ16" s="36"/>
      <c r="BHA16" s="36"/>
      <c r="BHB16" s="36"/>
      <c r="BHC16" s="36"/>
      <c r="BHD16" s="36"/>
      <c r="BHE16" s="36"/>
      <c r="BHF16" s="36"/>
      <c r="BHG16" s="36"/>
      <c r="BHH16" s="36"/>
      <c r="BHI16" s="36"/>
      <c r="BHJ16" s="36"/>
      <c r="BHK16" s="36"/>
      <c r="BHL16" s="36"/>
      <c r="BHM16" s="36"/>
      <c r="BHN16" s="36"/>
      <c r="BHO16" s="36"/>
      <c r="BHP16" s="36"/>
      <c r="BHQ16" s="36"/>
      <c r="BHR16" s="36"/>
      <c r="BHS16" s="36"/>
      <c r="BHT16" s="36"/>
      <c r="BHU16" s="36"/>
      <c r="BHV16" s="36"/>
      <c r="BHW16" s="36"/>
      <c r="BHX16" s="36"/>
      <c r="BHY16" s="36"/>
      <c r="BHZ16" s="36"/>
      <c r="BIA16" s="36"/>
      <c r="BIB16" s="36"/>
      <c r="BIC16" s="36"/>
      <c r="BID16" s="36"/>
      <c r="BIE16" s="36"/>
      <c r="BIF16" s="36"/>
      <c r="BIG16" s="36"/>
      <c r="BIH16" s="36"/>
      <c r="BII16" s="36"/>
      <c r="BIJ16" s="36"/>
      <c r="BIK16" s="36"/>
      <c r="BIL16" s="36"/>
      <c r="BIM16" s="36"/>
      <c r="BIN16" s="36"/>
      <c r="BIO16" s="36"/>
      <c r="BIP16" s="36"/>
      <c r="BIQ16" s="36"/>
      <c r="BIR16" s="36"/>
      <c r="BIS16" s="36"/>
      <c r="BIT16" s="36"/>
      <c r="BIU16" s="36"/>
      <c r="BIV16" s="36"/>
      <c r="BIW16" s="36"/>
      <c r="BIX16" s="36"/>
      <c r="BIY16" s="36"/>
      <c r="BIZ16" s="36"/>
      <c r="BJA16" s="36"/>
      <c r="BJB16" s="36"/>
      <c r="BJC16" s="36"/>
      <c r="BJD16" s="36"/>
      <c r="BJE16" s="36"/>
      <c r="BJF16" s="36"/>
      <c r="BJG16" s="36"/>
      <c r="BJH16" s="36"/>
      <c r="BJI16" s="36"/>
      <c r="BJJ16" s="36"/>
      <c r="BJK16" s="36"/>
      <c r="BJL16" s="36"/>
      <c r="BJM16" s="36"/>
      <c r="BJN16" s="36"/>
      <c r="BJO16" s="36"/>
      <c r="BJP16" s="36"/>
      <c r="BJQ16" s="36"/>
      <c r="BJR16" s="36"/>
      <c r="BJS16" s="36"/>
      <c r="BJT16" s="36"/>
      <c r="BJU16" s="36"/>
      <c r="BJV16" s="36"/>
      <c r="BJW16" s="36"/>
      <c r="BJX16" s="36"/>
      <c r="BJY16" s="36"/>
      <c r="BJZ16" s="36"/>
      <c r="BKA16" s="36"/>
      <c r="BKB16" s="36"/>
      <c r="BKC16" s="36"/>
      <c r="BKD16" s="36"/>
      <c r="BKE16" s="36"/>
      <c r="BKF16" s="36"/>
      <c r="BKG16" s="36"/>
      <c r="BKH16" s="36"/>
      <c r="BKI16" s="36"/>
      <c r="BKJ16" s="36"/>
      <c r="BKK16" s="36"/>
      <c r="BKL16" s="36"/>
      <c r="BKM16" s="36"/>
      <c r="BKN16" s="36"/>
      <c r="BKO16" s="36"/>
      <c r="BKP16" s="36"/>
      <c r="BKQ16" s="36"/>
      <c r="BKR16" s="36"/>
      <c r="BKS16" s="36"/>
      <c r="BKT16" s="36"/>
      <c r="BKU16" s="36"/>
      <c r="BKV16" s="36"/>
      <c r="BKW16" s="36"/>
      <c r="BKX16" s="36"/>
      <c r="BKY16" s="36"/>
      <c r="BKZ16" s="36"/>
      <c r="BLA16" s="36"/>
      <c r="BLB16" s="36"/>
      <c r="BLC16" s="36"/>
      <c r="BLD16" s="36"/>
      <c r="BLE16" s="36"/>
      <c r="BLF16" s="36"/>
      <c r="BLG16" s="36"/>
      <c r="BLH16" s="36"/>
      <c r="BLI16" s="36"/>
      <c r="BLJ16" s="36"/>
      <c r="BLK16" s="36"/>
      <c r="BLL16" s="36"/>
      <c r="BLM16" s="36"/>
      <c r="BLN16" s="36"/>
      <c r="BLO16" s="36"/>
      <c r="BLP16" s="36"/>
      <c r="BLQ16" s="36"/>
      <c r="BLR16" s="36"/>
      <c r="BLS16" s="36"/>
      <c r="BLT16" s="36"/>
      <c r="BLU16" s="36"/>
      <c r="BLV16" s="36"/>
      <c r="BLW16" s="36"/>
      <c r="BLX16" s="36"/>
      <c r="BLY16" s="36"/>
      <c r="BLZ16" s="36"/>
      <c r="BMA16" s="36"/>
      <c r="BMB16" s="36"/>
      <c r="BMC16" s="36"/>
      <c r="BMD16" s="36"/>
      <c r="BME16" s="36"/>
      <c r="BMF16" s="36"/>
      <c r="BMG16" s="36"/>
      <c r="BMH16" s="36"/>
      <c r="BMI16" s="36"/>
      <c r="BMJ16" s="36"/>
      <c r="BMK16" s="36"/>
      <c r="BML16" s="36"/>
      <c r="BMM16" s="36"/>
      <c r="BMN16" s="36"/>
      <c r="BMO16" s="36"/>
      <c r="BMP16" s="36"/>
      <c r="BMQ16" s="36"/>
      <c r="BMR16" s="36"/>
      <c r="BMS16" s="36"/>
      <c r="BMT16" s="36"/>
      <c r="BMU16" s="36"/>
      <c r="BMV16" s="36"/>
      <c r="BMW16" s="36"/>
      <c r="BMX16" s="36"/>
      <c r="BMY16" s="36"/>
      <c r="BMZ16" s="36"/>
      <c r="BNA16" s="36"/>
      <c r="BNB16" s="36"/>
      <c r="BNC16" s="36"/>
      <c r="BND16" s="36"/>
      <c r="BNE16" s="36"/>
      <c r="BNF16" s="36"/>
      <c r="BNG16" s="36"/>
      <c r="BNH16" s="36"/>
      <c r="BNI16" s="36"/>
      <c r="BNJ16" s="36"/>
      <c r="BNK16" s="36"/>
      <c r="BNL16" s="36"/>
      <c r="BNM16" s="36"/>
      <c r="BNN16" s="36"/>
      <c r="BNO16" s="36"/>
      <c r="BNP16" s="36"/>
      <c r="BNQ16" s="36"/>
      <c r="BNR16" s="36"/>
      <c r="BNS16" s="36"/>
      <c r="BNT16" s="36"/>
      <c r="BNU16" s="36"/>
      <c r="BNV16" s="36"/>
      <c r="BNW16" s="36"/>
      <c r="BNX16" s="36"/>
      <c r="BNY16" s="36"/>
      <c r="BNZ16" s="36"/>
      <c r="BOA16" s="36"/>
      <c r="BOB16" s="36"/>
      <c r="BOC16" s="36"/>
      <c r="BOD16" s="36"/>
      <c r="BOE16" s="36"/>
      <c r="BOF16" s="36"/>
      <c r="BOG16" s="36"/>
      <c r="BOH16" s="36"/>
      <c r="BOI16" s="36"/>
      <c r="BOJ16" s="36"/>
      <c r="BOK16" s="36"/>
      <c r="BOL16" s="36"/>
      <c r="BOM16" s="36"/>
      <c r="BON16" s="36"/>
      <c r="BOO16" s="36"/>
      <c r="BOP16" s="36"/>
      <c r="BOQ16" s="36"/>
      <c r="BOR16" s="36"/>
      <c r="BOS16" s="36"/>
      <c r="BOT16" s="36"/>
      <c r="BOU16" s="36"/>
      <c r="BOV16" s="36"/>
      <c r="BOW16" s="36"/>
      <c r="BOX16" s="36"/>
      <c r="BOY16" s="36"/>
      <c r="BOZ16" s="36"/>
      <c r="BPA16" s="36"/>
      <c r="BPB16" s="36"/>
      <c r="BPC16" s="36"/>
      <c r="BPD16" s="36"/>
      <c r="BPE16" s="36"/>
      <c r="BPF16" s="36"/>
      <c r="BPG16" s="36"/>
      <c r="BPH16" s="36"/>
      <c r="BPI16" s="36"/>
      <c r="BPJ16" s="36"/>
      <c r="BPK16" s="36"/>
      <c r="BPL16" s="36"/>
      <c r="BPM16" s="36"/>
      <c r="BPN16" s="36"/>
      <c r="BPO16" s="36"/>
      <c r="BPP16" s="36"/>
      <c r="BPQ16" s="36"/>
      <c r="BPR16" s="36"/>
      <c r="BPS16" s="36"/>
      <c r="BPT16" s="36"/>
      <c r="BPU16" s="36"/>
      <c r="BPV16" s="36"/>
      <c r="BPW16" s="36"/>
      <c r="BPX16" s="36"/>
      <c r="BPY16" s="36"/>
      <c r="BPZ16" s="36"/>
      <c r="BQA16" s="36"/>
      <c r="BQB16" s="36"/>
      <c r="BQC16" s="36"/>
      <c r="BQD16" s="36"/>
      <c r="BQE16" s="36"/>
      <c r="BQF16" s="36"/>
      <c r="BQG16" s="36"/>
      <c r="BQH16" s="36"/>
      <c r="BQI16" s="36"/>
      <c r="BQJ16" s="36"/>
      <c r="BQK16" s="36"/>
      <c r="BQL16" s="36"/>
      <c r="BQM16" s="36"/>
      <c r="BQN16" s="36"/>
      <c r="BQO16" s="36"/>
      <c r="BQP16" s="36"/>
      <c r="BQQ16" s="36"/>
      <c r="BQR16" s="36"/>
      <c r="BQS16" s="36"/>
      <c r="BQT16" s="36"/>
      <c r="BQU16" s="36"/>
      <c r="BQV16" s="36"/>
      <c r="BQW16" s="36"/>
      <c r="BQX16" s="36"/>
      <c r="BQY16" s="36"/>
      <c r="BQZ16" s="36"/>
      <c r="BRA16" s="36"/>
      <c r="BRB16" s="36"/>
      <c r="BRC16" s="36"/>
      <c r="BRD16" s="36"/>
      <c r="BRE16" s="36"/>
      <c r="BRF16" s="36"/>
      <c r="BRG16" s="36"/>
      <c r="BRH16" s="36"/>
      <c r="BRI16" s="36"/>
      <c r="BRJ16" s="36"/>
      <c r="BRK16" s="36"/>
      <c r="BRL16" s="36"/>
      <c r="BRM16" s="36"/>
      <c r="BRN16" s="36"/>
      <c r="BRO16" s="36"/>
      <c r="BRP16" s="36"/>
      <c r="BRQ16" s="36"/>
      <c r="BRR16" s="36"/>
      <c r="BRS16" s="36"/>
      <c r="BRT16" s="36"/>
      <c r="BRU16" s="36"/>
      <c r="BRV16" s="36"/>
      <c r="BRW16" s="36"/>
      <c r="BRX16" s="36"/>
      <c r="BRY16" s="36"/>
      <c r="BRZ16" s="36"/>
      <c r="BSA16" s="36"/>
      <c r="BSB16" s="36"/>
      <c r="BSC16" s="36"/>
      <c r="BSD16" s="36"/>
      <c r="BSE16" s="36"/>
      <c r="BSF16" s="36"/>
      <c r="BSG16" s="36"/>
      <c r="BSH16" s="36"/>
      <c r="BSI16" s="36"/>
      <c r="BSJ16" s="36"/>
      <c r="BSK16" s="36"/>
      <c r="BSL16" s="36"/>
      <c r="BSM16" s="36"/>
      <c r="BSN16" s="36"/>
      <c r="BSO16" s="36"/>
      <c r="BSP16" s="36"/>
      <c r="BSQ16" s="36"/>
      <c r="BSR16" s="36"/>
      <c r="BSS16" s="36"/>
      <c r="BST16" s="36"/>
      <c r="BSU16" s="36"/>
      <c r="BSV16" s="36"/>
      <c r="BSW16" s="36"/>
      <c r="BSX16" s="36"/>
      <c r="BSY16" s="36"/>
      <c r="BSZ16" s="36"/>
      <c r="BTA16" s="36"/>
      <c r="BTB16" s="36"/>
      <c r="BTC16" s="36"/>
      <c r="BTD16" s="36"/>
      <c r="BTE16" s="36"/>
      <c r="BTF16" s="36"/>
      <c r="BTG16" s="36"/>
      <c r="BTH16" s="36"/>
      <c r="BTI16" s="36"/>
      <c r="BTJ16" s="36"/>
      <c r="BTK16" s="36"/>
      <c r="BTL16" s="36"/>
      <c r="BTM16" s="36"/>
      <c r="BTN16" s="36"/>
      <c r="BTO16" s="36"/>
      <c r="BTP16" s="36"/>
      <c r="BTQ16" s="36"/>
      <c r="BTR16" s="36"/>
      <c r="BTS16" s="36"/>
      <c r="BTT16" s="36"/>
      <c r="BTU16" s="36"/>
      <c r="BTV16" s="36"/>
      <c r="BTW16" s="36"/>
      <c r="BTX16" s="36"/>
      <c r="BTY16" s="36"/>
      <c r="BTZ16" s="36"/>
      <c r="BUA16" s="36"/>
      <c r="BUB16" s="36"/>
      <c r="BUC16" s="36"/>
      <c r="BUD16" s="36"/>
      <c r="BUE16" s="36"/>
      <c r="BUF16" s="36"/>
      <c r="BUG16" s="36"/>
      <c r="BUH16" s="36"/>
      <c r="BUI16" s="36"/>
      <c r="BUJ16" s="36"/>
      <c r="BUK16" s="36"/>
      <c r="BUL16" s="36"/>
      <c r="BUM16" s="36"/>
      <c r="BUN16" s="36"/>
      <c r="BUO16" s="36"/>
      <c r="BUP16" s="36"/>
      <c r="BUQ16" s="36"/>
      <c r="BUR16" s="36"/>
      <c r="BUS16" s="36"/>
      <c r="BUT16" s="36"/>
      <c r="BUU16" s="36"/>
      <c r="BUV16" s="36"/>
      <c r="BUW16" s="36"/>
      <c r="BUX16" s="36"/>
      <c r="BUY16" s="36"/>
      <c r="BUZ16" s="36"/>
      <c r="BVA16" s="36"/>
      <c r="BVB16" s="36"/>
      <c r="BVC16" s="36"/>
      <c r="BVD16" s="36"/>
      <c r="BVE16" s="36"/>
      <c r="BVF16" s="36"/>
      <c r="BVG16" s="36"/>
      <c r="BVH16" s="36"/>
      <c r="BVI16" s="36"/>
      <c r="BVJ16" s="36"/>
      <c r="BVK16" s="36"/>
      <c r="BVL16" s="36"/>
      <c r="BVM16" s="36"/>
      <c r="BVN16" s="36"/>
      <c r="BVO16" s="36"/>
      <c r="BVP16" s="36"/>
      <c r="BVQ16" s="36"/>
      <c r="BVR16" s="36"/>
      <c r="BVS16" s="36"/>
      <c r="BVT16" s="36"/>
      <c r="BVU16" s="36"/>
      <c r="BVV16" s="36"/>
      <c r="BVW16" s="36"/>
      <c r="BVX16" s="36"/>
      <c r="BVY16" s="36"/>
      <c r="BVZ16" s="36"/>
      <c r="BWA16" s="36"/>
      <c r="BWB16" s="36"/>
      <c r="BWC16" s="36"/>
      <c r="BWD16" s="36"/>
      <c r="BWE16" s="36"/>
      <c r="BWF16" s="36"/>
      <c r="BWG16" s="36"/>
      <c r="BWH16" s="36"/>
      <c r="BWI16" s="36"/>
      <c r="BWJ16" s="36"/>
      <c r="BWK16" s="36"/>
      <c r="BWL16" s="36"/>
      <c r="BWM16" s="36"/>
      <c r="BWN16" s="36"/>
      <c r="BWO16" s="36"/>
      <c r="BWP16" s="36"/>
      <c r="BWQ16" s="36"/>
      <c r="BWR16" s="36"/>
      <c r="BWS16" s="36"/>
      <c r="BWT16" s="36"/>
      <c r="BWU16" s="36"/>
      <c r="BWV16" s="36"/>
      <c r="BWW16" s="36"/>
      <c r="BWX16" s="36"/>
      <c r="BWY16" s="36"/>
      <c r="BWZ16" s="36"/>
      <c r="BXA16" s="36"/>
      <c r="BXB16" s="36"/>
      <c r="BXC16" s="36"/>
      <c r="BXD16" s="36"/>
      <c r="BXE16" s="36"/>
      <c r="BXF16" s="36"/>
      <c r="BXG16" s="36"/>
      <c r="BXH16" s="36"/>
      <c r="BXI16" s="36"/>
      <c r="BXJ16" s="36"/>
      <c r="BXK16" s="36"/>
      <c r="BXL16" s="36"/>
      <c r="BXM16" s="36"/>
      <c r="BXN16" s="36"/>
      <c r="BXO16" s="36"/>
      <c r="BXP16" s="36"/>
      <c r="BXQ16" s="36"/>
      <c r="BXR16" s="36"/>
      <c r="BXS16" s="36"/>
      <c r="BXT16" s="36"/>
      <c r="BXU16" s="36"/>
      <c r="BXV16" s="36"/>
      <c r="BXW16" s="36"/>
      <c r="BXX16" s="36"/>
      <c r="BXY16" s="36"/>
      <c r="BXZ16" s="36"/>
      <c r="BYA16" s="36"/>
      <c r="BYB16" s="36"/>
      <c r="BYC16" s="36"/>
      <c r="BYD16" s="36"/>
      <c r="BYE16" s="36"/>
      <c r="BYF16" s="36"/>
      <c r="BYG16" s="36"/>
      <c r="BYH16" s="36"/>
      <c r="BYI16" s="36"/>
      <c r="BYJ16" s="36"/>
      <c r="BYK16" s="36"/>
      <c r="BYL16" s="36"/>
      <c r="BYM16" s="36"/>
      <c r="BYN16" s="36"/>
      <c r="BYO16" s="36"/>
      <c r="BYP16" s="36"/>
      <c r="BYQ16" s="36"/>
      <c r="BYR16" s="36"/>
      <c r="BYS16" s="36"/>
      <c r="BYT16" s="36"/>
      <c r="BYU16" s="36"/>
      <c r="BYV16" s="36"/>
      <c r="BYW16" s="36"/>
      <c r="BYX16" s="36"/>
      <c r="BYY16" s="36"/>
      <c r="BYZ16" s="36"/>
      <c r="BZA16" s="36"/>
      <c r="BZB16" s="36"/>
      <c r="BZC16" s="36"/>
      <c r="BZD16" s="36"/>
      <c r="BZE16" s="36"/>
      <c r="BZF16" s="36"/>
      <c r="BZG16" s="36"/>
      <c r="BZH16" s="36"/>
      <c r="BZI16" s="36"/>
      <c r="BZJ16" s="36"/>
      <c r="BZK16" s="36"/>
      <c r="BZL16" s="36"/>
      <c r="BZM16" s="36"/>
      <c r="BZN16" s="36"/>
      <c r="BZO16" s="36"/>
      <c r="BZP16" s="36"/>
      <c r="BZQ16" s="36"/>
      <c r="BZR16" s="36"/>
      <c r="BZS16" s="36"/>
      <c r="BZT16" s="36"/>
      <c r="BZU16" s="36"/>
      <c r="BZV16" s="36"/>
      <c r="BZW16" s="36"/>
      <c r="BZX16" s="36"/>
      <c r="BZY16" s="36"/>
      <c r="BZZ16" s="36"/>
      <c r="CAA16" s="36"/>
      <c r="CAB16" s="36"/>
      <c r="CAC16" s="36"/>
      <c r="CAD16" s="36"/>
      <c r="CAE16" s="36"/>
      <c r="CAF16" s="36"/>
      <c r="CAG16" s="36"/>
      <c r="CAH16" s="36"/>
      <c r="CAI16" s="36"/>
      <c r="CAJ16" s="36"/>
      <c r="CAK16" s="36"/>
      <c r="CAL16" s="36"/>
      <c r="CAM16" s="36"/>
      <c r="CAN16" s="36"/>
      <c r="CAO16" s="36"/>
      <c r="CAP16" s="36"/>
      <c r="CAQ16" s="36"/>
      <c r="CAR16" s="36"/>
      <c r="CAS16" s="36"/>
      <c r="CAT16" s="36"/>
      <c r="CAU16" s="36"/>
      <c r="CAV16" s="36"/>
      <c r="CAW16" s="36"/>
      <c r="CAX16" s="36"/>
      <c r="CAY16" s="36"/>
      <c r="CAZ16" s="36"/>
      <c r="CBA16" s="36"/>
      <c r="CBB16" s="36"/>
      <c r="CBC16" s="36"/>
      <c r="CBD16" s="36"/>
      <c r="CBE16" s="36"/>
      <c r="CBF16" s="36"/>
      <c r="CBG16" s="36"/>
      <c r="CBH16" s="36"/>
    </row>
    <row r="17" spans="1:2088" x14ac:dyDescent="0.2">
      <c r="A17" s="1" t="s">
        <v>15</v>
      </c>
      <c r="B17" s="51"/>
    </row>
    <row r="18" spans="1:2088" x14ac:dyDescent="0.2">
      <c r="A18" s="1" t="s">
        <v>16</v>
      </c>
      <c r="B18" s="51"/>
    </row>
    <row r="19" spans="1:2088" s="36" customFormat="1" ht="15" customHeight="1" x14ac:dyDescent="0.2">
      <c r="A19" s="1" t="s">
        <v>17</v>
      </c>
      <c r="B19" s="5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</row>
    <row r="20" spans="1:2088" ht="15" customHeight="1" x14ac:dyDescent="0.2">
      <c r="A20" s="9" t="s">
        <v>146</v>
      </c>
      <c r="B20" s="5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  <c r="AMK20" s="36"/>
      <c r="AML20" s="36"/>
      <c r="AMM20" s="36"/>
      <c r="AMN20" s="36"/>
      <c r="AMO20" s="36"/>
      <c r="AMP20" s="36"/>
      <c r="AMQ20" s="36"/>
      <c r="AMR20" s="36"/>
      <c r="AMS20" s="36"/>
      <c r="AMT20" s="36"/>
      <c r="AMU20" s="36"/>
      <c r="AMV20" s="36"/>
      <c r="AMW20" s="36"/>
      <c r="AMX20" s="36"/>
      <c r="AMY20" s="36"/>
      <c r="AMZ20" s="36"/>
      <c r="ANA20" s="36"/>
      <c r="ANB20" s="36"/>
      <c r="ANC20" s="36"/>
      <c r="AND20" s="36"/>
      <c r="ANE20" s="36"/>
      <c r="ANF20" s="36"/>
      <c r="ANG20" s="36"/>
      <c r="ANH20" s="36"/>
      <c r="ANI20" s="36"/>
      <c r="ANJ20" s="36"/>
      <c r="ANK20" s="36"/>
      <c r="ANL20" s="36"/>
      <c r="ANM20" s="36"/>
      <c r="ANN20" s="36"/>
      <c r="ANO20" s="36"/>
      <c r="ANP20" s="36"/>
      <c r="ANQ20" s="36"/>
      <c r="ANR20" s="36"/>
      <c r="ANS20" s="36"/>
      <c r="ANT20" s="36"/>
      <c r="ANU20" s="36"/>
      <c r="ANV20" s="36"/>
      <c r="ANW20" s="36"/>
      <c r="ANX20" s="36"/>
      <c r="ANY20" s="36"/>
      <c r="ANZ20" s="36"/>
      <c r="AOA20" s="36"/>
      <c r="AOB20" s="36"/>
      <c r="AOC20" s="36"/>
      <c r="AOD20" s="36"/>
      <c r="AOE20" s="36"/>
      <c r="AOF20" s="36"/>
      <c r="AOG20" s="36"/>
      <c r="AOH20" s="36"/>
      <c r="AOI20" s="36"/>
      <c r="AOJ20" s="36"/>
      <c r="AOK20" s="36"/>
      <c r="AOL20" s="36"/>
      <c r="AOM20" s="36"/>
      <c r="AON20" s="36"/>
      <c r="AOO20" s="36"/>
      <c r="AOP20" s="36"/>
      <c r="AOQ20" s="36"/>
      <c r="AOR20" s="36"/>
      <c r="AOS20" s="36"/>
      <c r="AOT20" s="36"/>
      <c r="AOU20" s="36"/>
      <c r="AOV20" s="36"/>
      <c r="AOW20" s="36"/>
      <c r="AOX20" s="36"/>
      <c r="AOY20" s="36"/>
      <c r="AOZ20" s="36"/>
      <c r="APA20" s="36"/>
      <c r="APB20" s="36"/>
      <c r="APC20" s="36"/>
      <c r="APD20" s="36"/>
      <c r="APE20" s="36"/>
      <c r="APF20" s="36"/>
      <c r="APG20" s="36"/>
      <c r="APH20" s="36"/>
      <c r="API20" s="36"/>
      <c r="APJ20" s="36"/>
      <c r="APK20" s="36"/>
      <c r="APL20" s="36"/>
      <c r="APM20" s="36"/>
      <c r="APN20" s="36"/>
      <c r="APO20" s="36"/>
      <c r="APP20" s="36"/>
      <c r="APQ20" s="36"/>
      <c r="APR20" s="36"/>
      <c r="APS20" s="36"/>
      <c r="APT20" s="36"/>
      <c r="APU20" s="36"/>
      <c r="APV20" s="36"/>
      <c r="APW20" s="36"/>
      <c r="APX20" s="36"/>
      <c r="APY20" s="36"/>
      <c r="APZ20" s="36"/>
      <c r="AQA20" s="36"/>
      <c r="AQB20" s="36"/>
      <c r="AQC20" s="36"/>
      <c r="AQD20" s="36"/>
      <c r="AQE20" s="36"/>
      <c r="AQF20" s="36"/>
      <c r="AQG20" s="36"/>
      <c r="AQH20" s="36"/>
      <c r="AQI20" s="36"/>
      <c r="AQJ20" s="36"/>
      <c r="AQK20" s="36"/>
      <c r="AQL20" s="36"/>
      <c r="AQM20" s="36"/>
      <c r="AQN20" s="36"/>
      <c r="AQO20" s="36"/>
      <c r="AQP20" s="36"/>
      <c r="AQQ20" s="36"/>
      <c r="AQR20" s="36"/>
      <c r="AQS20" s="36"/>
      <c r="AQT20" s="36"/>
      <c r="AQU20" s="36"/>
      <c r="AQV20" s="36"/>
      <c r="AQW20" s="36"/>
      <c r="AQX20" s="36"/>
      <c r="AQY20" s="36"/>
      <c r="AQZ20" s="36"/>
      <c r="ARA20" s="36"/>
      <c r="ARB20" s="36"/>
      <c r="ARC20" s="36"/>
      <c r="ARD20" s="36"/>
      <c r="ARE20" s="36"/>
      <c r="ARF20" s="36"/>
      <c r="ARG20" s="36"/>
      <c r="ARH20" s="36"/>
      <c r="ARI20" s="36"/>
      <c r="ARJ20" s="36"/>
      <c r="ARK20" s="36"/>
      <c r="ARL20" s="36"/>
      <c r="ARM20" s="36"/>
      <c r="ARN20" s="36"/>
      <c r="ARO20" s="36"/>
      <c r="ARP20" s="36"/>
      <c r="ARQ20" s="36"/>
      <c r="ARR20" s="36"/>
      <c r="ARS20" s="36"/>
      <c r="ART20" s="36"/>
      <c r="ARU20" s="36"/>
      <c r="ARV20" s="36"/>
      <c r="ARW20" s="36"/>
      <c r="ARX20" s="36"/>
      <c r="ARY20" s="36"/>
      <c r="ARZ20" s="36"/>
      <c r="ASA20" s="36"/>
      <c r="ASB20" s="36"/>
      <c r="ASC20" s="36"/>
      <c r="ASD20" s="36"/>
      <c r="ASE20" s="36"/>
      <c r="ASF20" s="36"/>
      <c r="ASG20" s="36"/>
      <c r="ASH20" s="36"/>
      <c r="ASI20" s="36"/>
      <c r="ASJ20" s="36"/>
      <c r="ASK20" s="36"/>
      <c r="ASL20" s="36"/>
      <c r="ASM20" s="36"/>
      <c r="ASN20" s="36"/>
      <c r="ASO20" s="36"/>
      <c r="ASP20" s="36"/>
      <c r="ASQ20" s="36"/>
      <c r="ASR20" s="36"/>
      <c r="ASS20" s="36"/>
      <c r="AST20" s="36"/>
      <c r="ASU20" s="36"/>
      <c r="ASV20" s="36"/>
      <c r="ASW20" s="36"/>
      <c r="ASX20" s="36"/>
      <c r="ASY20" s="36"/>
      <c r="ASZ20" s="36"/>
      <c r="ATA20" s="36"/>
      <c r="ATB20" s="36"/>
      <c r="ATC20" s="36"/>
      <c r="ATD20" s="36"/>
      <c r="ATE20" s="36"/>
      <c r="ATF20" s="36"/>
      <c r="ATG20" s="36"/>
      <c r="ATH20" s="36"/>
      <c r="ATI20" s="36"/>
      <c r="ATJ20" s="36"/>
      <c r="ATK20" s="36"/>
      <c r="ATL20" s="36"/>
      <c r="ATM20" s="36"/>
      <c r="ATN20" s="36"/>
      <c r="ATO20" s="36"/>
      <c r="ATP20" s="36"/>
      <c r="ATQ20" s="36"/>
      <c r="ATR20" s="36"/>
      <c r="ATS20" s="36"/>
      <c r="ATT20" s="36"/>
      <c r="ATU20" s="36"/>
      <c r="ATV20" s="36"/>
      <c r="ATW20" s="36"/>
      <c r="ATX20" s="36"/>
      <c r="ATY20" s="36"/>
      <c r="ATZ20" s="36"/>
      <c r="AUA20" s="36"/>
      <c r="AUB20" s="36"/>
      <c r="AUC20" s="36"/>
      <c r="AUD20" s="36"/>
      <c r="AUE20" s="36"/>
      <c r="AUF20" s="36"/>
      <c r="AUG20" s="36"/>
      <c r="AUH20" s="36"/>
      <c r="AUI20" s="36"/>
      <c r="AUJ20" s="36"/>
      <c r="AUK20" s="36"/>
      <c r="AUL20" s="36"/>
      <c r="AUM20" s="36"/>
      <c r="AUN20" s="36"/>
      <c r="AUO20" s="36"/>
      <c r="AUP20" s="36"/>
      <c r="AUQ20" s="36"/>
      <c r="AUR20" s="36"/>
      <c r="AUS20" s="36"/>
      <c r="AUT20" s="36"/>
      <c r="AUU20" s="36"/>
      <c r="AUV20" s="36"/>
      <c r="AUW20" s="36"/>
      <c r="AUX20" s="36"/>
      <c r="AUY20" s="36"/>
      <c r="AUZ20" s="36"/>
      <c r="AVA20" s="36"/>
      <c r="AVB20" s="36"/>
      <c r="AVC20" s="36"/>
      <c r="AVD20" s="36"/>
      <c r="AVE20" s="36"/>
      <c r="AVF20" s="36"/>
      <c r="AVG20" s="36"/>
      <c r="AVH20" s="36"/>
      <c r="AVI20" s="36"/>
      <c r="AVJ20" s="36"/>
      <c r="AVK20" s="36"/>
      <c r="AVL20" s="36"/>
      <c r="AVM20" s="36"/>
      <c r="AVN20" s="36"/>
      <c r="AVO20" s="36"/>
      <c r="AVP20" s="36"/>
      <c r="AVQ20" s="36"/>
      <c r="AVR20" s="36"/>
      <c r="AVS20" s="36"/>
      <c r="AVT20" s="36"/>
      <c r="AVU20" s="36"/>
      <c r="AVV20" s="36"/>
      <c r="AVW20" s="36"/>
      <c r="AVX20" s="36"/>
      <c r="AVY20" s="36"/>
      <c r="AVZ20" s="36"/>
      <c r="AWA20" s="36"/>
      <c r="AWB20" s="36"/>
      <c r="AWC20" s="36"/>
      <c r="AWD20" s="36"/>
      <c r="AWE20" s="36"/>
      <c r="AWF20" s="36"/>
      <c r="AWG20" s="36"/>
      <c r="AWH20" s="36"/>
      <c r="AWI20" s="36"/>
      <c r="AWJ20" s="36"/>
      <c r="AWK20" s="36"/>
      <c r="AWL20" s="36"/>
      <c r="AWM20" s="36"/>
      <c r="AWN20" s="36"/>
      <c r="AWO20" s="36"/>
      <c r="AWP20" s="36"/>
      <c r="AWQ20" s="36"/>
      <c r="AWR20" s="36"/>
      <c r="AWS20" s="36"/>
      <c r="AWT20" s="36"/>
      <c r="AWU20" s="36"/>
      <c r="AWV20" s="36"/>
      <c r="AWW20" s="36"/>
      <c r="AWX20" s="36"/>
      <c r="AWY20" s="36"/>
      <c r="AWZ20" s="36"/>
      <c r="AXA20" s="36"/>
      <c r="AXB20" s="36"/>
      <c r="AXC20" s="36"/>
      <c r="AXD20" s="36"/>
      <c r="AXE20" s="36"/>
      <c r="AXF20" s="36"/>
      <c r="AXG20" s="36"/>
      <c r="AXH20" s="36"/>
      <c r="AXI20" s="36"/>
      <c r="AXJ20" s="36"/>
      <c r="AXK20" s="36"/>
      <c r="AXL20" s="36"/>
      <c r="AXM20" s="36"/>
      <c r="AXN20" s="36"/>
      <c r="AXO20" s="36"/>
      <c r="AXP20" s="36"/>
      <c r="AXQ20" s="36"/>
      <c r="AXR20" s="36"/>
      <c r="AXS20" s="36"/>
      <c r="AXT20" s="36"/>
      <c r="AXU20" s="36"/>
      <c r="AXV20" s="36"/>
      <c r="AXW20" s="36"/>
      <c r="AXX20" s="36"/>
      <c r="AXY20" s="36"/>
      <c r="AXZ20" s="36"/>
      <c r="AYA20" s="36"/>
      <c r="AYB20" s="36"/>
      <c r="AYC20" s="36"/>
      <c r="AYD20" s="36"/>
      <c r="AYE20" s="36"/>
      <c r="AYF20" s="36"/>
      <c r="AYG20" s="36"/>
      <c r="AYH20" s="36"/>
      <c r="AYI20" s="36"/>
      <c r="AYJ20" s="36"/>
      <c r="AYK20" s="36"/>
      <c r="AYL20" s="36"/>
      <c r="AYM20" s="36"/>
      <c r="AYN20" s="36"/>
      <c r="AYO20" s="36"/>
      <c r="AYP20" s="36"/>
      <c r="AYQ20" s="36"/>
      <c r="AYR20" s="36"/>
      <c r="AYS20" s="36"/>
      <c r="AYT20" s="36"/>
      <c r="AYU20" s="36"/>
      <c r="AYV20" s="36"/>
      <c r="AYW20" s="36"/>
      <c r="AYX20" s="36"/>
      <c r="AYY20" s="36"/>
      <c r="AYZ20" s="36"/>
      <c r="AZA20" s="36"/>
      <c r="AZB20" s="36"/>
      <c r="AZC20" s="36"/>
      <c r="AZD20" s="36"/>
      <c r="AZE20" s="36"/>
      <c r="AZF20" s="36"/>
      <c r="AZG20" s="36"/>
      <c r="AZH20" s="36"/>
      <c r="AZI20" s="36"/>
      <c r="AZJ20" s="36"/>
      <c r="AZK20" s="36"/>
      <c r="AZL20" s="36"/>
      <c r="AZM20" s="36"/>
      <c r="AZN20" s="36"/>
      <c r="AZO20" s="36"/>
      <c r="AZP20" s="36"/>
      <c r="AZQ20" s="36"/>
      <c r="AZR20" s="36"/>
      <c r="AZS20" s="36"/>
      <c r="AZT20" s="36"/>
      <c r="AZU20" s="36"/>
      <c r="AZV20" s="36"/>
      <c r="AZW20" s="36"/>
      <c r="AZX20" s="36"/>
      <c r="AZY20" s="36"/>
      <c r="AZZ20" s="36"/>
      <c r="BAA20" s="36"/>
      <c r="BAB20" s="36"/>
      <c r="BAC20" s="36"/>
      <c r="BAD20" s="36"/>
      <c r="BAE20" s="36"/>
      <c r="BAF20" s="36"/>
      <c r="BAG20" s="36"/>
      <c r="BAH20" s="36"/>
      <c r="BAI20" s="36"/>
      <c r="BAJ20" s="36"/>
      <c r="BAK20" s="36"/>
      <c r="BAL20" s="36"/>
      <c r="BAM20" s="36"/>
      <c r="BAN20" s="36"/>
      <c r="BAO20" s="36"/>
      <c r="BAP20" s="36"/>
      <c r="BAQ20" s="36"/>
      <c r="BAR20" s="36"/>
      <c r="BAS20" s="36"/>
      <c r="BAT20" s="36"/>
      <c r="BAU20" s="36"/>
      <c r="BAV20" s="36"/>
      <c r="BAW20" s="36"/>
      <c r="BAX20" s="36"/>
      <c r="BAY20" s="36"/>
      <c r="BAZ20" s="36"/>
      <c r="BBA20" s="36"/>
      <c r="BBB20" s="36"/>
      <c r="BBC20" s="36"/>
      <c r="BBD20" s="36"/>
      <c r="BBE20" s="36"/>
      <c r="BBF20" s="36"/>
      <c r="BBG20" s="36"/>
      <c r="BBH20" s="36"/>
      <c r="BBI20" s="36"/>
      <c r="BBJ20" s="36"/>
      <c r="BBK20" s="36"/>
      <c r="BBL20" s="36"/>
      <c r="BBM20" s="36"/>
      <c r="BBN20" s="36"/>
      <c r="BBO20" s="36"/>
      <c r="BBP20" s="36"/>
      <c r="BBQ20" s="36"/>
      <c r="BBR20" s="36"/>
      <c r="BBS20" s="36"/>
      <c r="BBT20" s="36"/>
      <c r="BBU20" s="36"/>
      <c r="BBV20" s="36"/>
      <c r="BBW20" s="36"/>
      <c r="BBX20" s="36"/>
      <c r="BBY20" s="36"/>
      <c r="BBZ20" s="36"/>
      <c r="BCA20" s="36"/>
      <c r="BCB20" s="36"/>
      <c r="BCC20" s="36"/>
      <c r="BCD20" s="36"/>
      <c r="BCE20" s="36"/>
      <c r="BCF20" s="36"/>
      <c r="BCG20" s="36"/>
      <c r="BCH20" s="36"/>
      <c r="BCI20" s="36"/>
      <c r="BCJ20" s="36"/>
      <c r="BCK20" s="36"/>
      <c r="BCL20" s="36"/>
      <c r="BCM20" s="36"/>
      <c r="BCN20" s="36"/>
      <c r="BCO20" s="36"/>
      <c r="BCP20" s="36"/>
      <c r="BCQ20" s="36"/>
      <c r="BCR20" s="36"/>
      <c r="BCS20" s="36"/>
      <c r="BCT20" s="36"/>
      <c r="BCU20" s="36"/>
      <c r="BCV20" s="36"/>
      <c r="BCW20" s="36"/>
      <c r="BCX20" s="36"/>
      <c r="BCY20" s="36"/>
      <c r="BCZ20" s="36"/>
      <c r="BDA20" s="36"/>
      <c r="BDB20" s="36"/>
      <c r="BDC20" s="36"/>
      <c r="BDD20" s="36"/>
      <c r="BDE20" s="36"/>
      <c r="BDF20" s="36"/>
      <c r="BDG20" s="36"/>
      <c r="BDH20" s="36"/>
      <c r="BDI20" s="36"/>
      <c r="BDJ20" s="36"/>
      <c r="BDK20" s="36"/>
      <c r="BDL20" s="36"/>
      <c r="BDM20" s="36"/>
      <c r="BDN20" s="36"/>
      <c r="BDO20" s="36"/>
      <c r="BDP20" s="36"/>
      <c r="BDQ20" s="36"/>
      <c r="BDR20" s="36"/>
      <c r="BDS20" s="36"/>
      <c r="BDT20" s="36"/>
      <c r="BDU20" s="36"/>
      <c r="BDV20" s="36"/>
      <c r="BDW20" s="36"/>
      <c r="BDX20" s="36"/>
      <c r="BDY20" s="36"/>
      <c r="BDZ20" s="36"/>
      <c r="BEA20" s="36"/>
      <c r="BEB20" s="36"/>
      <c r="BEC20" s="36"/>
      <c r="BED20" s="36"/>
      <c r="BEE20" s="36"/>
      <c r="BEF20" s="36"/>
      <c r="BEG20" s="36"/>
      <c r="BEH20" s="36"/>
      <c r="BEI20" s="36"/>
      <c r="BEJ20" s="36"/>
      <c r="BEK20" s="36"/>
      <c r="BEL20" s="36"/>
      <c r="BEM20" s="36"/>
      <c r="BEN20" s="36"/>
      <c r="BEO20" s="36"/>
      <c r="BEP20" s="36"/>
      <c r="BEQ20" s="36"/>
      <c r="BER20" s="36"/>
      <c r="BES20" s="36"/>
      <c r="BET20" s="36"/>
      <c r="BEU20" s="36"/>
      <c r="BEV20" s="36"/>
      <c r="BEW20" s="36"/>
      <c r="BEX20" s="36"/>
      <c r="BEY20" s="36"/>
      <c r="BEZ20" s="36"/>
      <c r="BFA20" s="36"/>
      <c r="BFB20" s="36"/>
      <c r="BFC20" s="36"/>
      <c r="BFD20" s="36"/>
      <c r="BFE20" s="36"/>
      <c r="BFF20" s="36"/>
      <c r="BFG20" s="36"/>
      <c r="BFH20" s="36"/>
      <c r="BFI20" s="36"/>
      <c r="BFJ20" s="36"/>
      <c r="BFK20" s="36"/>
      <c r="BFL20" s="36"/>
      <c r="BFM20" s="36"/>
      <c r="BFN20" s="36"/>
      <c r="BFO20" s="36"/>
      <c r="BFP20" s="36"/>
      <c r="BFQ20" s="36"/>
      <c r="BFR20" s="36"/>
      <c r="BFS20" s="36"/>
      <c r="BFT20" s="36"/>
      <c r="BFU20" s="36"/>
      <c r="BFV20" s="36"/>
      <c r="BFW20" s="36"/>
      <c r="BFX20" s="36"/>
      <c r="BFY20" s="36"/>
      <c r="BFZ20" s="36"/>
      <c r="BGA20" s="36"/>
      <c r="BGB20" s="36"/>
      <c r="BGC20" s="36"/>
      <c r="BGD20" s="36"/>
      <c r="BGE20" s="36"/>
      <c r="BGF20" s="36"/>
      <c r="BGG20" s="36"/>
      <c r="BGH20" s="36"/>
      <c r="BGI20" s="36"/>
      <c r="BGJ20" s="36"/>
      <c r="BGK20" s="36"/>
      <c r="BGL20" s="36"/>
      <c r="BGM20" s="36"/>
      <c r="BGN20" s="36"/>
      <c r="BGO20" s="36"/>
      <c r="BGP20" s="36"/>
      <c r="BGQ20" s="36"/>
      <c r="BGR20" s="36"/>
      <c r="BGS20" s="36"/>
      <c r="BGT20" s="36"/>
      <c r="BGU20" s="36"/>
      <c r="BGV20" s="36"/>
      <c r="BGW20" s="36"/>
      <c r="BGX20" s="36"/>
      <c r="BGY20" s="36"/>
      <c r="BGZ20" s="36"/>
      <c r="BHA20" s="36"/>
      <c r="BHB20" s="36"/>
      <c r="BHC20" s="36"/>
      <c r="BHD20" s="36"/>
      <c r="BHE20" s="36"/>
      <c r="BHF20" s="36"/>
      <c r="BHG20" s="36"/>
      <c r="BHH20" s="36"/>
      <c r="BHI20" s="36"/>
      <c r="BHJ20" s="36"/>
      <c r="BHK20" s="36"/>
      <c r="BHL20" s="36"/>
      <c r="BHM20" s="36"/>
      <c r="BHN20" s="36"/>
      <c r="BHO20" s="36"/>
      <c r="BHP20" s="36"/>
      <c r="BHQ20" s="36"/>
      <c r="BHR20" s="36"/>
      <c r="BHS20" s="36"/>
      <c r="BHT20" s="36"/>
      <c r="BHU20" s="36"/>
      <c r="BHV20" s="36"/>
      <c r="BHW20" s="36"/>
      <c r="BHX20" s="36"/>
      <c r="BHY20" s="36"/>
      <c r="BHZ20" s="36"/>
      <c r="BIA20" s="36"/>
      <c r="BIB20" s="36"/>
      <c r="BIC20" s="36"/>
      <c r="BID20" s="36"/>
      <c r="BIE20" s="36"/>
      <c r="BIF20" s="36"/>
      <c r="BIG20" s="36"/>
      <c r="BIH20" s="36"/>
      <c r="BII20" s="36"/>
      <c r="BIJ20" s="36"/>
      <c r="BIK20" s="36"/>
      <c r="BIL20" s="36"/>
      <c r="BIM20" s="36"/>
      <c r="BIN20" s="36"/>
      <c r="BIO20" s="36"/>
      <c r="BIP20" s="36"/>
      <c r="BIQ20" s="36"/>
      <c r="BIR20" s="36"/>
      <c r="BIS20" s="36"/>
      <c r="BIT20" s="36"/>
      <c r="BIU20" s="36"/>
      <c r="BIV20" s="36"/>
      <c r="BIW20" s="36"/>
      <c r="BIX20" s="36"/>
      <c r="BIY20" s="36"/>
      <c r="BIZ20" s="36"/>
      <c r="BJA20" s="36"/>
      <c r="BJB20" s="36"/>
      <c r="BJC20" s="36"/>
      <c r="BJD20" s="36"/>
      <c r="BJE20" s="36"/>
      <c r="BJF20" s="36"/>
      <c r="BJG20" s="36"/>
      <c r="BJH20" s="36"/>
      <c r="BJI20" s="36"/>
      <c r="BJJ20" s="36"/>
      <c r="BJK20" s="36"/>
      <c r="BJL20" s="36"/>
      <c r="BJM20" s="36"/>
      <c r="BJN20" s="36"/>
      <c r="BJO20" s="36"/>
      <c r="BJP20" s="36"/>
      <c r="BJQ20" s="36"/>
      <c r="BJR20" s="36"/>
      <c r="BJS20" s="36"/>
      <c r="BJT20" s="36"/>
      <c r="BJU20" s="36"/>
      <c r="BJV20" s="36"/>
      <c r="BJW20" s="36"/>
      <c r="BJX20" s="36"/>
      <c r="BJY20" s="36"/>
      <c r="BJZ20" s="36"/>
      <c r="BKA20" s="36"/>
      <c r="BKB20" s="36"/>
      <c r="BKC20" s="36"/>
      <c r="BKD20" s="36"/>
      <c r="BKE20" s="36"/>
      <c r="BKF20" s="36"/>
      <c r="BKG20" s="36"/>
      <c r="BKH20" s="36"/>
      <c r="BKI20" s="36"/>
      <c r="BKJ20" s="36"/>
      <c r="BKK20" s="36"/>
      <c r="BKL20" s="36"/>
      <c r="BKM20" s="36"/>
      <c r="BKN20" s="36"/>
      <c r="BKO20" s="36"/>
      <c r="BKP20" s="36"/>
      <c r="BKQ20" s="36"/>
      <c r="BKR20" s="36"/>
      <c r="BKS20" s="36"/>
      <c r="BKT20" s="36"/>
      <c r="BKU20" s="36"/>
      <c r="BKV20" s="36"/>
      <c r="BKW20" s="36"/>
      <c r="BKX20" s="36"/>
      <c r="BKY20" s="36"/>
      <c r="BKZ20" s="36"/>
      <c r="BLA20" s="36"/>
      <c r="BLB20" s="36"/>
      <c r="BLC20" s="36"/>
      <c r="BLD20" s="36"/>
      <c r="BLE20" s="36"/>
      <c r="BLF20" s="36"/>
      <c r="BLG20" s="36"/>
      <c r="BLH20" s="36"/>
      <c r="BLI20" s="36"/>
      <c r="BLJ20" s="36"/>
      <c r="BLK20" s="36"/>
      <c r="BLL20" s="36"/>
      <c r="BLM20" s="36"/>
      <c r="BLN20" s="36"/>
      <c r="BLO20" s="36"/>
      <c r="BLP20" s="36"/>
      <c r="BLQ20" s="36"/>
      <c r="BLR20" s="36"/>
      <c r="BLS20" s="36"/>
      <c r="BLT20" s="36"/>
      <c r="BLU20" s="36"/>
      <c r="BLV20" s="36"/>
      <c r="BLW20" s="36"/>
      <c r="BLX20" s="36"/>
      <c r="BLY20" s="36"/>
      <c r="BLZ20" s="36"/>
      <c r="BMA20" s="36"/>
      <c r="BMB20" s="36"/>
      <c r="BMC20" s="36"/>
      <c r="BMD20" s="36"/>
      <c r="BME20" s="36"/>
      <c r="BMF20" s="36"/>
      <c r="BMG20" s="36"/>
      <c r="BMH20" s="36"/>
      <c r="BMI20" s="36"/>
      <c r="BMJ20" s="36"/>
      <c r="BMK20" s="36"/>
      <c r="BML20" s="36"/>
      <c r="BMM20" s="36"/>
      <c r="BMN20" s="36"/>
      <c r="BMO20" s="36"/>
      <c r="BMP20" s="36"/>
      <c r="BMQ20" s="36"/>
      <c r="BMR20" s="36"/>
      <c r="BMS20" s="36"/>
      <c r="BMT20" s="36"/>
      <c r="BMU20" s="36"/>
      <c r="BMV20" s="36"/>
      <c r="BMW20" s="36"/>
      <c r="BMX20" s="36"/>
      <c r="BMY20" s="36"/>
      <c r="BMZ20" s="36"/>
      <c r="BNA20" s="36"/>
      <c r="BNB20" s="36"/>
      <c r="BNC20" s="36"/>
      <c r="BND20" s="36"/>
      <c r="BNE20" s="36"/>
      <c r="BNF20" s="36"/>
      <c r="BNG20" s="36"/>
      <c r="BNH20" s="36"/>
      <c r="BNI20" s="36"/>
      <c r="BNJ20" s="36"/>
      <c r="BNK20" s="36"/>
      <c r="BNL20" s="36"/>
      <c r="BNM20" s="36"/>
      <c r="BNN20" s="36"/>
      <c r="BNO20" s="36"/>
      <c r="BNP20" s="36"/>
      <c r="BNQ20" s="36"/>
      <c r="BNR20" s="36"/>
      <c r="BNS20" s="36"/>
      <c r="BNT20" s="36"/>
      <c r="BNU20" s="36"/>
      <c r="BNV20" s="36"/>
      <c r="BNW20" s="36"/>
      <c r="BNX20" s="36"/>
      <c r="BNY20" s="36"/>
      <c r="BNZ20" s="36"/>
      <c r="BOA20" s="36"/>
      <c r="BOB20" s="36"/>
      <c r="BOC20" s="36"/>
      <c r="BOD20" s="36"/>
      <c r="BOE20" s="36"/>
      <c r="BOF20" s="36"/>
      <c r="BOG20" s="36"/>
      <c r="BOH20" s="36"/>
      <c r="BOI20" s="36"/>
      <c r="BOJ20" s="36"/>
      <c r="BOK20" s="36"/>
      <c r="BOL20" s="36"/>
      <c r="BOM20" s="36"/>
      <c r="BON20" s="36"/>
      <c r="BOO20" s="36"/>
      <c r="BOP20" s="36"/>
      <c r="BOQ20" s="36"/>
      <c r="BOR20" s="36"/>
      <c r="BOS20" s="36"/>
      <c r="BOT20" s="36"/>
      <c r="BOU20" s="36"/>
      <c r="BOV20" s="36"/>
      <c r="BOW20" s="36"/>
      <c r="BOX20" s="36"/>
      <c r="BOY20" s="36"/>
      <c r="BOZ20" s="36"/>
      <c r="BPA20" s="36"/>
      <c r="BPB20" s="36"/>
      <c r="BPC20" s="36"/>
      <c r="BPD20" s="36"/>
      <c r="BPE20" s="36"/>
      <c r="BPF20" s="36"/>
      <c r="BPG20" s="36"/>
      <c r="BPH20" s="36"/>
      <c r="BPI20" s="36"/>
      <c r="BPJ20" s="36"/>
      <c r="BPK20" s="36"/>
      <c r="BPL20" s="36"/>
      <c r="BPM20" s="36"/>
      <c r="BPN20" s="36"/>
      <c r="BPO20" s="36"/>
      <c r="BPP20" s="36"/>
      <c r="BPQ20" s="36"/>
      <c r="BPR20" s="36"/>
      <c r="BPS20" s="36"/>
      <c r="BPT20" s="36"/>
      <c r="BPU20" s="36"/>
      <c r="BPV20" s="36"/>
      <c r="BPW20" s="36"/>
      <c r="BPX20" s="36"/>
      <c r="BPY20" s="36"/>
      <c r="BPZ20" s="36"/>
      <c r="BQA20" s="36"/>
      <c r="BQB20" s="36"/>
      <c r="BQC20" s="36"/>
      <c r="BQD20" s="36"/>
      <c r="BQE20" s="36"/>
      <c r="BQF20" s="36"/>
      <c r="BQG20" s="36"/>
      <c r="BQH20" s="36"/>
      <c r="BQI20" s="36"/>
      <c r="BQJ20" s="36"/>
      <c r="BQK20" s="36"/>
      <c r="BQL20" s="36"/>
      <c r="BQM20" s="36"/>
      <c r="BQN20" s="36"/>
      <c r="BQO20" s="36"/>
      <c r="BQP20" s="36"/>
      <c r="BQQ20" s="36"/>
      <c r="BQR20" s="36"/>
      <c r="BQS20" s="36"/>
      <c r="BQT20" s="36"/>
      <c r="BQU20" s="36"/>
      <c r="BQV20" s="36"/>
      <c r="BQW20" s="36"/>
      <c r="BQX20" s="36"/>
      <c r="BQY20" s="36"/>
      <c r="BQZ20" s="36"/>
      <c r="BRA20" s="36"/>
      <c r="BRB20" s="36"/>
      <c r="BRC20" s="36"/>
      <c r="BRD20" s="36"/>
      <c r="BRE20" s="36"/>
      <c r="BRF20" s="36"/>
      <c r="BRG20" s="36"/>
      <c r="BRH20" s="36"/>
      <c r="BRI20" s="36"/>
      <c r="BRJ20" s="36"/>
      <c r="BRK20" s="36"/>
      <c r="BRL20" s="36"/>
      <c r="BRM20" s="36"/>
      <c r="BRN20" s="36"/>
      <c r="BRO20" s="36"/>
      <c r="BRP20" s="36"/>
      <c r="BRQ20" s="36"/>
      <c r="BRR20" s="36"/>
      <c r="BRS20" s="36"/>
      <c r="BRT20" s="36"/>
      <c r="BRU20" s="36"/>
      <c r="BRV20" s="36"/>
      <c r="BRW20" s="36"/>
      <c r="BRX20" s="36"/>
      <c r="BRY20" s="36"/>
      <c r="BRZ20" s="36"/>
      <c r="BSA20" s="36"/>
      <c r="BSB20" s="36"/>
      <c r="BSC20" s="36"/>
      <c r="BSD20" s="36"/>
      <c r="BSE20" s="36"/>
      <c r="BSF20" s="36"/>
      <c r="BSG20" s="36"/>
      <c r="BSH20" s="36"/>
      <c r="BSI20" s="36"/>
      <c r="BSJ20" s="36"/>
      <c r="BSK20" s="36"/>
      <c r="BSL20" s="36"/>
      <c r="BSM20" s="36"/>
      <c r="BSN20" s="36"/>
      <c r="BSO20" s="36"/>
      <c r="BSP20" s="36"/>
      <c r="BSQ20" s="36"/>
      <c r="BSR20" s="36"/>
      <c r="BSS20" s="36"/>
      <c r="BST20" s="36"/>
      <c r="BSU20" s="36"/>
      <c r="BSV20" s="36"/>
      <c r="BSW20" s="36"/>
      <c r="BSX20" s="36"/>
      <c r="BSY20" s="36"/>
      <c r="BSZ20" s="36"/>
      <c r="BTA20" s="36"/>
      <c r="BTB20" s="36"/>
      <c r="BTC20" s="36"/>
      <c r="BTD20" s="36"/>
      <c r="BTE20" s="36"/>
      <c r="BTF20" s="36"/>
      <c r="BTG20" s="36"/>
      <c r="BTH20" s="36"/>
      <c r="BTI20" s="36"/>
      <c r="BTJ20" s="36"/>
      <c r="BTK20" s="36"/>
      <c r="BTL20" s="36"/>
      <c r="BTM20" s="36"/>
      <c r="BTN20" s="36"/>
      <c r="BTO20" s="36"/>
      <c r="BTP20" s="36"/>
      <c r="BTQ20" s="36"/>
      <c r="BTR20" s="36"/>
      <c r="BTS20" s="36"/>
      <c r="BTT20" s="36"/>
      <c r="BTU20" s="36"/>
      <c r="BTV20" s="36"/>
      <c r="BTW20" s="36"/>
      <c r="BTX20" s="36"/>
      <c r="BTY20" s="36"/>
      <c r="BTZ20" s="36"/>
      <c r="BUA20" s="36"/>
      <c r="BUB20" s="36"/>
      <c r="BUC20" s="36"/>
      <c r="BUD20" s="36"/>
      <c r="BUE20" s="36"/>
      <c r="BUF20" s="36"/>
      <c r="BUG20" s="36"/>
      <c r="BUH20" s="36"/>
      <c r="BUI20" s="36"/>
      <c r="BUJ20" s="36"/>
      <c r="BUK20" s="36"/>
      <c r="BUL20" s="36"/>
      <c r="BUM20" s="36"/>
      <c r="BUN20" s="36"/>
      <c r="BUO20" s="36"/>
      <c r="BUP20" s="36"/>
      <c r="BUQ20" s="36"/>
      <c r="BUR20" s="36"/>
      <c r="BUS20" s="36"/>
      <c r="BUT20" s="36"/>
      <c r="BUU20" s="36"/>
      <c r="BUV20" s="36"/>
      <c r="BUW20" s="36"/>
      <c r="BUX20" s="36"/>
      <c r="BUY20" s="36"/>
      <c r="BUZ20" s="36"/>
      <c r="BVA20" s="36"/>
      <c r="BVB20" s="36"/>
      <c r="BVC20" s="36"/>
      <c r="BVD20" s="36"/>
      <c r="BVE20" s="36"/>
      <c r="BVF20" s="36"/>
      <c r="BVG20" s="36"/>
      <c r="BVH20" s="36"/>
      <c r="BVI20" s="36"/>
      <c r="BVJ20" s="36"/>
      <c r="BVK20" s="36"/>
      <c r="BVL20" s="36"/>
      <c r="BVM20" s="36"/>
      <c r="BVN20" s="36"/>
      <c r="BVO20" s="36"/>
      <c r="BVP20" s="36"/>
      <c r="BVQ20" s="36"/>
      <c r="BVR20" s="36"/>
      <c r="BVS20" s="36"/>
      <c r="BVT20" s="36"/>
      <c r="BVU20" s="36"/>
      <c r="BVV20" s="36"/>
      <c r="BVW20" s="36"/>
      <c r="BVX20" s="36"/>
      <c r="BVY20" s="36"/>
      <c r="BVZ20" s="36"/>
      <c r="BWA20" s="36"/>
      <c r="BWB20" s="36"/>
      <c r="BWC20" s="36"/>
      <c r="BWD20" s="36"/>
      <c r="BWE20" s="36"/>
      <c r="BWF20" s="36"/>
      <c r="BWG20" s="36"/>
      <c r="BWH20" s="36"/>
      <c r="BWI20" s="36"/>
      <c r="BWJ20" s="36"/>
      <c r="BWK20" s="36"/>
      <c r="BWL20" s="36"/>
      <c r="BWM20" s="36"/>
      <c r="BWN20" s="36"/>
      <c r="BWO20" s="36"/>
      <c r="BWP20" s="36"/>
      <c r="BWQ20" s="36"/>
      <c r="BWR20" s="36"/>
      <c r="BWS20" s="36"/>
      <c r="BWT20" s="36"/>
      <c r="BWU20" s="36"/>
      <c r="BWV20" s="36"/>
      <c r="BWW20" s="36"/>
      <c r="BWX20" s="36"/>
      <c r="BWY20" s="36"/>
      <c r="BWZ20" s="36"/>
      <c r="BXA20" s="36"/>
      <c r="BXB20" s="36"/>
      <c r="BXC20" s="36"/>
      <c r="BXD20" s="36"/>
      <c r="BXE20" s="36"/>
      <c r="BXF20" s="36"/>
      <c r="BXG20" s="36"/>
      <c r="BXH20" s="36"/>
      <c r="BXI20" s="36"/>
      <c r="BXJ20" s="36"/>
      <c r="BXK20" s="36"/>
      <c r="BXL20" s="36"/>
      <c r="BXM20" s="36"/>
      <c r="BXN20" s="36"/>
      <c r="BXO20" s="36"/>
      <c r="BXP20" s="36"/>
      <c r="BXQ20" s="36"/>
      <c r="BXR20" s="36"/>
      <c r="BXS20" s="36"/>
      <c r="BXT20" s="36"/>
      <c r="BXU20" s="36"/>
      <c r="BXV20" s="36"/>
      <c r="BXW20" s="36"/>
      <c r="BXX20" s="36"/>
      <c r="BXY20" s="36"/>
      <c r="BXZ20" s="36"/>
      <c r="BYA20" s="36"/>
      <c r="BYB20" s="36"/>
      <c r="BYC20" s="36"/>
      <c r="BYD20" s="36"/>
      <c r="BYE20" s="36"/>
      <c r="BYF20" s="36"/>
      <c r="BYG20" s="36"/>
      <c r="BYH20" s="36"/>
      <c r="BYI20" s="36"/>
      <c r="BYJ20" s="36"/>
      <c r="BYK20" s="36"/>
      <c r="BYL20" s="36"/>
      <c r="BYM20" s="36"/>
      <c r="BYN20" s="36"/>
      <c r="BYO20" s="36"/>
      <c r="BYP20" s="36"/>
      <c r="BYQ20" s="36"/>
      <c r="BYR20" s="36"/>
      <c r="BYS20" s="36"/>
      <c r="BYT20" s="36"/>
      <c r="BYU20" s="36"/>
      <c r="BYV20" s="36"/>
      <c r="BYW20" s="36"/>
      <c r="BYX20" s="36"/>
      <c r="BYY20" s="36"/>
      <c r="BYZ20" s="36"/>
      <c r="BZA20" s="36"/>
      <c r="BZB20" s="36"/>
      <c r="BZC20" s="36"/>
      <c r="BZD20" s="36"/>
      <c r="BZE20" s="36"/>
      <c r="BZF20" s="36"/>
      <c r="BZG20" s="36"/>
      <c r="BZH20" s="36"/>
      <c r="BZI20" s="36"/>
      <c r="BZJ20" s="36"/>
      <c r="BZK20" s="36"/>
      <c r="BZL20" s="36"/>
      <c r="BZM20" s="36"/>
      <c r="BZN20" s="36"/>
      <c r="BZO20" s="36"/>
      <c r="BZP20" s="36"/>
      <c r="BZQ20" s="36"/>
      <c r="BZR20" s="36"/>
      <c r="BZS20" s="36"/>
      <c r="BZT20" s="36"/>
      <c r="BZU20" s="36"/>
      <c r="BZV20" s="36"/>
      <c r="BZW20" s="36"/>
      <c r="BZX20" s="36"/>
      <c r="BZY20" s="36"/>
      <c r="BZZ20" s="36"/>
      <c r="CAA20" s="36"/>
      <c r="CAB20" s="36"/>
      <c r="CAC20" s="36"/>
      <c r="CAD20" s="36"/>
      <c r="CAE20" s="36"/>
      <c r="CAF20" s="36"/>
      <c r="CAG20" s="36"/>
      <c r="CAH20" s="36"/>
      <c r="CAI20" s="36"/>
      <c r="CAJ20" s="36"/>
      <c r="CAK20" s="36"/>
      <c r="CAL20" s="36"/>
      <c r="CAM20" s="36"/>
      <c r="CAN20" s="36"/>
      <c r="CAO20" s="36"/>
      <c r="CAP20" s="36"/>
      <c r="CAQ20" s="36"/>
      <c r="CAR20" s="36"/>
      <c r="CAS20" s="36"/>
      <c r="CAT20" s="36"/>
      <c r="CAU20" s="36"/>
      <c r="CAV20" s="36"/>
      <c r="CAW20" s="36"/>
      <c r="CAX20" s="36"/>
      <c r="CAY20" s="36"/>
      <c r="CAZ20" s="36"/>
      <c r="CBA20" s="36"/>
      <c r="CBB20" s="36"/>
      <c r="CBC20" s="36"/>
      <c r="CBD20" s="36"/>
      <c r="CBE20" s="36"/>
      <c r="CBF20" s="36"/>
      <c r="CBG20" s="36"/>
      <c r="CBH20" s="36"/>
    </row>
    <row r="21" spans="1:2088" customFormat="1" x14ac:dyDescent="0.2">
      <c r="A21" s="1" t="s">
        <v>1</v>
      </c>
      <c r="B21" s="53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</row>
    <row r="22" spans="1:2088" x14ac:dyDescent="0.2">
      <c r="A22" s="1" t="s">
        <v>47</v>
      </c>
      <c r="B22" s="54">
        <f t="shared" ref="B22" si="0">DATEDIF(B21, B2, "Y")</f>
        <v>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</row>
    <row r="23" spans="1:2088" x14ac:dyDescent="0.2">
      <c r="A23" s="1" t="s">
        <v>25</v>
      </c>
      <c r="B23" s="51"/>
    </row>
    <row r="24" spans="1:2088" x14ac:dyDescent="0.2">
      <c r="A24" s="1" t="s">
        <v>48</v>
      </c>
      <c r="B24" s="5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  <c r="AML24" s="40"/>
      <c r="AMM24" s="40"/>
      <c r="AMN24" s="40"/>
      <c r="AMO24" s="40"/>
      <c r="AMP24" s="40"/>
      <c r="AMQ24" s="40"/>
      <c r="AMR24" s="40"/>
      <c r="AMS24" s="40"/>
      <c r="AMT24" s="40"/>
      <c r="AMU24" s="40"/>
      <c r="AMV24" s="40"/>
      <c r="AMW24" s="40"/>
      <c r="AMX24" s="40"/>
      <c r="AMY24" s="40"/>
      <c r="AMZ24" s="40"/>
      <c r="ANA24" s="40"/>
      <c r="ANB24" s="40"/>
      <c r="ANC24" s="40"/>
      <c r="AND24" s="40"/>
      <c r="ANE24" s="40"/>
      <c r="ANF24" s="40"/>
      <c r="ANG24" s="40"/>
      <c r="ANH24" s="40"/>
      <c r="ANI24" s="40"/>
      <c r="ANJ24" s="40"/>
      <c r="ANK24" s="40"/>
      <c r="ANL24" s="40"/>
      <c r="ANM24" s="40"/>
      <c r="ANN24" s="40"/>
      <c r="ANO24" s="40"/>
      <c r="ANP24" s="40"/>
      <c r="ANQ24" s="40"/>
      <c r="ANR24" s="40"/>
      <c r="ANS24" s="40"/>
      <c r="ANT24" s="40"/>
      <c r="ANU24" s="40"/>
      <c r="ANV24" s="40"/>
      <c r="ANW24" s="40"/>
      <c r="ANX24" s="40"/>
      <c r="ANY24" s="40"/>
      <c r="ANZ24" s="40"/>
      <c r="AOA24" s="40"/>
      <c r="AOB24" s="40"/>
      <c r="AOC24" s="40"/>
      <c r="AOD24" s="40"/>
      <c r="AOE24" s="40"/>
      <c r="AOF24" s="40"/>
      <c r="AOG24" s="40"/>
      <c r="AOH24" s="40"/>
      <c r="AOI24" s="40"/>
      <c r="AOJ24" s="40"/>
      <c r="AOK24" s="40"/>
      <c r="AOL24" s="40"/>
      <c r="AOM24" s="40"/>
      <c r="AON24" s="40"/>
      <c r="AOO24" s="40"/>
      <c r="AOP24" s="40"/>
      <c r="AOQ24" s="40"/>
      <c r="AOR24" s="40"/>
      <c r="AOS24" s="40"/>
      <c r="AOT24" s="40"/>
      <c r="AOU24" s="40"/>
      <c r="AOV24" s="40"/>
      <c r="AOW24" s="40"/>
      <c r="AOX24" s="40"/>
      <c r="AOY24" s="40"/>
      <c r="AOZ24" s="40"/>
      <c r="APA24" s="40"/>
      <c r="APB24" s="40"/>
      <c r="APC24" s="40"/>
      <c r="APD24" s="40"/>
      <c r="APE24" s="40"/>
      <c r="APF24" s="40"/>
      <c r="APG24" s="40"/>
      <c r="APH24" s="40"/>
      <c r="API24" s="40"/>
      <c r="APJ24" s="40"/>
      <c r="APK24" s="40"/>
      <c r="APL24" s="40"/>
      <c r="APM24" s="40"/>
      <c r="APN24" s="40"/>
      <c r="APO24" s="40"/>
      <c r="APP24" s="40"/>
      <c r="APQ24" s="40"/>
      <c r="APR24" s="40"/>
      <c r="APS24" s="40"/>
      <c r="APT24" s="40"/>
      <c r="APU24" s="40"/>
      <c r="APV24" s="40"/>
      <c r="APW24" s="40"/>
      <c r="APX24" s="40"/>
      <c r="APY24" s="40"/>
      <c r="APZ24" s="40"/>
      <c r="AQA24" s="40"/>
      <c r="AQB24" s="40"/>
      <c r="AQC24" s="40"/>
      <c r="AQD24" s="40"/>
      <c r="AQE24" s="40"/>
      <c r="AQF24" s="40"/>
      <c r="AQG24" s="40"/>
      <c r="AQH24" s="40"/>
      <c r="AQI24" s="40"/>
      <c r="AQJ24" s="40"/>
      <c r="AQK24" s="40"/>
      <c r="AQL24" s="40"/>
      <c r="AQM24" s="40"/>
      <c r="AQN24" s="40"/>
      <c r="AQO24" s="40"/>
      <c r="AQP24" s="40"/>
      <c r="AQQ24" s="40"/>
      <c r="AQR24" s="40"/>
      <c r="AQS24" s="40"/>
      <c r="AQT24" s="40"/>
      <c r="AQU24" s="40"/>
      <c r="AQV24" s="40"/>
      <c r="AQW24" s="40"/>
      <c r="AQX24" s="40"/>
      <c r="AQY24" s="40"/>
      <c r="AQZ24" s="40"/>
      <c r="ARA24" s="40"/>
      <c r="ARB24" s="40"/>
      <c r="ARC24" s="40"/>
      <c r="ARD24" s="40"/>
      <c r="ARE24" s="40"/>
      <c r="ARF24" s="40"/>
      <c r="ARG24" s="40"/>
      <c r="ARH24" s="40"/>
      <c r="ARI24" s="40"/>
      <c r="ARJ24" s="40"/>
      <c r="ARK24" s="40"/>
      <c r="ARL24" s="40"/>
      <c r="ARM24" s="40"/>
      <c r="ARN24" s="40"/>
      <c r="ARO24" s="40"/>
      <c r="ARP24" s="40"/>
      <c r="ARQ24" s="40"/>
      <c r="ARR24" s="40"/>
      <c r="ARS24" s="40"/>
      <c r="ART24" s="40"/>
      <c r="ARU24" s="40"/>
      <c r="ARV24" s="40"/>
      <c r="ARW24" s="40"/>
      <c r="ARX24" s="40"/>
      <c r="ARY24" s="40"/>
      <c r="ARZ24" s="40"/>
      <c r="ASA24" s="40"/>
      <c r="ASB24" s="40"/>
      <c r="ASC24" s="40"/>
      <c r="ASD24" s="40"/>
      <c r="ASE24" s="40"/>
      <c r="ASF24" s="40"/>
      <c r="ASG24" s="40"/>
      <c r="ASH24" s="40"/>
      <c r="ASI24" s="40"/>
      <c r="ASJ24" s="40"/>
      <c r="ASK24" s="40"/>
      <c r="ASL24" s="40"/>
      <c r="ASM24" s="40"/>
      <c r="ASN24" s="40"/>
      <c r="ASO24" s="40"/>
      <c r="ASP24" s="40"/>
      <c r="ASQ24" s="40"/>
      <c r="ASR24" s="40"/>
      <c r="ASS24" s="40"/>
      <c r="AST24" s="40"/>
      <c r="ASU24" s="40"/>
      <c r="ASV24" s="40"/>
      <c r="ASW24" s="40"/>
      <c r="ASX24" s="40"/>
      <c r="ASY24" s="40"/>
      <c r="ASZ24" s="40"/>
      <c r="ATA24" s="40"/>
      <c r="ATB24" s="40"/>
      <c r="ATC24" s="40"/>
      <c r="ATD24" s="40"/>
      <c r="ATE24" s="40"/>
      <c r="ATF24" s="40"/>
      <c r="ATG24" s="40"/>
      <c r="ATH24" s="40"/>
      <c r="ATI24" s="40"/>
      <c r="ATJ24" s="40"/>
      <c r="ATK24" s="40"/>
      <c r="ATL24" s="40"/>
      <c r="ATM24" s="40"/>
      <c r="ATN24" s="40"/>
      <c r="ATO24" s="40"/>
      <c r="ATP24" s="40"/>
      <c r="ATQ24" s="40"/>
      <c r="ATR24" s="40"/>
      <c r="ATS24" s="40"/>
      <c r="ATT24" s="40"/>
      <c r="ATU24" s="40"/>
      <c r="ATV24" s="40"/>
      <c r="ATW24" s="40"/>
      <c r="ATX24" s="40"/>
      <c r="ATY24" s="40"/>
      <c r="ATZ24" s="40"/>
      <c r="AUA24" s="40"/>
      <c r="AUB24" s="40"/>
      <c r="AUC24" s="40"/>
      <c r="AUD24" s="40"/>
      <c r="AUE24" s="40"/>
      <c r="AUF24" s="40"/>
      <c r="AUG24" s="40"/>
      <c r="AUH24" s="40"/>
      <c r="AUI24" s="40"/>
      <c r="AUJ24" s="40"/>
      <c r="AUK24" s="40"/>
      <c r="AUL24" s="40"/>
      <c r="AUM24" s="40"/>
      <c r="AUN24" s="40"/>
      <c r="AUO24" s="40"/>
      <c r="AUP24" s="40"/>
      <c r="AUQ24" s="40"/>
      <c r="AUR24" s="40"/>
      <c r="AUS24" s="40"/>
      <c r="AUT24" s="40"/>
      <c r="AUU24" s="40"/>
      <c r="AUV24" s="40"/>
      <c r="AUW24" s="40"/>
      <c r="AUX24" s="40"/>
      <c r="AUY24" s="40"/>
      <c r="AUZ24" s="40"/>
      <c r="AVA24" s="40"/>
      <c r="AVB24" s="40"/>
      <c r="AVC24" s="40"/>
      <c r="AVD24" s="40"/>
      <c r="AVE24" s="40"/>
      <c r="AVF24" s="40"/>
      <c r="AVG24" s="40"/>
      <c r="AVH24" s="40"/>
      <c r="AVI24" s="40"/>
      <c r="AVJ24" s="40"/>
      <c r="AVK24" s="40"/>
      <c r="AVL24" s="40"/>
      <c r="AVM24" s="40"/>
      <c r="AVN24" s="40"/>
      <c r="AVO24" s="40"/>
      <c r="AVP24" s="40"/>
      <c r="AVQ24" s="40"/>
      <c r="AVR24" s="40"/>
      <c r="AVS24" s="40"/>
      <c r="AVT24" s="40"/>
      <c r="AVU24" s="40"/>
      <c r="AVV24" s="40"/>
      <c r="AVW24" s="40"/>
      <c r="AVX24" s="40"/>
      <c r="AVY24" s="40"/>
      <c r="AVZ24" s="40"/>
      <c r="AWA24" s="40"/>
      <c r="AWB24" s="40"/>
      <c r="AWC24" s="40"/>
      <c r="AWD24" s="40"/>
      <c r="AWE24" s="40"/>
      <c r="AWF24" s="40"/>
      <c r="AWG24" s="40"/>
      <c r="AWH24" s="40"/>
      <c r="AWI24" s="40"/>
      <c r="AWJ24" s="40"/>
      <c r="AWK24" s="40"/>
      <c r="AWL24" s="40"/>
      <c r="AWM24" s="40"/>
      <c r="AWN24" s="40"/>
      <c r="AWO24" s="40"/>
      <c r="AWP24" s="40"/>
      <c r="AWQ24" s="40"/>
      <c r="AWR24" s="40"/>
      <c r="AWS24" s="40"/>
      <c r="AWT24" s="40"/>
      <c r="AWU24" s="40"/>
      <c r="AWV24" s="40"/>
      <c r="AWW24" s="40"/>
      <c r="AWX24" s="40"/>
      <c r="AWY24" s="40"/>
      <c r="AWZ24" s="40"/>
      <c r="AXA24" s="40"/>
      <c r="AXB24" s="40"/>
      <c r="AXC24" s="40"/>
      <c r="AXD24" s="40"/>
      <c r="AXE24" s="40"/>
      <c r="AXF24" s="40"/>
      <c r="AXG24" s="40"/>
      <c r="AXH24" s="40"/>
      <c r="AXI24" s="40"/>
      <c r="AXJ24" s="40"/>
      <c r="AXK24" s="40"/>
      <c r="AXL24" s="40"/>
      <c r="AXM24" s="40"/>
      <c r="AXN24" s="40"/>
      <c r="AXO24" s="40"/>
      <c r="AXP24" s="40"/>
      <c r="AXQ24" s="40"/>
      <c r="AXR24" s="40"/>
      <c r="AXS24" s="40"/>
      <c r="AXT24" s="40"/>
      <c r="AXU24" s="40"/>
      <c r="AXV24" s="40"/>
      <c r="AXW24" s="40"/>
      <c r="AXX24" s="40"/>
      <c r="AXY24" s="40"/>
      <c r="AXZ24" s="40"/>
      <c r="AYA24" s="40"/>
      <c r="AYB24" s="40"/>
      <c r="AYC24" s="40"/>
      <c r="AYD24" s="40"/>
      <c r="AYE24" s="40"/>
      <c r="AYF24" s="40"/>
      <c r="AYG24" s="40"/>
      <c r="AYH24" s="40"/>
      <c r="AYI24" s="40"/>
      <c r="AYJ24" s="40"/>
      <c r="AYK24" s="40"/>
      <c r="AYL24" s="40"/>
      <c r="AYM24" s="40"/>
      <c r="AYN24" s="40"/>
      <c r="AYO24" s="40"/>
      <c r="AYP24" s="40"/>
      <c r="AYQ24" s="40"/>
      <c r="AYR24" s="40"/>
      <c r="AYS24" s="40"/>
      <c r="AYT24" s="40"/>
      <c r="AYU24" s="40"/>
      <c r="AYV24" s="40"/>
      <c r="AYW24" s="40"/>
      <c r="AYX24" s="40"/>
      <c r="AYY24" s="40"/>
      <c r="AYZ24" s="40"/>
      <c r="AZA24" s="40"/>
      <c r="AZB24" s="40"/>
      <c r="AZC24" s="40"/>
      <c r="AZD24" s="40"/>
      <c r="AZE24" s="40"/>
      <c r="AZF24" s="40"/>
      <c r="AZG24" s="40"/>
      <c r="AZH24" s="40"/>
      <c r="AZI24" s="40"/>
      <c r="AZJ24" s="40"/>
      <c r="AZK24" s="40"/>
      <c r="AZL24" s="40"/>
      <c r="AZM24" s="40"/>
      <c r="AZN24" s="40"/>
      <c r="AZO24" s="40"/>
      <c r="AZP24" s="40"/>
      <c r="AZQ24" s="40"/>
      <c r="AZR24" s="40"/>
      <c r="AZS24" s="40"/>
      <c r="AZT24" s="40"/>
      <c r="AZU24" s="40"/>
      <c r="AZV24" s="40"/>
      <c r="AZW24" s="40"/>
      <c r="AZX24" s="40"/>
      <c r="AZY24" s="40"/>
      <c r="AZZ24" s="40"/>
      <c r="BAA24" s="40"/>
      <c r="BAB24" s="40"/>
      <c r="BAC24" s="40"/>
      <c r="BAD24" s="40"/>
      <c r="BAE24" s="40"/>
      <c r="BAF24" s="40"/>
      <c r="BAG24" s="40"/>
      <c r="BAH24" s="40"/>
      <c r="BAI24" s="40"/>
      <c r="BAJ24" s="40"/>
      <c r="BAK24" s="40"/>
      <c r="BAL24" s="40"/>
      <c r="BAM24" s="40"/>
      <c r="BAN24" s="40"/>
      <c r="BAO24" s="40"/>
      <c r="BAP24" s="40"/>
      <c r="BAQ24" s="40"/>
      <c r="BAR24" s="40"/>
      <c r="BAS24" s="40"/>
      <c r="BAT24" s="40"/>
      <c r="BAU24" s="40"/>
      <c r="BAV24" s="40"/>
      <c r="BAW24" s="40"/>
      <c r="BAX24" s="40"/>
      <c r="BAY24" s="40"/>
      <c r="BAZ24" s="40"/>
      <c r="BBA24" s="40"/>
      <c r="BBB24" s="40"/>
      <c r="BBC24" s="40"/>
      <c r="BBD24" s="40"/>
      <c r="BBE24" s="40"/>
      <c r="BBF24" s="40"/>
      <c r="BBG24" s="40"/>
      <c r="BBH24" s="40"/>
      <c r="BBI24" s="40"/>
      <c r="BBJ24" s="40"/>
      <c r="BBK24" s="40"/>
      <c r="BBL24" s="40"/>
      <c r="BBM24" s="40"/>
      <c r="BBN24" s="40"/>
      <c r="BBO24" s="40"/>
      <c r="BBP24" s="40"/>
      <c r="BBQ24" s="40"/>
      <c r="BBR24" s="40"/>
      <c r="BBS24" s="40"/>
      <c r="BBT24" s="40"/>
      <c r="BBU24" s="40"/>
      <c r="BBV24" s="40"/>
      <c r="BBW24" s="40"/>
      <c r="BBX24" s="40"/>
      <c r="BBY24" s="40"/>
      <c r="BBZ24" s="40"/>
      <c r="BCA24" s="40"/>
      <c r="BCB24" s="40"/>
      <c r="BCC24" s="40"/>
      <c r="BCD24" s="40"/>
      <c r="BCE24" s="40"/>
      <c r="BCF24" s="40"/>
      <c r="BCG24" s="40"/>
      <c r="BCH24" s="40"/>
      <c r="BCI24" s="40"/>
      <c r="BCJ24" s="40"/>
      <c r="BCK24" s="40"/>
      <c r="BCL24" s="40"/>
      <c r="BCM24" s="40"/>
      <c r="BCN24" s="40"/>
      <c r="BCO24" s="40"/>
      <c r="BCP24" s="40"/>
      <c r="BCQ24" s="40"/>
      <c r="BCR24" s="40"/>
      <c r="BCS24" s="40"/>
      <c r="BCT24" s="40"/>
      <c r="BCU24" s="40"/>
      <c r="BCV24" s="40"/>
      <c r="BCW24" s="40"/>
      <c r="BCX24" s="40"/>
      <c r="BCY24" s="40"/>
      <c r="BCZ24" s="40"/>
      <c r="BDA24" s="40"/>
      <c r="BDB24" s="40"/>
      <c r="BDC24" s="40"/>
      <c r="BDD24" s="40"/>
      <c r="BDE24" s="40"/>
      <c r="BDF24" s="40"/>
      <c r="BDG24" s="40"/>
      <c r="BDH24" s="40"/>
      <c r="BDI24" s="40"/>
      <c r="BDJ24" s="40"/>
      <c r="BDK24" s="40"/>
      <c r="BDL24" s="40"/>
      <c r="BDM24" s="40"/>
      <c r="BDN24" s="40"/>
      <c r="BDO24" s="40"/>
      <c r="BDP24" s="40"/>
      <c r="BDQ24" s="40"/>
      <c r="BDR24" s="40"/>
      <c r="BDS24" s="40"/>
      <c r="BDT24" s="40"/>
      <c r="BDU24" s="40"/>
      <c r="BDV24" s="40"/>
      <c r="BDW24" s="40"/>
      <c r="BDX24" s="40"/>
      <c r="BDY24" s="40"/>
      <c r="BDZ24" s="40"/>
      <c r="BEA24" s="40"/>
      <c r="BEB24" s="40"/>
      <c r="BEC24" s="40"/>
      <c r="BED24" s="40"/>
      <c r="BEE24" s="40"/>
      <c r="BEF24" s="40"/>
      <c r="BEG24" s="40"/>
      <c r="BEH24" s="40"/>
      <c r="BEI24" s="40"/>
      <c r="BEJ24" s="40"/>
      <c r="BEK24" s="40"/>
      <c r="BEL24" s="40"/>
      <c r="BEM24" s="40"/>
      <c r="BEN24" s="40"/>
      <c r="BEO24" s="40"/>
      <c r="BEP24" s="40"/>
      <c r="BEQ24" s="40"/>
      <c r="BER24" s="40"/>
      <c r="BES24" s="40"/>
      <c r="BET24" s="40"/>
      <c r="BEU24" s="40"/>
      <c r="BEV24" s="40"/>
      <c r="BEW24" s="40"/>
      <c r="BEX24" s="40"/>
      <c r="BEY24" s="40"/>
      <c r="BEZ24" s="40"/>
      <c r="BFA24" s="40"/>
      <c r="BFB24" s="40"/>
      <c r="BFC24" s="40"/>
      <c r="BFD24" s="40"/>
      <c r="BFE24" s="40"/>
      <c r="BFF24" s="40"/>
      <c r="BFG24" s="40"/>
      <c r="BFH24" s="40"/>
      <c r="BFI24" s="40"/>
      <c r="BFJ24" s="40"/>
      <c r="BFK24" s="40"/>
      <c r="BFL24" s="40"/>
      <c r="BFM24" s="40"/>
      <c r="BFN24" s="40"/>
      <c r="BFO24" s="40"/>
      <c r="BFP24" s="40"/>
      <c r="BFQ24" s="40"/>
      <c r="BFR24" s="40"/>
      <c r="BFS24" s="40"/>
      <c r="BFT24" s="40"/>
      <c r="BFU24" s="40"/>
      <c r="BFV24" s="40"/>
      <c r="BFW24" s="40"/>
      <c r="BFX24" s="40"/>
      <c r="BFY24" s="40"/>
      <c r="BFZ24" s="40"/>
      <c r="BGA24" s="40"/>
      <c r="BGB24" s="40"/>
      <c r="BGC24" s="40"/>
      <c r="BGD24" s="40"/>
      <c r="BGE24" s="40"/>
      <c r="BGF24" s="40"/>
      <c r="BGG24" s="40"/>
      <c r="BGH24" s="40"/>
      <c r="BGI24" s="40"/>
      <c r="BGJ24" s="40"/>
      <c r="BGK24" s="40"/>
      <c r="BGL24" s="40"/>
      <c r="BGM24" s="40"/>
      <c r="BGN24" s="40"/>
      <c r="BGO24" s="40"/>
      <c r="BGP24" s="40"/>
      <c r="BGQ24" s="40"/>
      <c r="BGR24" s="40"/>
      <c r="BGS24" s="40"/>
      <c r="BGT24" s="40"/>
      <c r="BGU24" s="40"/>
      <c r="BGV24" s="40"/>
      <c r="BGW24" s="40"/>
      <c r="BGX24" s="40"/>
      <c r="BGY24" s="40"/>
      <c r="BGZ24" s="40"/>
      <c r="BHA24" s="40"/>
      <c r="BHB24" s="40"/>
      <c r="BHC24" s="40"/>
      <c r="BHD24" s="40"/>
      <c r="BHE24" s="40"/>
      <c r="BHF24" s="40"/>
      <c r="BHG24" s="40"/>
      <c r="BHH24" s="40"/>
      <c r="BHI24" s="40"/>
      <c r="BHJ24" s="40"/>
      <c r="BHK24" s="40"/>
      <c r="BHL24" s="40"/>
      <c r="BHM24" s="40"/>
      <c r="BHN24" s="40"/>
      <c r="BHO24" s="40"/>
      <c r="BHP24" s="40"/>
      <c r="BHQ24" s="40"/>
      <c r="BHR24" s="40"/>
      <c r="BHS24" s="40"/>
      <c r="BHT24" s="40"/>
      <c r="BHU24" s="40"/>
      <c r="BHV24" s="40"/>
      <c r="BHW24" s="40"/>
      <c r="BHX24" s="40"/>
      <c r="BHY24" s="40"/>
      <c r="BHZ24" s="40"/>
      <c r="BIA24" s="40"/>
      <c r="BIB24" s="40"/>
      <c r="BIC24" s="40"/>
      <c r="BID24" s="40"/>
      <c r="BIE24" s="40"/>
      <c r="BIF24" s="40"/>
      <c r="BIG24" s="40"/>
      <c r="BIH24" s="40"/>
      <c r="BII24" s="40"/>
      <c r="BIJ24" s="40"/>
      <c r="BIK24" s="40"/>
      <c r="BIL24" s="40"/>
      <c r="BIM24" s="40"/>
      <c r="BIN24" s="40"/>
      <c r="BIO24" s="40"/>
      <c r="BIP24" s="40"/>
      <c r="BIQ24" s="40"/>
      <c r="BIR24" s="40"/>
      <c r="BIS24" s="40"/>
      <c r="BIT24" s="40"/>
      <c r="BIU24" s="40"/>
      <c r="BIV24" s="40"/>
      <c r="BIW24" s="40"/>
      <c r="BIX24" s="40"/>
      <c r="BIY24" s="40"/>
      <c r="BIZ24" s="40"/>
      <c r="BJA24" s="40"/>
      <c r="BJB24" s="40"/>
      <c r="BJC24" s="40"/>
      <c r="BJD24" s="40"/>
      <c r="BJE24" s="40"/>
      <c r="BJF24" s="40"/>
      <c r="BJG24" s="40"/>
      <c r="BJH24" s="40"/>
      <c r="BJI24" s="40"/>
      <c r="BJJ24" s="40"/>
      <c r="BJK24" s="40"/>
      <c r="BJL24" s="40"/>
      <c r="BJM24" s="40"/>
      <c r="BJN24" s="40"/>
      <c r="BJO24" s="40"/>
      <c r="BJP24" s="40"/>
      <c r="BJQ24" s="40"/>
      <c r="BJR24" s="40"/>
      <c r="BJS24" s="40"/>
      <c r="BJT24" s="40"/>
      <c r="BJU24" s="40"/>
      <c r="BJV24" s="40"/>
      <c r="BJW24" s="40"/>
      <c r="BJX24" s="40"/>
      <c r="BJY24" s="40"/>
      <c r="BJZ24" s="40"/>
      <c r="BKA24" s="40"/>
      <c r="BKB24" s="40"/>
      <c r="BKC24" s="40"/>
      <c r="BKD24" s="40"/>
      <c r="BKE24" s="40"/>
      <c r="BKF24" s="40"/>
      <c r="BKG24" s="40"/>
      <c r="BKH24" s="40"/>
      <c r="BKI24" s="40"/>
      <c r="BKJ24" s="40"/>
      <c r="BKK24" s="40"/>
      <c r="BKL24" s="40"/>
      <c r="BKM24" s="40"/>
      <c r="BKN24" s="40"/>
      <c r="BKO24" s="40"/>
      <c r="BKP24" s="40"/>
      <c r="BKQ24" s="40"/>
      <c r="BKR24" s="40"/>
      <c r="BKS24" s="40"/>
      <c r="BKT24" s="40"/>
      <c r="BKU24" s="40"/>
      <c r="BKV24" s="40"/>
      <c r="BKW24" s="40"/>
      <c r="BKX24" s="40"/>
      <c r="BKY24" s="40"/>
      <c r="BKZ24" s="40"/>
      <c r="BLA24" s="40"/>
      <c r="BLB24" s="40"/>
      <c r="BLC24" s="40"/>
      <c r="BLD24" s="40"/>
      <c r="BLE24" s="40"/>
      <c r="BLF24" s="40"/>
      <c r="BLG24" s="40"/>
      <c r="BLH24" s="40"/>
      <c r="BLI24" s="40"/>
      <c r="BLJ24" s="40"/>
      <c r="BLK24" s="40"/>
      <c r="BLL24" s="40"/>
      <c r="BLM24" s="40"/>
      <c r="BLN24" s="40"/>
      <c r="BLO24" s="40"/>
      <c r="BLP24" s="40"/>
      <c r="BLQ24" s="40"/>
      <c r="BLR24" s="40"/>
      <c r="BLS24" s="40"/>
      <c r="BLT24" s="40"/>
      <c r="BLU24" s="40"/>
      <c r="BLV24" s="40"/>
      <c r="BLW24" s="40"/>
      <c r="BLX24" s="40"/>
      <c r="BLY24" s="40"/>
      <c r="BLZ24" s="40"/>
      <c r="BMA24" s="40"/>
      <c r="BMB24" s="40"/>
      <c r="BMC24" s="40"/>
      <c r="BMD24" s="40"/>
      <c r="BME24" s="40"/>
      <c r="BMF24" s="40"/>
      <c r="BMG24" s="40"/>
      <c r="BMH24" s="40"/>
      <c r="BMI24" s="40"/>
      <c r="BMJ24" s="40"/>
      <c r="BMK24" s="40"/>
      <c r="BML24" s="40"/>
      <c r="BMM24" s="40"/>
      <c r="BMN24" s="40"/>
      <c r="BMO24" s="40"/>
      <c r="BMP24" s="40"/>
      <c r="BMQ24" s="40"/>
      <c r="BMR24" s="40"/>
      <c r="BMS24" s="40"/>
      <c r="BMT24" s="40"/>
      <c r="BMU24" s="40"/>
      <c r="BMV24" s="40"/>
      <c r="BMW24" s="40"/>
      <c r="BMX24" s="40"/>
      <c r="BMY24" s="40"/>
      <c r="BMZ24" s="40"/>
      <c r="BNA24" s="40"/>
      <c r="BNB24" s="40"/>
      <c r="BNC24" s="40"/>
      <c r="BND24" s="40"/>
      <c r="BNE24" s="40"/>
      <c r="BNF24" s="40"/>
      <c r="BNG24" s="40"/>
      <c r="BNH24" s="40"/>
      <c r="BNI24" s="40"/>
      <c r="BNJ24" s="40"/>
      <c r="BNK24" s="40"/>
      <c r="BNL24" s="40"/>
      <c r="BNM24" s="40"/>
      <c r="BNN24" s="40"/>
      <c r="BNO24" s="40"/>
      <c r="BNP24" s="40"/>
      <c r="BNQ24" s="40"/>
      <c r="BNR24" s="40"/>
      <c r="BNS24" s="40"/>
      <c r="BNT24" s="40"/>
      <c r="BNU24" s="40"/>
      <c r="BNV24" s="40"/>
      <c r="BNW24" s="40"/>
      <c r="BNX24" s="40"/>
      <c r="BNY24" s="40"/>
      <c r="BNZ24" s="40"/>
      <c r="BOA24" s="40"/>
      <c r="BOB24" s="40"/>
      <c r="BOC24" s="40"/>
      <c r="BOD24" s="40"/>
      <c r="BOE24" s="40"/>
      <c r="BOF24" s="40"/>
      <c r="BOG24" s="40"/>
      <c r="BOH24" s="40"/>
      <c r="BOI24" s="40"/>
      <c r="BOJ24" s="40"/>
      <c r="BOK24" s="40"/>
      <c r="BOL24" s="40"/>
      <c r="BOM24" s="40"/>
      <c r="BON24" s="40"/>
      <c r="BOO24" s="40"/>
      <c r="BOP24" s="40"/>
      <c r="BOQ24" s="40"/>
      <c r="BOR24" s="40"/>
      <c r="BOS24" s="40"/>
      <c r="BOT24" s="40"/>
      <c r="BOU24" s="40"/>
      <c r="BOV24" s="40"/>
      <c r="BOW24" s="40"/>
      <c r="BOX24" s="40"/>
      <c r="BOY24" s="40"/>
      <c r="BOZ24" s="40"/>
      <c r="BPA24" s="40"/>
      <c r="BPB24" s="40"/>
      <c r="BPC24" s="40"/>
      <c r="BPD24" s="40"/>
      <c r="BPE24" s="40"/>
      <c r="BPF24" s="40"/>
      <c r="BPG24" s="40"/>
      <c r="BPH24" s="40"/>
      <c r="BPI24" s="40"/>
      <c r="BPJ24" s="40"/>
      <c r="BPK24" s="40"/>
      <c r="BPL24" s="40"/>
      <c r="BPM24" s="40"/>
      <c r="BPN24" s="40"/>
      <c r="BPO24" s="40"/>
      <c r="BPP24" s="40"/>
      <c r="BPQ24" s="40"/>
      <c r="BPR24" s="40"/>
      <c r="BPS24" s="40"/>
      <c r="BPT24" s="40"/>
      <c r="BPU24" s="40"/>
      <c r="BPV24" s="40"/>
      <c r="BPW24" s="40"/>
      <c r="BPX24" s="40"/>
      <c r="BPY24" s="40"/>
      <c r="BPZ24" s="40"/>
      <c r="BQA24" s="40"/>
      <c r="BQB24" s="40"/>
      <c r="BQC24" s="40"/>
      <c r="BQD24" s="40"/>
      <c r="BQE24" s="40"/>
      <c r="BQF24" s="40"/>
      <c r="BQG24" s="40"/>
      <c r="BQH24" s="40"/>
      <c r="BQI24" s="40"/>
      <c r="BQJ24" s="40"/>
      <c r="BQK24" s="40"/>
      <c r="BQL24" s="40"/>
      <c r="BQM24" s="40"/>
      <c r="BQN24" s="40"/>
      <c r="BQO24" s="40"/>
      <c r="BQP24" s="40"/>
      <c r="BQQ24" s="40"/>
      <c r="BQR24" s="40"/>
      <c r="BQS24" s="40"/>
      <c r="BQT24" s="40"/>
      <c r="BQU24" s="40"/>
      <c r="BQV24" s="40"/>
      <c r="BQW24" s="40"/>
      <c r="BQX24" s="40"/>
      <c r="BQY24" s="40"/>
      <c r="BQZ24" s="40"/>
      <c r="BRA24" s="40"/>
      <c r="BRB24" s="40"/>
      <c r="BRC24" s="40"/>
      <c r="BRD24" s="40"/>
      <c r="BRE24" s="40"/>
      <c r="BRF24" s="40"/>
      <c r="BRG24" s="40"/>
      <c r="BRH24" s="40"/>
      <c r="BRI24" s="40"/>
      <c r="BRJ24" s="40"/>
      <c r="BRK24" s="40"/>
      <c r="BRL24" s="40"/>
      <c r="BRM24" s="40"/>
      <c r="BRN24" s="40"/>
      <c r="BRO24" s="40"/>
      <c r="BRP24" s="40"/>
      <c r="BRQ24" s="40"/>
      <c r="BRR24" s="40"/>
      <c r="BRS24" s="40"/>
      <c r="BRT24" s="40"/>
      <c r="BRU24" s="40"/>
      <c r="BRV24" s="40"/>
      <c r="BRW24" s="40"/>
      <c r="BRX24" s="40"/>
      <c r="BRY24" s="40"/>
      <c r="BRZ24" s="40"/>
      <c r="BSA24" s="40"/>
      <c r="BSB24" s="40"/>
      <c r="BSC24" s="40"/>
      <c r="BSD24" s="40"/>
      <c r="BSE24" s="40"/>
      <c r="BSF24" s="40"/>
      <c r="BSG24" s="40"/>
      <c r="BSH24" s="40"/>
      <c r="BSI24" s="40"/>
      <c r="BSJ24" s="40"/>
      <c r="BSK24" s="40"/>
      <c r="BSL24" s="40"/>
      <c r="BSM24" s="40"/>
      <c r="BSN24" s="40"/>
      <c r="BSO24" s="40"/>
      <c r="BSP24" s="40"/>
      <c r="BSQ24" s="40"/>
      <c r="BSR24" s="40"/>
      <c r="BSS24" s="40"/>
      <c r="BST24" s="40"/>
      <c r="BSU24" s="40"/>
      <c r="BSV24" s="40"/>
      <c r="BSW24" s="40"/>
      <c r="BSX24" s="40"/>
      <c r="BSY24" s="40"/>
      <c r="BSZ24" s="40"/>
      <c r="BTA24" s="40"/>
      <c r="BTB24" s="40"/>
      <c r="BTC24" s="40"/>
      <c r="BTD24" s="40"/>
      <c r="BTE24" s="40"/>
      <c r="BTF24" s="40"/>
      <c r="BTG24" s="40"/>
      <c r="BTH24" s="40"/>
      <c r="BTI24" s="40"/>
      <c r="BTJ24" s="40"/>
      <c r="BTK24" s="40"/>
      <c r="BTL24" s="40"/>
      <c r="BTM24" s="40"/>
      <c r="BTN24" s="40"/>
      <c r="BTO24" s="40"/>
      <c r="BTP24" s="40"/>
      <c r="BTQ24" s="40"/>
      <c r="BTR24" s="40"/>
      <c r="BTS24" s="40"/>
      <c r="BTT24" s="40"/>
      <c r="BTU24" s="40"/>
      <c r="BTV24" s="40"/>
      <c r="BTW24" s="40"/>
      <c r="BTX24" s="40"/>
      <c r="BTY24" s="40"/>
      <c r="BTZ24" s="40"/>
      <c r="BUA24" s="40"/>
      <c r="BUB24" s="40"/>
      <c r="BUC24" s="40"/>
      <c r="BUD24" s="40"/>
      <c r="BUE24" s="40"/>
      <c r="BUF24" s="40"/>
      <c r="BUG24" s="40"/>
      <c r="BUH24" s="40"/>
      <c r="BUI24" s="40"/>
      <c r="BUJ24" s="40"/>
      <c r="BUK24" s="40"/>
      <c r="BUL24" s="40"/>
      <c r="BUM24" s="40"/>
      <c r="BUN24" s="40"/>
      <c r="BUO24" s="40"/>
      <c r="BUP24" s="40"/>
      <c r="BUQ24" s="40"/>
      <c r="BUR24" s="40"/>
      <c r="BUS24" s="40"/>
      <c r="BUT24" s="40"/>
      <c r="BUU24" s="40"/>
      <c r="BUV24" s="40"/>
      <c r="BUW24" s="40"/>
      <c r="BUX24" s="40"/>
      <c r="BUY24" s="40"/>
      <c r="BUZ24" s="40"/>
      <c r="BVA24" s="40"/>
      <c r="BVB24" s="40"/>
      <c r="BVC24" s="40"/>
      <c r="BVD24" s="40"/>
      <c r="BVE24" s="40"/>
      <c r="BVF24" s="40"/>
      <c r="BVG24" s="40"/>
      <c r="BVH24" s="40"/>
      <c r="BVI24" s="40"/>
      <c r="BVJ24" s="40"/>
      <c r="BVK24" s="40"/>
      <c r="BVL24" s="40"/>
      <c r="BVM24" s="40"/>
      <c r="BVN24" s="40"/>
      <c r="BVO24" s="40"/>
      <c r="BVP24" s="40"/>
      <c r="BVQ24" s="40"/>
      <c r="BVR24" s="40"/>
      <c r="BVS24" s="40"/>
      <c r="BVT24" s="40"/>
      <c r="BVU24" s="40"/>
      <c r="BVV24" s="40"/>
      <c r="BVW24" s="40"/>
      <c r="BVX24" s="40"/>
      <c r="BVY24" s="40"/>
      <c r="BVZ24" s="40"/>
      <c r="BWA24" s="40"/>
      <c r="BWB24" s="40"/>
      <c r="BWC24" s="40"/>
      <c r="BWD24" s="40"/>
      <c r="BWE24" s="40"/>
      <c r="BWF24" s="40"/>
      <c r="BWG24" s="40"/>
      <c r="BWH24" s="40"/>
      <c r="BWI24" s="40"/>
      <c r="BWJ24" s="40"/>
      <c r="BWK24" s="40"/>
      <c r="BWL24" s="40"/>
      <c r="BWM24" s="40"/>
      <c r="BWN24" s="40"/>
      <c r="BWO24" s="40"/>
      <c r="BWP24" s="40"/>
      <c r="BWQ24" s="40"/>
      <c r="BWR24" s="40"/>
      <c r="BWS24" s="40"/>
      <c r="BWT24" s="40"/>
      <c r="BWU24" s="40"/>
      <c r="BWV24" s="40"/>
      <c r="BWW24" s="40"/>
      <c r="BWX24" s="40"/>
      <c r="BWY24" s="40"/>
      <c r="BWZ24" s="40"/>
      <c r="BXA24" s="40"/>
      <c r="BXB24" s="40"/>
      <c r="BXC24" s="40"/>
      <c r="BXD24" s="40"/>
      <c r="BXE24" s="40"/>
      <c r="BXF24" s="40"/>
      <c r="BXG24" s="40"/>
      <c r="BXH24" s="40"/>
      <c r="BXI24" s="40"/>
      <c r="BXJ24" s="40"/>
      <c r="BXK24" s="40"/>
      <c r="BXL24" s="40"/>
      <c r="BXM24" s="40"/>
      <c r="BXN24" s="40"/>
      <c r="BXO24" s="40"/>
      <c r="BXP24" s="40"/>
      <c r="BXQ24" s="40"/>
      <c r="BXR24" s="40"/>
      <c r="BXS24" s="40"/>
      <c r="BXT24" s="40"/>
      <c r="BXU24" s="40"/>
      <c r="BXV24" s="40"/>
      <c r="BXW24" s="40"/>
      <c r="BXX24" s="40"/>
      <c r="BXY24" s="40"/>
      <c r="BXZ24" s="40"/>
      <c r="BYA24" s="40"/>
      <c r="BYB24" s="40"/>
      <c r="BYC24" s="40"/>
      <c r="BYD24" s="40"/>
      <c r="BYE24" s="40"/>
      <c r="BYF24" s="40"/>
      <c r="BYG24" s="40"/>
      <c r="BYH24" s="40"/>
      <c r="BYI24" s="40"/>
      <c r="BYJ24" s="40"/>
      <c r="BYK24" s="40"/>
      <c r="BYL24" s="40"/>
      <c r="BYM24" s="40"/>
      <c r="BYN24" s="40"/>
      <c r="BYO24" s="40"/>
      <c r="BYP24" s="40"/>
      <c r="BYQ24" s="40"/>
      <c r="BYR24" s="40"/>
      <c r="BYS24" s="40"/>
      <c r="BYT24" s="40"/>
      <c r="BYU24" s="40"/>
      <c r="BYV24" s="40"/>
      <c r="BYW24" s="40"/>
      <c r="BYX24" s="40"/>
      <c r="BYY24" s="40"/>
      <c r="BYZ24" s="40"/>
      <c r="BZA24" s="40"/>
      <c r="BZB24" s="40"/>
      <c r="BZC24" s="40"/>
      <c r="BZD24" s="40"/>
      <c r="BZE24" s="40"/>
      <c r="BZF24" s="40"/>
      <c r="BZG24" s="40"/>
      <c r="BZH24" s="40"/>
      <c r="BZI24" s="40"/>
      <c r="BZJ24" s="40"/>
      <c r="BZK24" s="40"/>
      <c r="BZL24" s="40"/>
      <c r="BZM24" s="40"/>
      <c r="BZN24" s="40"/>
      <c r="BZO24" s="40"/>
      <c r="BZP24" s="40"/>
      <c r="BZQ24" s="40"/>
      <c r="BZR24" s="40"/>
      <c r="BZS24" s="40"/>
      <c r="BZT24" s="40"/>
      <c r="BZU24" s="40"/>
      <c r="BZV24" s="40"/>
      <c r="BZW24" s="40"/>
      <c r="BZX24" s="40"/>
      <c r="BZY24" s="40"/>
      <c r="BZZ24" s="40"/>
      <c r="CAA24" s="40"/>
      <c r="CAB24" s="40"/>
      <c r="CAC24" s="40"/>
      <c r="CAD24" s="40"/>
      <c r="CAE24" s="40"/>
      <c r="CAF24" s="40"/>
      <c r="CAG24" s="40"/>
      <c r="CAH24" s="40"/>
      <c r="CAI24" s="40"/>
      <c r="CAJ24" s="40"/>
      <c r="CAK24" s="40"/>
      <c r="CAL24" s="40"/>
      <c r="CAM24" s="40"/>
      <c r="CAN24" s="40"/>
      <c r="CAO24" s="40"/>
      <c r="CAP24" s="40"/>
      <c r="CAQ24" s="40"/>
      <c r="CAR24" s="40"/>
      <c r="CAS24" s="40"/>
      <c r="CAT24" s="40"/>
      <c r="CAU24" s="40"/>
      <c r="CAV24" s="40"/>
      <c r="CAW24" s="40"/>
      <c r="CAX24" s="40"/>
      <c r="CAY24" s="40"/>
      <c r="CAZ24" s="40"/>
      <c r="CBA24" s="40"/>
      <c r="CBB24" s="40"/>
      <c r="CBC24" s="40"/>
      <c r="CBD24" s="40"/>
      <c r="CBE24" s="40"/>
      <c r="CBF24" s="40"/>
      <c r="CBG24" s="40"/>
      <c r="CBH24" s="40"/>
    </row>
    <row r="25" spans="1:2088" customFormat="1" x14ac:dyDescent="0.2">
      <c r="A25" s="1" t="s">
        <v>49</v>
      </c>
      <c r="B25" s="55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</row>
    <row r="26" spans="1:2088" x14ac:dyDescent="0.2">
      <c r="A26" s="1" t="s">
        <v>147</v>
      </c>
      <c r="B26" s="54" t="e">
        <f>B25/((B24/100)^2)</f>
        <v>#DIV/0!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</row>
    <row r="27" spans="1:2088" x14ac:dyDescent="0.2">
      <c r="A27" s="1" t="s">
        <v>130</v>
      </c>
      <c r="B27" s="51"/>
    </row>
    <row r="28" spans="1:2088" x14ac:dyDescent="0.2">
      <c r="A28" s="1" t="s">
        <v>186</v>
      </c>
      <c r="B28" s="51"/>
    </row>
    <row r="29" spans="1:2088" x14ac:dyDescent="0.2">
      <c r="A29" s="1" t="s">
        <v>131</v>
      </c>
      <c r="B29" s="51"/>
    </row>
    <row r="30" spans="1:2088" x14ac:dyDescent="0.2">
      <c r="A30" s="1" t="s">
        <v>132</v>
      </c>
      <c r="B30" s="51"/>
    </row>
    <row r="31" spans="1:2088" ht="34" x14ac:dyDescent="0.2">
      <c r="A31" s="9" t="s">
        <v>152</v>
      </c>
      <c r="B31" s="51"/>
    </row>
    <row r="32" spans="1:2088" ht="34" x14ac:dyDescent="0.2">
      <c r="A32" s="9" t="s">
        <v>153</v>
      </c>
      <c r="B32" s="51"/>
    </row>
    <row r="33" spans="1:2088" x14ac:dyDescent="0.2">
      <c r="A33" s="1" t="s">
        <v>154</v>
      </c>
      <c r="B33" s="51"/>
    </row>
    <row r="34" spans="1:2088" x14ac:dyDescent="0.2">
      <c r="A34" s="1" t="s">
        <v>39</v>
      </c>
      <c r="B34" s="51"/>
    </row>
    <row r="35" spans="1:2088" x14ac:dyDescent="0.2">
      <c r="A35" s="1" t="s">
        <v>45</v>
      </c>
      <c r="B35" s="51"/>
    </row>
    <row r="36" spans="1:2088" x14ac:dyDescent="0.2">
      <c r="A36" s="1" t="s">
        <v>46</v>
      </c>
      <c r="B36" s="51"/>
    </row>
    <row r="37" spans="1:2088" x14ac:dyDescent="0.2">
      <c r="A37" s="1" t="s">
        <v>41</v>
      </c>
      <c r="B37" s="51"/>
    </row>
    <row r="38" spans="1:2088" x14ac:dyDescent="0.2">
      <c r="A38" s="1" t="s">
        <v>42</v>
      </c>
      <c r="B38" s="51"/>
    </row>
    <row r="39" spans="1:2088" x14ac:dyDescent="0.2">
      <c r="A39" s="1" t="s">
        <v>43</v>
      </c>
      <c r="B39" s="51"/>
    </row>
    <row r="40" spans="1:2088" x14ac:dyDescent="0.2">
      <c r="A40" s="1" t="s">
        <v>183</v>
      </c>
      <c r="B40" s="27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1"/>
      <c r="NP40" s="41"/>
      <c r="NQ40" s="41"/>
      <c r="NR40" s="41"/>
      <c r="NS40" s="41"/>
      <c r="NT40" s="41"/>
      <c r="NU40" s="41"/>
      <c r="NV40" s="41"/>
      <c r="NW40" s="41"/>
      <c r="NX40" s="41"/>
      <c r="NY40" s="41"/>
      <c r="NZ40" s="41"/>
      <c r="OA40" s="41"/>
      <c r="OB40" s="41"/>
      <c r="OC40" s="41"/>
      <c r="OD40" s="41"/>
      <c r="OE40" s="41"/>
      <c r="OF40" s="41"/>
      <c r="OG40" s="41"/>
      <c r="OH40" s="41"/>
      <c r="OI40" s="41"/>
      <c r="OJ40" s="41"/>
      <c r="OK40" s="41"/>
      <c r="OL40" s="41"/>
      <c r="OM40" s="41"/>
      <c r="ON40" s="41"/>
      <c r="OO40" s="41"/>
      <c r="OP40" s="41"/>
      <c r="OQ40" s="41"/>
      <c r="OR40" s="41"/>
      <c r="OS40" s="41"/>
      <c r="OT40" s="41"/>
      <c r="OU40" s="41"/>
      <c r="OV40" s="41"/>
      <c r="OW40" s="41"/>
      <c r="OX40" s="41"/>
      <c r="OY40" s="41"/>
      <c r="OZ40" s="41"/>
      <c r="PA40" s="41"/>
      <c r="PB40" s="41"/>
      <c r="PC40" s="41"/>
      <c r="PD40" s="41"/>
      <c r="PE40" s="41"/>
      <c r="PF40" s="41"/>
      <c r="PG40" s="41"/>
      <c r="PH40" s="41"/>
      <c r="PI40" s="41"/>
      <c r="PJ40" s="41"/>
      <c r="PK40" s="41"/>
      <c r="PL40" s="41"/>
      <c r="PM40" s="41"/>
      <c r="PN40" s="41"/>
      <c r="PO40" s="41"/>
      <c r="PP40" s="41"/>
      <c r="PQ40" s="41"/>
      <c r="PR40" s="41"/>
      <c r="PS40" s="41"/>
      <c r="PT40" s="41"/>
      <c r="PU40" s="41"/>
      <c r="PV40" s="41"/>
      <c r="PW40" s="41"/>
      <c r="PX40" s="41"/>
      <c r="PY40" s="41"/>
      <c r="PZ40" s="41"/>
      <c r="QA40" s="41"/>
      <c r="QB40" s="41"/>
      <c r="QC40" s="41"/>
      <c r="QD40" s="41"/>
      <c r="QE40" s="41"/>
      <c r="QF40" s="41"/>
      <c r="QG40" s="41"/>
      <c r="QH40" s="41"/>
      <c r="QI40" s="41"/>
      <c r="QJ40" s="41"/>
      <c r="QK40" s="41"/>
      <c r="QL40" s="41"/>
      <c r="QM40" s="41"/>
      <c r="QN40" s="41"/>
      <c r="QO40" s="41"/>
      <c r="QP40" s="41"/>
      <c r="QQ40" s="41"/>
      <c r="QR40" s="41"/>
      <c r="QS40" s="41"/>
      <c r="QT40" s="41"/>
      <c r="QU40" s="41"/>
      <c r="QV40" s="41"/>
      <c r="QW40" s="41"/>
      <c r="QX40" s="41"/>
      <c r="QY40" s="41"/>
      <c r="QZ40" s="41"/>
      <c r="RA40" s="41"/>
      <c r="RB40" s="41"/>
      <c r="RC40" s="41"/>
      <c r="RD40" s="41"/>
      <c r="RE40" s="41"/>
      <c r="RF40" s="41"/>
      <c r="RG40" s="41"/>
      <c r="RH40" s="41"/>
      <c r="RI40" s="41"/>
      <c r="RJ40" s="41"/>
      <c r="RK40" s="41"/>
      <c r="RL40" s="41"/>
      <c r="RM40" s="41"/>
      <c r="RN40" s="41"/>
      <c r="RO40" s="41"/>
      <c r="RP40" s="41"/>
      <c r="RQ40" s="41"/>
      <c r="RR40" s="41"/>
      <c r="RS40" s="41"/>
      <c r="RT40" s="41"/>
      <c r="RU40" s="41"/>
      <c r="RV40" s="41"/>
      <c r="RW40" s="41"/>
      <c r="RX40" s="41"/>
      <c r="RY40" s="41"/>
      <c r="RZ40" s="41"/>
      <c r="SA40" s="41"/>
      <c r="SB40" s="41"/>
      <c r="SC40" s="41"/>
      <c r="SD40" s="41"/>
      <c r="SE40" s="41"/>
      <c r="SF40" s="41"/>
      <c r="SG40" s="41"/>
      <c r="SH40" s="41"/>
      <c r="SI40" s="41"/>
      <c r="SJ40" s="41"/>
      <c r="SK40" s="41"/>
      <c r="SL40" s="41"/>
      <c r="SM40" s="41"/>
      <c r="SN40" s="41"/>
      <c r="SO40" s="41"/>
      <c r="SP40" s="41"/>
      <c r="SQ40" s="41"/>
      <c r="SR40" s="41"/>
      <c r="SS40" s="41"/>
      <c r="ST40" s="41"/>
      <c r="SU40" s="41"/>
      <c r="SV40" s="41"/>
      <c r="SW40" s="41"/>
      <c r="SX40" s="41"/>
      <c r="SY40" s="41"/>
      <c r="SZ40" s="41"/>
      <c r="TA40" s="41"/>
      <c r="TB40" s="41"/>
      <c r="TC40" s="41"/>
      <c r="TD40" s="41"/>
      <c r="TE40" s="41"/>
      <c r="TF40" s="41"/>
      <c r="TG40" s="41"/>
      <c r="TH40" s="41"/>
      <c r="TI40" s="41"/>
      <c r="TJ40" s="41"/>
      <c r="TK40" s="41"/>
      <c r="TL40" s="41"/>
      <c r="TM40" s="41"/>
      <c r="TN40" s="41"/>
      <c r="TO40" s="41"/>
      <c r="TP40" s="41"/>
      <c r="TQ40" s="41"/>
      <c r="TR40" s="41"/>
      <c r="TS40" s="41"/>
      <c r="TT40" s="41"/>
      <c r="TU40" s="41"/>
      <c r="TV40" s="41"/>
      <c r="TW40" s="41"/>
      <c r="TX40" s="41"/>
      <c r="TY40" s="41"/>
      <c r="TZ40" s="41"/>
      <c r="UA40" s="41"/>
      <c r="UB40" s="41"/>
      <c r="UC40" s="41"/>
      <c r="UD40" s="41"/>
      <c r="UE40" s="41"/>
      <c r="UF40" s="41"/>
      <c r="UG40" s="41"/>
      <c r="UH40" s="41"/>
      <c r="UI40" s="41"/>
      <c r="UJ40" s="41"/>
      <c r="UK40" s="41"/>
      <c r="UL40" s="41"/>
      <c r="UM40" s="41"/>
      <c r="UN40" s="41"/>
      <c r="UO40" s="41"/>
      <c r="UP40" s="41"/>
      <c r="UQ40" s="41"/>
      <c r="UR40" s="41"/>
      <c r="US40" s="41"/>
      <c r="UT40" s="41"/>
      <c r="UU40" s="41"/>
      <c r="UV40" s="41"/>
      <c r="UW40" s="41"/>
      <c r="UX40" s="41"/>
      <c r="UY40" s="41"/>
      <c r="UZ40" s="41"/>
      <c r="VA40" s="41"/>
      <c r="VB40" s="41"/>
      <c r="VC40" s="41"/>
      <c r="VD40" s="41"/>
      <c r="VE40" s="41"/>
      <c r="VF40" s="41"/>
      <c r="VG40" s="41"/>
      <c r="VH40" s="41"/>
      <c r="VI40" s="41"/>
      <c r="VJ40" s="41"/>
      <c r="VK40" s="41"/>
      <c r="VL40" s="41"/>
      <c r="VM40" s="41"/>
      <c r="VN40" s="41"/>
      <c r="VO40" s="41"/>
      <c r="VP40" s="41"/>
      <c r="VQ40" s="41"/>
      <c r="VR40" s="41"/>
      <c r="VS40" s="41"/>
      <c r="VT40" s="41"/>
      <c r="VU40" s="41"/>
      <c r="VV40" s="41"/>
      <c r="VW40" s="41"/>
      <c r="VX40" s="41"/>
      <c r="VY40" s="41"/>
      <c r="VZ40" s="41"/>
      <c r="WA40" s="41"/>
      <c r="WB40" s="41"/>
      <c r="WC40" s="41"/>
      <c r="WD40" s="41"/>
      <c r="WE40" s="41"/>
      <c r="WF40" s="41"/>
      <c r="WG40" s="41"/>
      <c r="WH40" s="41"/>
      <c r="WI40" s="41"/>
      <c r="WJ40" s="41"/>
      <c r="WK40" s="41"/>
      <c r="WL40" s="41"/>
      <c r="WM40" s="41"/>
      <c r="WN40" s="41"/>
      <c r="WO40" s="41"/>
      <c r="WP40" s="41"/>
      <c r="WQ40" s="41"/>
      <c r="WR40" s="41"/>
      <c r="WS40" s="41"/>
      <c r="WT40" s="41"/>
      <c r="WU40" s="41"/>
      <c r="WV40" s="41"/>
      <c r="WW40" s="41"/>
      <c r="WX40" s="41"/>
      <c r="WY40" s="41"/>
      <c r="WZ40" s="41"/>
      <c r="XA40" s="41"/>
      <c r="XB40" s="41"/>
      <c r="XC40" s="41"/>
      <c r="XD40" s="41"/>
      <c r="XE40" s="41"/>
      <c r="XF40" s="41"/>
      <c r="XG40" s="41"/>
      <c r="XH40" s="41"/>
      <c r="XI40" s="41"/>
      <c r="XJ40" s="41"/>
      <c r="XK40" s="41"/>
      <c r="XL40" s="41"/>
      <c r="XM40" s="41"/>
      <c r="XN40" s="41"/>
      <c r="XO40" s="41"/>
      <c r="XP40" s="41"/>
      <c r="XQ40" s="41"/>
      <c r="XR40" s="41"/>
      <c r="XS40" s="41"/>
      <c r="XT40" s="41"/>
      <c r="XU40" s="41"/>
      <c r="XV40" s="41"/>
      <c r="XW40" s="41"/>
      <c r="XX40" s="41"/>
      <c r="XY40" s="41"/>
      <c r="XZ40" s="41"/>
      <c r="YA40" s="41"/>
      <c r="YB40" s="41"/>
      <c r="YC40" s="41"/>
      <c r="YD40" s="41"/>
      <c r="YE40" s="41"/>
      <c r="YF40" s="41"/>
      <c r="YG40" s="41"/>
      <c r="YH40" s="41"/>
      <c r="YI40" s="41"/>
      <c r="YJ40" s="41"/>
      <c r="YK40" s="41"/>
      <c r="YL40" s="41"/>
      <c r="YM40" s="41"/>
      <c r="YN40" s="41"/>
      <c r="YO40" s="41"/>
      <c r="YP40" s="41"/>
      <c r="YQ40" s="41"/>
      <c r="YR40" s="41"/>
      <c r="YS40" s="41"/>
      <c r="YT40" s="41"/>
      <c r="YU40" s="41"/>
      <c r="YV40" s="41"/>
      <c r="YW40" s="41"/>
      <c r="YX40" s="41"/>
      <c r="YY40" s="41"/>
      <c r="YZ40" s="41"/>
      <c r="ZA40" s="41"/>
      <c r="ZB40" s="41"/>
      <c r="ZC40" s="41"/>
      <c r="ZD40" s="41"/>
      <c r="ZE40" s="41"/>
      <c r="ZF40" s="41"/>
      <c r="ZG40" s="41"/>
      <c r="ZH40" s="41"/>
      <c r="ZI40" s="41"/>
      <c r="ZJ40" s="41"/>
      <c r="ZK40" s="41"/>
      <c r="ZL40" s="41"/>
      <c r="ZM40" s="41"/>
      <c r="ZN40" s="41"/>
      <c r="ZO40" s="41"/>
      <c r="ZP40" s="41"/>
      <c r="ZQ40" s="41"/>
      <c r="ZR40" s="41"/>
      <c r="ZS40" s="41"/>
      <c r="ZT40" s="41"/>
      <c r="ZU40" s="41"/>
      <c r="ZV40" s="41"/>
      <c r="ZW40" s="41"/>
      <c r="ZX40" s="41"/>
      <c r="ZY40" s="41"/>
      <c r="ZZ40" s="41"/>
      <c r="AAA40" s="41"/>
      <c r="AAB40" s="41"/>
      <c r="AAC40" s="41"/>
      <c r="AAD40" s="41"/>
      <c r="AAE40" s="41"/>
      <c r="AAF40" s="41"/>
      <c r="AAG40" s="41"/>
      <c r="AAH40" s="41"/>
      <c r="AAI40" s="41"/>
      <c r="AAJ40" s="41"/>
      <c r="AAK40" s="41"/>
      <c r="AAL40" s="41"/>
      <c r="AAM40" s="41"/>
      <c r="AAN40" s="41"/>
      <c r="AAO40" s="41"/>
      <c r="AAP40" s="41"/>
      <c r="AAQ40" s="41"/>
      <c r="AAR40" s="41"/>
      <c r="AAS40" s="41"/>
      <c r="AAT40" s="41"/>
      <c r="AAU40" s="41"/>
      <c r="AAV40" s="41"/>
      <c r="AAW40" s="41"/>
      <c r="AAX40" s="41"/>
      <c r="AAY40" s="41"/>
      <c r="AAZ40" s="41"/>
      <c r="ABA40" s="41"/>
      <c r="ABB40" s="41"/>
      <c r="ABC40" s="41"/>
      <c r="ABD40" s="41"/>
      <c r="ABE40" s="41"/>
      <c r="ABF40" s="41"/>
      <c r="ABG40" s="41"/>
      <c r="ABH40" s="41"/>
      <c r="ABI40" s="41"/>
      <c r="ABJ40" s="41"/>
      <c r="ABK40" s="41"/>
      <c r="ABL40" s="41"/>
      <c r="ABM40" s="41"/>
      <c r="ABN40" s="41"/>
      <c r="ABO40" s="41"/>
      <c r="ABP40" s="41"/>
      <c r="ABQ40" s="41"/>
      <c r="ABR40" s="41"/>
      <c r="ABS40" s="41"/>
      <c r="ABT40" s="41"/>
      <c r="ABU40" s="41"/>
      <c r="ABV40" s="41"/>
      <c r="ABW40" s="41"/>
      <c r="ABX40" s="41"/>
      <c r="ABY40" s="41"/>
      <c r="ABZ40" s="41"/>
      <c r="ACA40" s="41"/>
      <c r="ACB40" s="41"/>
      <c r="ACC40" s="41"/>
      <c r="ACD40" s="41"/>
      <c r="ACE40" s="41"/>
      <c r="ACF40" s="41"/>
      <c r="ACG40" s="41"/>
      <c r="ACH40" s="41"/>
      <c r="ACI40" s="41"/>
      <c r="ACJ40" s="41"/>
      <c r="ACK40" s="41"/>
      <c r="ACL40" s="41"/>
      <c r="ACM40" s="41"/>
      <c r="ACN40" s="41"/>
      <c r="ACO40" s="41"/>
      <c r="ACP40" s="41"/>
      <c r="ACQ40" s="41"/>
      <c r="ACR40" s="41"/>
      <c r="ACS40" s="41"/>
      <c r="ACT40" s="41"/>
      <c r="ACU40" s="41"/>
      <c r="ACV40" s="41"/>
      <c r="ACW40" s="41"/>
      <c r="ACX40" s="41"/>
      <c r="ACY40" s="41"/>
      <c r="ACZ40" s="41"/>
      <c r="ADA40" s="41"/>
      <c r="ADB40" s="41"/>
      <c r="ADC40" s="41"/>
      <c r="ADD40" s="41"/>
      <c r="ADE40" s="41"/>
      <c r="ADF40" s="41"/>
      <c r="ADG40" s="41"/>
      <c r="ADH40" s="41"/>
      <c r="ADI40" s="41"/>
      <c r="ADJ40" s="41"/>
      <c r="ADK40" s="41"/>
      <c r="ADL40" s="41"/>
      <c r="ADM40" s="41"/>
      <c r="ADN40" s="41"/>
      <c r="ADO40" s="41"/>
      <c r="ADP40" s="41"/>
      <c r="ADQ40" s="41"/>
      <c r="ADR40" s="41"/>
      <c r="ADS40" s="41"/>
      <c r="ADT40" s="41"/>
      <c r="ADU40" s="41"/>
      <c r="ADV40" s="41"/>
      <c r="ADW40" s="41"/>
      <c r="ADX40" s="41"/>
      <c r="ADY40" s="41"/>
      <c r="ADZ40" s="41"/>
      <c r="AEA40" s="41"/>
      <c r="AEB40" s="41"/>
      <c r="AEC40" s="41"/>
      <c r="AED40" s="41"/>
      <c r="AEE40" s="41"/>
      <c r="AEF40" s="41"/>
      <c r="AEG40" s="41"/>
      <c r="AEH40" s="41"/>
      <c r="AEI40" s="41"/>
      <c r="AEJ40" s="41"/>
      <c r="AEK40" s="41"/>
      <c r="AEL40" s="41"/>
      <c r="AEM40" s="41"/>
      <c r="AEN40" s="41"/>
      <c r="AEO40" s="41"/>
      <c r="AEP40" s="41"/>
      <c r="AEQ40" s="41"/>
      <c r="AER40" s="41"/>
      <c r="AES40" s="41"/>
      <c r="AET40" s="41"/>
      <c r="AEU40" s="41"/>
      <c r="AEV40" s="41"/>
      <c r="AEW40" s="41"/>
      <c r="AEX40" s="41"/>
      <c r="AEY40" s="41"/>
      <c r="AEZ40" s="41"/>
      <c r="AFA40" s="41"/>
      <c r="AFB40" s="41"/>
      <c r="AFC40" s="41"/>
      <c r="AFD40" s="41"/>
      <c r="AFE40" s="41"/>
      <c r="AFF40" s="41"/>
      <c r="AFG40" s="41"/>
      <c r="AFH40" s="41"/>
      <c r="AFI40" s="41"/>
      <c r="AFJ40" s="41"/>
      <c r="AFK40" s="41"/>
      <c r="AFL40" s="41"/>
      <c r="AFM40" s="41"/>
      <c r="AFN40" s="41"/>
      <c r="AFO40" s="41"/>
      <c r="AFP40" s="41"/>
      <c r="AFQ40" s="41"/>
      <c r="AFR40" s="41"/>
      <c r="AFS40" s="41"/>
      <c r="AFT40" s="41"/>
      <c r="AFU40" s="41"/>
      <c r="AFV40" s="41"/>
      <c r="AFW40" s="41"/>
      <c r="AFX40" s="41"/>
      <c r="AFY40" s="41"/>
      <c r="AFZ40" s="41"/>
      <c r="AGA40" s="41"/>
      <c r="AGB40" s="41"/>
      <c r="AGC40" s="41"/>
      <c r="AGD40" s="41"/>
      <c r="AGE40" s="41"/>
      <c r="AGF40" s="41"/>
      <c r="AGG40" s="41"/>
      <c r="AGH40" s="41"/>
      <c r="AGI40" s="41"/>
      <c r="AGJ40" s="41"/>
      <c r="AGK40" s="41"/>
      <c r="AGL40" s="41"/>
      <c r="AGM40" s="41"/>
      <c r="AGN40" s="41"/>
      <c r="AGO40" s="41"/>
      <c r="AGP40" s="41"/>
      <c r="AGQ40" s="41"/>
      <c r="AGR40" s="41"/>
      <c r="AGS40" s="41"/>
      <c r="AGT40" s="41"/>
      <c r="AGU40" s="41"/>
      <c r="AGV40" s="41"/>
      <c r="AGW40" s="41"/>
      <c r="AGX40" s="41"/>
      <c r="AGY40" s="41"/>
      <c r="AGZ40" s="41"/>
      <c r="AHA40" s="41"/>
      <c r="AHB40" s="41"/>
      <c r="AHC40" s="41"/>
      <c r="AHD40" s="41"/>
      <c r="AHE40" s="41"/>
      <c r="AHF40" s="41"/>
      <c r="AHG40" s="41"/>
      <c r="AHH40" s="41"/>
      <c r="AHI40" s="41"/>
      <c r="AHJ40" s="41"/>
      <c r="AHK40" s="41"/>
      <c r="AHL40" s="41"/>
      <c r="AHM40" s="41"/>
      <c r="AHN40" s="41"/>
      <c r="AHO40" s="41"/>
      <c r="AHP40" s="41"/>
      <c r="AHQ40" s="41"/>
      <c r="AHR40" s="41"/>
      <c r="AHS40" s="41"/>
      <c r="AHT40" s="41"/>
      <c r="AHU40" s="41"/>
      <c r="AHV40" s="41"/>
      <c r="AHW40" s="41"/>
      <c r="AHX40" s="41"/>
      <c r="AHY40" s="41"/>
      <c r="AHZ40" s="41"/>
      <c r="AIA40" s="41"/>
      <c r="AIB40" s="41"/>
      <c r="AIC40" s="41"/>
      <c r="AID40" s="41"/>
      <c r="AIE40" s="41"/>
      <c r="AIF40" s="41"/>
      <c r="AIG40" s="41"/>
      <c r="AIH40" s="41"/>
      <c r="AII40" s="41"/>
      <c r="AIJ40" s="41"/>
      <c r="AIK40" s="41"/>
      <c r="AIL40" s="41"/>
      <c r="AIM40" s="41"/>
      <c r="AIN40" s="41"/>
      <c r="AIO40" s="41"/>
      <c r="AIP40" s="41"/>
      <c r="AIQ40" s="41"/>
      <c r="AIR40" s="41"/>
      <c r="AIS40" s="41"/>
      <c r="AIT40" s="41"/>
      <c r="AIU40" s="41"/>
      <c r="AIV40" s="41"/>
      <c r="AIW40" s="41"/>
      <c r="AIX40" s="41"/>
      <c r="AIY40" s="41"/>
      <c r="AIZ40" s="41"/>
      <c r="AJA40" s="41"/>
      <c r="AJB40" s="41"/>
      <c r="AJC40" s="41"/>
      <c r="AJD40" s="41"/>
      <c r="AJE40" s="41"/>
      <c r="AJF40" s="41"/>
      <c r="AJG40" s="41"/>
      <c r="AJH40" s="41"/>
      <c r="AJI40" s="41"/>
      <c r="AJJ40" s="41"/>
      <c r="AJK40" s="41"/>
      <c r="AJL40" s="41"/>
      <c r="AJM40" s="41"/>
      <c r="AJN40" s="41"/>
      <c r="AJO40" s="41"/>
      <c r="AJP40" s="41"/>
      <c r="AJQ40" s="41"/>
      <c r="AJR40" s="41"/>
      <c r="AJS40" s="41"/>
      <c r="AJT40" s="41"/>
      <c r="AJU40" s="41"/>
      <c r="AJV40" s="41"/>
      <c r="AJW40" s="41"/>
      <c r="AJX40" s="41"/>
      <c r="AJY40" s="41"/>
      <c r="AJZ40" s="41"/>
      <c r="AKA40" s="41"/>
      <c r="AKB40" s="41"/>
      <c r="AKC40" s="41"/>
      <c r="AKD40" s="41"/>
      <c r="AKE40" s="41"/>
      <c r="AKF40" s="41"/>
      <c r="AKG40" s="41"/>
      <c r="AKH40" s="41"/>
      <c r="AKI40" s="41"/>
      <c r="AKJ40" s="41"/>
      <c r="AKK40" s="41"/>
      <c r="AKL40" s="41"/>
      <c r="AKM40" s="41"/>
      <c r="AKN40" s="41"/>
      <c r="AKO40" s="41"/>
      <c r="AKP40" s="41"/>
      <c r="AKQ40" s="41"/>
      <c r="AKR40" s="41"/>
      <c r="AKS40" s="41"/>
      <c r="AKT40" s="41"/>
      <c r="AKU40" s="41"/>
      <c r="AKV40" s="41"/>
      <c r="AKW40" s="41"/>
      <c r="AKX40" s="41"/>
      <c r="AKY40" s="41"/>
      <c r="AKZ40" s="41"/>
      <c r="ALA40" s="41"/>
      <c r="ALB40" s="41"/>
      <c r="ALC40" s="41"/>
      <c r="ALD40" s="41"/>
      <c r="ALE40" s="41"/>
      <c r="ALF40" s="41"/>
      <c r="ALG40" s="41"/>
      <c r="ALH40" s="41"/>
      <c r="ALI40" s="41"/>
      <c r="ALJ40" s="41"/>
      <c r="ALK40" s="41"/>
      <c r="ALL40" s="41"/>
      <c r="ALM40" s="41"/>
      <c r="ALN40" s="41"/>
      <c r="ALO40" s="41"/>
      <c r="ALP40" s="41"/>
      <c r="ALQ40" s="41"/>
      <c r="ALR40" s="41"/>
      <c r="ALS40" s="41"/>
      <c r="ALT40" s="41"/>
      <c r="ALU40" s="41"/>
      <c r="ALV40" s="41"/>
      <c r="ALW40" s="41"/>
      <c r="ALX40" s="41"/>
      <c r="ALY40" s="41"/>
      <c r="ALZ40" s="41"/>
      <c r="AMA40" s="41"/>
      <c r="AMB40" s="41"/>
      <c r="AMC40" s="41"/>
      <c r="AMD40" s="41"/>
      <c r="AME40" s="41"/>
      <c r="AMF40" s="41"/>
      <c r="AMG40" s="41"/>
      <c r="AMH40" s="41"/>
      <c r="AMI40" s="41"/>
      <c r="AMJ40" s="41"/>
      <c r="AMK40" s="41"/>
      <c r="AML40" s="41"/>
      <c r="AMM40" s="41"/>
      <c r="AMN40" s="41"/>
      <c r="AMO40" s="41"/>
      <c r="AMP40" s="41"/>
      <c r="AMQ40" s="41"/>
      <c r="AMR40" s="41"/>
      <c r="AMS40" s="41"/>
      <c r="AMT40" s="41"/>
      <c r="AMU40" s="41"/>
      <c r="AMV40" s="41"/>
      <c r="AMW40" s="41"/>
      <c r="AMX40" s="41"/>
      <c r="AMY40" s="41"/>
      <c r="AMZ40" s="41"/>
      <c r="ANA40" s="41"/>
      <c r="ANB40" s="41"/>
      <c r="ANC40" s="41"/>
      <c r="AND40" s="41"/>
      <c r="ANE40" s="41"/>
      <c r="ANF40" s="41"/>
      <c r="ANG40" s="41"/>
      <c r="ANH40" s="41"/>
      <c r="ANI40" s="41"/>
      <c r="ANJ40" s="41"/>
      <c r="ANK40" s="41"/>
      <c r="ANL40" s="41"/>
      <c r="ANM40" s="41"/>
      <c r="ANN40" s="41"/>
      <c r="ANO40" s="41"/>
      <c r="ANP40" s="41"/>
      <c r="ANQ40" s="41"/>
      <c r="ANR40" s="41"/>
      <c r="ANS40" s="41"/>
      <c r="ANT40" s="41"/>
      <c r="ANU40" s="41"/>
      <c r="ANV40" s="41"/>
      <c r="ANW40" s="41"/>
      <c r="ANX40" s="41"/>
      <c r="ANY40" s="41"/>
      <c r="ANZ40" s="41"/>
      <c r="AOA40" s="41"/>
      <c r="AOB40" s="41"/>
      <c r="AOC40" s="41"/>
      <c r="AOD40" s="41"/>
      <c r="AOE40" s="41"/>
      <c r="AOF40" s="41"/>
      <c r="AOG40" s="41"/>
      <c r="AOH40" s="41"/>
      <c r="AOI40" s="41"/>
      <c r="AOJ40" s="41"/>
      <c r="AOK40" s="41"/>
      <c r="AOL40" s="41"/>
      <c r="AOM40" s="41"/>
      <c r="AON40" s="41"/>
      <c r="AOO40" s="41"/>
      <c r="AOP40" s="41"/>
      <c r="AOQ40" s="41"/>
      <c r="AOR40" s="41"/>
      <c r="AOS40" s="41"/>
      <c r="AOT40" s="41"/>
      <c r="AOU40" s="41"/>
      <c r="AOV40" s="41"/>
      <c r="AOW40" s="41"/>
      <c r="AOX40" s="41"/>
      <c r="AOY40" s="41"/>
      <c r="AOZ40" s="41"/>
      <c r="APA40" s="41"/>
      <c r="APB40" s="41"/>
      <c r="APC40" s="41"/>
      <c r="APD40" s="41"/>
      <c r="APE40" s="41"/>
      <c r="APF40" s="41"/>
      <c r="APG40" s="41"/>
      <c r="APH40" s="41"/>
      <c r="API40" s="41"/>
      <c r="APJ40" s="41"/>
      <c r="APK40" s="41"/>
      <c r="APL40" s="41"/>
      <c r="APM40" s="41"/>
      <c r="APN40" s="41"/>
      <c r="APO40" s="41"/>
      <c r="APP40" s="41"/>
      <c r="APQ40" s="41"/>
      <c r="APR40" s="41"/>
      <c r="APS40" s="41"/>
      <c r="APT40" s="41"/>
      <c r="APU40" s="41"/>
      <c r="APV40" s="41"/>
      <c r="APW40" s="41"/>
      <c r="APX40" s="41"/>
      <c r="APY40" s="41"/>
      <c r="APZ40" s="41"/>
      <c r="AQA40" s="41"/>
      <c r="AQB40" s="41"/>
      <c r="AQC40" s="41"/>
      <c r="AQD40" s="41"/>
      <c r="AQE40" s="41"/>
      <c r="AQF40" s="41"/>
      <c r="AQG40" s="41"/>
      <c r="AQH40" s="41"/>
      <c r="AQI40" s="41"/>
      <c r="AQJ40" s="41"/>
      <c r="AQK40" s="41"/>
      <c r="AQL40" s="41"/>
      <c r="AQM40" s="41"/>
      <c r="AQN40" s="41"/>
      <c r="AQO40" s="41"/>
      <c r="AQP40" s="41"/>
      <c r="AQQ40" s="41"/>
      <c r="AQR40" s="41"/>
      <c r="AQS40" s="41"/>
      <c r="AQT40" s="41"/>
      <c r="AQU40" s="41"/>
      <c r="AQV40" s="41"/>
      <c r="AQW40" s="41"/>
      <c r="AQX40" s="41"/>
      <c r="AQY40" s="41"/>
      <c r="AQZ40" s="41"/>
      <c r="ARA40" s="41"/>
      <c r="ARB40" s="41"/>
      <c r="ARC40" s="41"/>
      <c r="ARD40" s="41"/>
      <c r="ARE40" s="41"/>
      <c r="ARF40" s="41"/>
      <c r="ARG40" s="41"/>
      <c r="ARH40" s="41"/>
      <c r="ARI40" s="41"/>
      <c r="ARJ40" s="41"/>
      <c r="ARK40" s="41"/>
      <c r="ARL40" s="41"/>
      <c r="ARM40" s="41"/>
      <c r="ARN40" s="41"/>
      <c r="ARO40" s="41"/>
      <c r="ARP40" s="41"/>
      <c r="ARQ40" s="41"/>
      <c r="ARR40" s="41"/>
      <c r="ARS40" s="41"/>
      <c r="ART40" s="41"/>
      <c r="ARU40" s="41"/>
      <c r="ARV40" s="41"/>
      <c r="ARW40" s="41"/>
      <c r="ARX40" s="41"/>
      <c r="ARY40" s="41"/>
      <c r="ARZ40" s="41"/>
      <c r="ASA40" s="41"/>
      <c r="ASB40" s="41"/>
      <c r="ASC40" s="41"/>
      <c r="ASD40" s="41"/>
      <c r="ASE40" s="41"/>
      <c r="ASF40" s="41"/>
      <c r="ASG40" s="41"/>
      <c r="ASH40" s="41"/>
      <c r="ASI40" s="41"/>
      <c r="ASJ40" s="41"/>
      <c r="ASK40" s="41"/>
      <c r="ASL40" s="41"/>
      <c r="ASM40" s="41"/>
      <c r="ASN40" s="41"/>
      <c r="ASO40" s="41"/>
      <c r="ASP40" s="41"/>
      <c r="ASQ40" s="41"/>
      <c r="ASR40" s="41"/>
      <c r="ASS40" s="41"/>
      <c r="AST40" s="41"/>
      <c r="ASU40" s="41"/>
      <c r="ASV40" s="41"/>
      <c r="ASW40" s="41"/>
      <c r="ASX40" s="41"/>
      <c r="ASY40" s="41"/>
      <c r="ASZ40" s="41"/>
      <c r="ATA40" s="41"/>
      <c r="ATB40" s="41"/>
      <c r="ATC40" s="41"/>
      <c r="ATD40" s="41"/>
      <c r="ATE40" s="41"/>
      <c r="ATF40" s="41"/>
      <c r="ATG40" s="41"/>
      <c r="ATH40" s="41"/>
      <c r="ATI40" s="41"/>
      <c r="ATJ40" s="41"/>
      <c r="ATK40" s="41"/>
      <c r="ATL40" s="41"/>
      <c r="ATM40" s="41"/>
      <c r="ATN40" s="41"/>
      <c r="ATO40" s="41"/>
      <c r="ATP40" s="41"/>
      <c r="ATQ40" s="41"/>
      <c r="ATR40" s="41"/>
      <c r="ATS40" s="41"/>
      <c r="ATT40" s="41"/>
      <c r="ATU40" s="41"/>
      <c r="ATV40" s="41"/>
      <c r="ATW40" s="41"/>
      <c r="ATX40" s="41"/>
      <c r="ATY40" s="41"/>
      <c r="ATZ40" s="41"/>
      <c r="AUA40" s="41"/>
      <c r="AUB40" s="41"/>
      <c r="AUC40" s="41"/>
      <c r="AUD40" s="41"/>
      <c r="AUE40" s="41"/>
      <c r="AUF40" s="41"/>
      <c r="AUG40" s="41"/>
      <c r="AUH40" s="41"/>
      <c r="AUI40" s="41"/>
      <c r="AUJ40" s="41"/>
      <c r="AUK40" s="41"/>
      <c r="AUL40" s="41"/>
      <c r="AUM40" s="41"/>
      <c r="AUN40" s="41"/>
      <c r="AUO40" s="41"/>
      <c r="AUP40" s="41"/>
      <c r="AUQ40" s="41"/>
      <c r="AUR40" s="41"/>
      <c r="AUS40" s="41"/>
      <c r="AUT40" s="41"/>
      <c r="AUU40" s="41"/>
      <c r="AUV40" s="41"/>
      <c r="AUW40" s="41"/>
      <c r="AUX40" s="41"/>
      <c r="AUY40" s="41"/>
      <c r="AUZ40" s="41"/>
      <c r="AVA40" s="41"/>
      <c r="AVB40" s="41"/>
      <c r="AVC40" s="41"/>
      <c r="AVD40" s="41"/>
      <c r="AVE40" s="41"/>
      <c r="AVF40" s="41"/>
      <c r="AVG40" s="41"/>
      <c r="AVH40" s="41"/>
      <c r="AVI40" s="41"/>
      <c r="AVJ40" s="41"/>
      <c r="AVK40" s="41"/>
      <c r="AVL40" s="41"/>
      <c r="AVM40" s="41"/>
      <c r="AVN40" s="41"/>
      <c r="AVO40" s="41"/>
      <c r="AVP40" s="41"/>
      <c r="AVQ40" s="41"/>
      <c r="AVR40" s="41"/>
      <c r="AVS40" s="41"/>
      <c r="AVT40" s="41"/>
      <c r="AVU40" s="41"/>
      <c r="AVV40" s="41"/>
      <c r="AVW40" s="41"/>
      <c r="AVX40" s="41"/>
      <c r="AVY40" s="41"/>
      <c r="AVZ40" s="41"/>
      <c r="AWA40" s="41"/>
      <c r="AWB40" s="41"/>
      <c r="AWC40" s="41"/>
      <c r="AWD40" s="41"/>
      <c r="AWE40" s="41"/>
      <c r="AWF40" s="41"/>
      <c r="AWG40" s="41"/>
      <c r="AWH40" s="41"/>
      <c r="AWI40" s="41"/>
      <c r="AWJ40" s="41"/>
      <c r="AWK40" s="41"/>
      <c r="AWL40" s="41"/>
      <c r="AWM40" s="41"/>
      <c r="AWN40" s="41"/>
      <c r="AWO40" s="41"/>
      <c r="AWP40" s="41"/>
      <c r="AWQ40" s="41"/>
      <c r="AWR40" s="41"/>
      <c r="AWS40" s="41"/>
      <c r="AWT40" s="41"/>
      <c r="AWU40" s="41"/>
      <c r="AWV40" s="41"/>
      <c r="AWW40" s="41"/>
      <c r="AWX40" s="41"/>
      <c r="AWY40" s="41"/>
      <c r="AWZ40" s="41"/>
      <c r="AXA40" s="41"/>
      <c r="AXB40" s="41"/>
      <c r="AXC40" s="41"/>
      <c r="AXD40" s="41"/>
      <c r="AXE40" s="41"/>
      <c r="AXF40" s="41"/>
      <c r="AXG40" s="41"/>
      <c r="AXH40" s="41"/>
      <c r="AXI40" s="41"/>
      <c r="AXJ40" s="41"/>
      <c r="AXK40" s="41"/>
      <c r="AXL40" s="41"/>
      <c r="AXM40" s="41"/>
      <c r="AXN40" s="41"/>
      <c r="AXO40" s="41"/>
      <c r="AXP40" s="41"/>
      <c r="AXQ40" s="41"/>
      <c r="AXR40" s="41"/>
      <c r="AXS40" s="41"/>
      <c r="AXT40" s="41"/>
      <c r="AXU40" s="41"/>
      <c r="AXV40" s="41"/>
      <c r="AXW40" s="41"/>
      <c r="AXX40" s="41"/>
      <c r="AXY40" s="41"/>
      <c r="AXZ40" s="41"/>
      <c r="AYA40" s="41"/>
      <c r="AYB40" s="41"/>
      <c r="AYC40" s="41"/>
      <c r="AYD40" s="41"/>
      <c r="AYE40" s="41"/>
      <c r="AYF40" s="41"/>
      <c r="AYG40" s="41"/>
      <c r="AYH40" s="41"/>
      <c r="AYI40" s="41"/>
      <c r="AYJ40" s="41"/>
      <c r="AYK40" s="41"/>
      <c r="AYL40" s="41"/>
      <c r="AYM40" s="41"/>
      <c r="AYN40" s="41"/>
      <c r="AYO40" s="41"/>
      <c r="AYP40" s="41"/>
      <c r="AYQ40" s="41"/>
      <c r="AYR40" s="41"/>
      <c r="AYS40" s="41"/>
      <c r="AYT40" s="41"/>
      <c r="AYU40" s="41"/>
      <c r="AYV40" s="41"/>
      <c r="AYW40" s="41"/>
      <c r="AYX40" s="41"/>
      <c r="AYY40" s="41"/>
      <c r="AYZ40" s="41"/>
      <c r="AZA40" s="41"/>
      <c r="AZB40" s="41"/>
      <c r="AZC40" s="41"/>
      <c r="AZD40" s="41"/>
      <c r="AZE40" s="41"/>
      <c r="AZF40" s="41"/>
      <c r="AZG40" s="41"/>
      <c r="AZH40" s="41"/>
      <c r="AZI40" s="41"/>
      <c r="AZJ40" s="41"/>
      <c r="AZK40" s="41"/>
      <c r="AZL40" s="41"/>
      <c r="AZM40" s="41"/>
      <c r="AZN40" s="41"/>
      <c r="AZO40" s="41"/>
      <c r="AZP40" s="41"/>
      <c r="AZQ40" s="41"/>
      <c r="AZR40" s="41"/>
      <c r="AZS40" s="41"/>
      <c r="AZT40" s="41"/>
      <c r="AZU40" s="41"/>
      <c r="AZV40" s="41"/>
      <c r="AZW40" s="41"/>
      <c r="AZX40" s="41"/>
      <c r="AZY40" s="41"/>
      <c r="AZZ40" s="41"/>
      <c r="BAA40" s="41"/>
      <c r="BAB40" s="41"/>
      <c r="BAC40" s="41"/>
      <c r="BAD40" s="41"/>
      <c r="BAE40" s="41"/>
      <c r="BAF40" s="41"/>
      <c r="BAG40" s="41"/>
      <c r="BAH40" s="41"/>
      <c r="BAI40" s="41"/>
      <c r="BAJ40" s="41"/>
      <c r="BAK40" s="41"/>
      <c r="BAL40" s="41"/>
      <c r="BAM40" s="41"/>
      <c r="BAN40" s="41"/>
      <c r="BAO40" s="41"/>
      <c r="BAP40" s="41"/>
      <c r="BAQ40" s="41"/>
      <c r="BAR40" s="41"/>
      <c r="BAS40" s="41"/>
      <c r="BAT40" s="41"/>
      <c r="BAU40" s="41"/>
      <c r="BAV40" s="41"/>
      <c r="BAW40" s="41"/>
      <c r="BAX40" s="41"/>
      <c r="BAY40" s="41"/>
      <c r="BAZ40" s="41"/>
      <c r="BBA40" s="41"/>
      <c r="BBB40" s="41"/>
      <c r="BBC40" s="41"/>
      <c r="BBD40" s="41"/>
      <c r="BBE40" s="41"/>
      <c r="BBF40" s="41"/>
      <c r="BBG40" s="41"/>
      <c r="BBH40" s="41"/>
      <c r="BBI40" s="41"/>
      <c r="BBJ40" s="41"/>
      <c r="BBK40" s="41"/>
      <c r="BBL40" s="41"/>
      <c r="BBM40" s="41"/>
      <c r="BBN40" s="41"/>
      <c r="BBO40" s="41"/>
      <c r="BBP40" s="41"/>
      <c r="BBQ40" s="41"/>
      <c r="BBR40" s="41"/>
      <c r="BBS40" s="41"/>
      <c r="BBT40" s="41"/>
      <c r="BBU40" s="41"/>
      <c r="BBV40" s="41"/>
      <c r="BBW40" s="41"/>
      <c r="BBX40" s="41"/>
      <c r="BBY40" s="41"/>
      <c r="BBZ40" s="41"/>
      <c r="BCA40" s="41"/>
      <c r="BCB40" s="41"/>
      <c r="BCC40" s="41"/>
      <c r="BCD40" s="41"/>
      <c r="BCE40" s="41"/>
      <c r="BCF40" s="41"/>
      <c r="BCG40" s="41"/>
      <c r="BCH40" s="41"/>
      <c r="BCI40" s="41"/>
      <c r="BCJ40" s="41"/>
      <c r="BCK40" s="41"/>
      <c r="BCL40" s="41"/>
      <c r="BCM40" s="41"/>
      <c r="BCN40" s="41"/>
      <c r="BCO40" s="41"/>
      <c r="BCP40" s="41"/>
      <c r="BCQ40" s="41"/>
      <c r="BCR40" s="41"/>
      <c r="BCS40" s="41"/>
      <c r="BCT40" s="41"/>
      <c r="BCU40" s="41"/>
      <c r="BCV40" s="41"/>
      <c r="BCW40" s="41"/>
      <c r="BCX40" s="41"/>
      <c r="BCY40" s="41"/>
      <c r="BCZ40" s="41"/>
      <c r="BDA40" s="41"/>
      <c r="BDB40" s="41"/>
      <c r="BDC40" s="41"/>
      <c r="BDD40" s="41"/>
      <c r="BDE40" s="41"/>
      <c r="BDF40" s="41"/>
      <c r="BDG40" s="41"/>
      <c r="BDH40" s="41"/>
      <c r="BDI40" s="41"/>
      <c r="BDJ40" s="41"/>
      <c r="BDK40" s="41"/>
      <c r="BDL40" s="41"/>
      <c r="BDM40" s="41"/>
      <c r="BDN40" s="41"/>
      <c r="BDO40" s="41"/>
      <c r="BDP40" s="41"/>
      <c r="BDQ40" s="41"/>
      <c r="BDR40" s="41"/>
      <c r="BDS40" s="41"/>
      <c r="BDT40" s="41"/>
      <c r="BDU40" s="41"/>
      <c r="BDV40" s="41"/>
      <c r="BDW40" s="41"/>
      <c r="BDX40" s="41"/>
      <c r="BDY40" s="41"/>
      <c r="BDZ40" s="41"/>
      <c r="BEA40" s="41"/>
      <c r="BEB40" s="41"/>
      <c r="BEC40" s="41"/>
      <c r="BED40" s="41"/>
      <c r="BEE40" s="41"/>
      <c r="BEF40" s="41"/>
      <c r="BEG40" s="41"/>
      <c r="BEH40" s="41"/>
      <c r="BEI40" s="41"/>
      <c r="BEJ40" s="41"/>
      <c r="BEK40" s="41"/>
      <c r="BEL40" s="41"/>
      <c r="BEM40" s="41"/>
      <c r="BEN40" s="41"/>
      <c r="BEO40" s="41"/>
      <c r="BEP40" s="41"/>
      <c r="BEQ40" s="41"/>
      <c r="BER40" s="41"/>
      <c r="BES40" s="41"/>
      <c r="BET40" s="41"/>
      <c r="BEU40" s="41"/>
      <c r="BEV40" s="41"/>
      <c r="BEW40" s="41"/>
      <c r="BEX40" s="41"/>
      <c r="BEY40" s="41"/>
      <c r="BEZ40" s="41"/>
      <c r="BFA40" s="41"/>
      <c r="BFB40" s="41"/>
      <c r="BFC40" s="41"/>
      <c r="BFD40" s="41"/>
      <c r="BFE40" s="41"/>
      <c r="BFF40" s="41"/>
      <c r="BFG40" s="41"/>
      <c r="BFH40" s="41"/>
      <c r="BFI40" s="41"/>
      <c r="BFJ40" s="41"/>
      <c r="BFK40" s="41"/>
      <c r="BFL40" s="41"/>
      <c r="BFM40" s="41"/>
      <c r="BFN40" s="41"/>
      <c r="BFO40" s="41"/>
      <c r="BFP40" s="41"/>
      <c r="BFQ40" s="41"/>
      <c r="BFR40" s="41"/>
      <c r="BFS40" s="41"/>
      <c r="BFT40" s="41"/>
      <c r="BFU40" s="41"/>
      <c r="BFV40" s="41"/>
      <c r="BFW40" s="41"/>
      <c r="BFX40" s="41"/>
      <c r="BFY40" s="41"/>
      <c r="BFZ40" s="41"/>
      <c r="BGA40" s="41"/>
      <c r="BGB40" s="41"/>
      <c r="BGC40" s="41"/>
      <c r="BGD40" s="41"/>
      <c r="BGE40" s="41"/>
      <c r="BGF40" s="41"/>
      <c r="BGG40" s="41"/>
      <c r="BGH40" s="41"/>
      <c r="BGI40" s="41"/>
      <c r="BGJ40" s="41"/>
      <c r="BGK40" s="41"/>
      <c r="BGL40" s="41"/>
      <c r="BGM40" s="41"/>
      <c r="BGN40" s="41"/>
      <c r="BGO40" s="41"/>
      <c r="BGP40" s="41"/>
      <c r="BGQ40" s="41"/>
      <c r="BGR40" s="41"/>
      <c r="BGS40" s="41"/>
      <c r="BGT40" s="41"/>
      <c r="BGU40" s="41"/>
      <c r="BGV40" s="41"/>
      <c r="BGW40" s="41"/>
      <c r="BGX40" s="41"/>
      <c r="BGY40" s="41"/>
      <c r="BGZ40" s="41"/>
      <c r="BHA40" s="41"/>
      <c r="BHB40" s="41"/>
      <c r="BHC40" s="41"/>
      <c r="BHD40" s="41"/>
      <c r="BHE40" s="41"/>
      <c r="BHF40" s="41"/>
      <c r="BHG40" s="41"/>
      <c r="BHH40" s="41"/>
      <c r="BHI40" s="41"/>
      <c r="BHJ40" s="41"/>
      <c r="BHK40" s="41"/>
      <c r="BHL40" s="41"/>
      <c r="BHM40" s="41"/>
      <c r="BHN40" s="41"/>
      <c r="BHO40" s="41"/>
      <c r="BHP40" s="41"/>
      <c r="BHQ40" s="41"/>
      <c r="BHR40" s="41"/>
      <c r="BHS40" s="41"/>
      <c r="BHT40" s="41"/>
      <c r="BHU40" s="41"/>
      <c r="BHV40" s="41"/>
      <c r="BHW40" s="41"/>
      <c r="BHX40" s="41"/>
      <c r="BHY40" s="41"/>
      <c r="BHZ40" s="41"/>
      <c r="BIA40" s="41"/>
      <c r="BIB40" s="41"/>
      <c r="BIC40" s="41"/>
      <c r="BID40" s="41"/>
      <c r="BIE40" s="41"/>
      <c r="BIF40" s="41"/>
      <c r="BIG40" s="41"/>
      <c r="BIH40" s="41"/>
      <c r="BII40" s="41"/>
      <c r="BIJ40" s="41"/>
      <c r="BIK40" s="41"/>
      <c r="BIL40" s="41"/>
      <c r="BIM40" s="41"/>
      <c r="BIN40" s="41"/>
      <c r="BIO40" s="41"/>
      <c r="BIP40" s="41"/>
      <c r="BIQ40" s="41"/>
      <c r="BIR40" s="41"/>
      <c r="BIS40" s="41"/>
      <c r="BIT40" s="41"/>
      <c r="BIU40" s="41"/>
      <c r="BIV40" s="41"/>
      <c r="BIW40" s="41"/>
      <c r="BIX40" s="41"/>
      <c r="BIY40" s="41"/>
      <c r="BIZ40" s="41"/>
      <c r="BJA40" s="41"/>
      <c r="BJB40" s="41"/>
      <c r="BJC40" s="41"/>
      <c r="BJD40" s="41"/>
      <c r="BJE40" s="41"/>
      <c r="BJF40" s="41"/>
      <c r="BJG40" s="41"/>
      <c r="BJH40" s="41"/>
      <c r="BJI40" s="41"/>
      <c r="BJJ40" s="41"/>
      <c r="BJK40" s="41"/>
      <c r="BJL40" s="41"/>
      <c r="BJM40" s="41"/>
      <c r="BJN40" s="41"/>
      <c r="BJO40" s="41"/>
      <c r="BJP40" s="41"/>
      <c r="BJQ40" s="41"/>
      <c r="BJR40" s="41"/>
      <c r="BJS40" s="41"/>
      <c r="BJT40" s="41"/>
      <c r="BJU40" s="41"/>
      <c r="BJV40" s="41"/>
      <c r="BJW40" s="41"/>
      <c r="BJX40" s="41"/>
      <c r="BJY40" s="41"/>
      <c r="BJZ40" s="41"/>
      <c r="BKA40" s="41"/>
      <c r="BKB40" s="41"/>
      <c r="BKC40" s="41"/>
      <c r="BKD40" s="41"/>
      <c r="BKE40" s="41"/>
      <c r="BKF40" s="41"/>
      <c r="BKG40" s="41"/>
      <c r="BKH40" s="41"/>
      <c r="BKI40" s="41"/>
      <c r="BKJ40" s="41"/>
      <c r="BKK40" s="41"/>
      <c r="BKL40" s="41"/>
      <c r="BKM40" s="41"/>
      <c r="BKN40" s="41"/>
      <c r="BKO40" s="41"/>
      <c r="BKP40" s="41"/>
      <c r="BKQ40" s="41"/>
      <c r="BKR40" s="41"/>
      <c r="BKS40" s="41"/>
      <c r="BKT40" s="41"/>
      <c r="BKU40" s="41"/>
      <c r="BKV40" s="41"/>
      <c r="BKW40" s="41"/>
      <c r="BKX40" s="41"/>
      <c r="BKY40" s="41"/>
      <c r="BKZ40" s="41"/>
      <c r="BLA40" s="41"/>
      <c r="BLB40" s="41"/>
      <c r="BLC40" s="41"/>
      <c r="BLD40" s="41"/>
      <c r="BLE40" s="41"/>
      <c r="BLF40" s="41"/>
      <c r="BLG40" s="41"/>
      <c r="BLH40" s="41"/>
      <c r="BLI40" s="41"/>
      <c r="BLJ40" s="41"/>
      <c r="BLK40" s="41"/>
      <c r="BLL40" s="41"/>
      <c r="BLM40" s="41"/>
      <c r="BLN40" s="41"/>
      <c r="BLO40" s="41"/>
      <c r="BLP40" s="41"/>
      <c r="BLQ40" s="41"/>
      <c r="BLR40" s="41"/>
      <c r="BLS40" s="41"/>
      <c r="BLT40" s="41"/>
      <c r="BLU40" s="41"/>
      <c r="BLV40" s="41"/>
      <c r="BLW40" s="41"/>
      <c r="BLX40" s="41"/>
      <c r="BLY40" s="41"/>
      <c r="BLZ40" s="41"/>
      <c r="BMA40" s="41"/>
      <c r="BMB40" s="41"/>
      <c r="BMC40" s="41"/>
      <c r="BMD40" s="41"/>
      <c r="BME40" s="41"/>
      <c r="BMF40" s="41"/>
      <c r="BMG40" s="41"/>
      <c r="BMH40" s="41"/>
      <c r="BMI40" s="41"/>
      <c r="BMJ40" s="41"/>
      <c r="BMK40" s="41"/>
      <c r="BML40" s="41"/>
      <c r="BMM40" s="41"/>
      <c r="BMN40" s="41"/>
      <c r="BMO40" s="41"/>
      <c r="BMP40" s="41"/>
      <c r="BMQ40" s="41"/>
      <c r="BMR40" s="41"/>
      <c r="BMS40" s="41"/>
      <c r="BMT40" s="41"/>
      <c r="BMU40" s="41"/>
      <c r="BMV40" s="41"/>
      <c r="BMW40" s="41"/>
      <c r="BMX40" s="41"/>
      <c r="BMY40" s="41"/>
      <c r="BMZ40" s="41"/>
      <c r="BNA40" s="41"/>
      <c r="BNB40" s="41"/>
      <c r="BNC40" s="41"/>
      <c r="BND40" s="41"/>
      <c r="BNE40" s="41"/>
      <c r="BNF40" s="41"/>
      <c r="BNG40" s="41"/>
      <c r="BNH40" s="41"/>
      <c r="BNI40" s="41"/>
      <c r="BNJ40" s="41"/>
      <c r="BNK40" s="41"/>
      <c r="BNL40" s="41"/>
      <c r="BNM40" s="41"/>
      <c r="BNN40" s="41"/>
      <c r="BNO40" s="41"/>
      <c r="BNP40" s="41"/>
      <c r="BNQ40" s="41"/>
      <c r="BNR40" s="41"/>
      <c r="BNS40" s="41"/>
      <c r="BNT40" s="41"/>
      <c r="BNU40" s="41"/>
      <c r="BNV40" s="41"/>
      <c r="BNW40" s="41"/>
      <c r="BNX40" s="41"/>
      <c r="BNY40" s="41"/>
      <c r="BNZ40" s="41"/>
      <c r="BOA40" s="41"/>
      <c r="BOB40" s="41"/>
      <c r="BOC40" s="41"/>
      <c r="BOD40" s="41"/>
      <c r="BOE40" s="41"/>
      <c r="BOF40" s="41"/>
      <c r="BOG40" s="41"/>
      <c r="BOH40" s="41"/>
      <c r="BOI40" s="41"/>
      <c r="BOJ40" s="41"/>
      <c r="BOK40" s="41"/>
      <c r="BOL40" s="41"/>
      <c r="BOM40" s="41"/>
      <c r="BON40" s="41"/>
      <c r="BOO40" s="41"/>
      <c r="BOP40" s="41"/>
      <c r="BOQ40" s="41"/>
      <c r="BOR40" s="41"/>
      <c r="BOS40" s="41"/>
      <c r="BOT40" s="41"/>
      <c r="BOU40" s="41"/>
      <c r="BOV40" s="41"/>
      <c r="BOW40" s="41"/>
      <c r="BOX40" s="41"/>
      <c r="BOY40" s="41"/>
      <c r="BOZ40" s="41"/>
      <c r="BPA40" s="41"/>
      <c r="BPB40" s="41"/>
      <c r="BPC40" s="41"/>
      <c r="BPD40" s="41"/>
      <c r="BPE40" s="41"/>
      <c r="BPF40" s="41"/>
      <c r="BPG40" s="41"/>
      <c r="BPH40" s="41"/>
      <c r="BPI40" s="41"/>
      <c r="BPJ40" s="41"/>
      <c r="BPK40" s="41"/>
      <c r="BPL40" s="41"/>
      <c r="BPM40" s="41"/>
      <c r="BPN40" s="41"/>
      <c r="BPO40" s="41"/>
      <c r="BPP40" s="41"/>
      <c r="BPQ40" s="41"/>
      <c r="BPR40" s="41"/>
      <c r="BPS40" s="41"/>
      <c r="BPT40" s="41"/>
      <c r="BPU40" s="41"/>
      <c r="BPV40" s="41"/>
      <c r="BPW40" s="41"/>
      <c r="BPX40" s="41"/>
      <c r="BPY40" s="41"/>
      <c r="BPZ40" s="41"/>
      <c r="BQA40" s="41"/>
      <c r="BQB40" s="41"/>
      <c r="BQC40" s="41"/>
      <c r="BQD40" s="41"/>
      <c r="BQE40" s="41"/>
      <c r="BQF40" s="41"/>
      <c r="BQG40" s="41"/>
      <c r="BQH40" s="41"/>
      <c r="BQI40" s="41"/>
      <c r="BQJ40" s="41"/>
      <c r="BQK40" s="41"/>
      <c r="BQL40" s="41"/>
      <c r="BQM40" s="41"/>
      <c r="BQN40" s="41"/>
      <c r="BQO40" s="41"/>
      <c r="BQP40" s="41"/>
      <c r="BQQ40" s="41"/>
      <c r="BQR40" s="41"/>
      <c r="BQS40" s="41"/>
      <c r="BQT40" s="41"/>
      <c r="BQU40" s="41"/>
      <c r="BQV40" s="41"/>
      <c r="BQW40" s="41"/>
      <c r="BQX40" s="41"/>
      <c r="BQY40" s="41"/>
      <c r="BQZ40" s="41"/>
      <c r="BRA40" s="41"/>
      <c r="BRB40" s="41"/>
      <c r="BRC40" s="41"/>
      <c r="BRD40" s="41"/>
      <c r="BRE40" s="41"/>
      <c r="BRF40" s="41"/>
      <c r="BRG40" s="41"/>
      <c r="BRH40" s="41"/>
      <c r="BRI40" s="41"/>
      <c r="BRJ40" s="41"/>
      <c r="BRK40" s="41"/>
      <c r="BRL40" s="41"/>
      <c r="BRM40" s="41"/>
      <c r="BRN40" s="41"/>
      <c r="BRO40" s="41"/>
      <c r="BRP40" s="41"/>
      <c r="BRQ40" s="41"/>
      <c r="BRR40" s="41"/>
      <c r="BRS40" s="41"/>
      <c r="BRT40" s="41"/>
      <c r="BRU40" s="41"/>
      <c r="BRV40" s="41"/>
      <c r="BRW40" s="41"/>
      <c r="BRX40" s="41"/>
      <c r="BRY40" s="41"/>
      <c r="BRZ40" s="41"/>
      <c r="BSA40" s="41"/>
      <c r="BSB40" s="41"/>
      <c r="BSC40" s="41"/>
      <c r="BSD40" s="41"/>
      <c r="BSE40" s="41"/>
      <c r="BSF40" s="41"/>
      <c r="BSG40" s="41"/>
      <c r="BSH40" s="41"/>
      <c r="BSI40" s="41"/>
      <c r="BSJ40" s="41"/>
      <c r="BSK40" s="41"/>
      <c r="BSL40" s="41"/>
      <c r="BSM40" s="41"/>
      <c r="BSN40" s="41"/>
      <c r="BSO40" s="41"/>
      <c r="BSP40" s="41"/>
      <c r="BSQ40" s="41"/>
      <c r="BSR40" s="41"/>
      <c r="BSS40" s="41"/>
      <c r="BST40" s="41"/>
      <c r="BSU40" s="41"/>
      <c r="BSV40" s="41"/>
      <c r="BSW40" s="41"/>
      <c r="BSX40" s="41"/>
      <c r="BSY40" s="41"/>
      <c r="BSZ40" s="41"/>
      <c r="BTA40" s="41"/>
      <c r="BTB40" s="41"/>
      <c r="BTC40" s="41"/>
      <c r="BTD40" s="41"/>
      <c r="BTE40" s="41"/>
      <c r="BTF40" s="41"/>
      <c r="BTG40" s="41"/>
      <c r="BTH40" s="41"/>
      <c r="BTI40" s="41"/>
      <c r="BTJ40" s="41"/>
      <c r="BTK40" s="41"/>
      <c r="BTL40" s="41"/>
      <c r="BTM40" s="41"/>
      <c r="BTN40" s="41"/>
      <c r="BTO40" s="41"/>
      <c r="BTP40" s="41"/>
      <c r="BTQ40" s="41"/>
      <c r="BTR40" s="41"/>
      <c r="BTS40" s="41"/>
      <c r="BTT40" s="41"/>
      <c r="BTU40" s="41"/>
      <c r="BTV40" s="41"/>
      <c r="BTW40" s="41"/>
      <c r="BTX40" s="41"/>
      <c r="BTY40" s="41"/>
      <c r="BTZ40" s="41"/>
      <c r="BUA40" s="41"/>
      <c r="BUB40" s="41"/>
      <c r="BUC40" s="41"/>
      <c r="BUD40" s="41"/>
      <c r="BUE40" s="41"/>
      <c r="BUF40" s="41"/>
      <c r="BUG40" s="41"/>
      <c r="BUH40" s="41"/>
      <c r="BUI40" s="41"/>
      <c r="BUJ40" s="41"/>
      <c r="BUK40" s="41"/>
      <c r="BUL40" s="41"/>
      <c r="BUM40" s="41"/>
      <c r="BUN40" s="41"/>
      <c r="BUO40" s="41"/>
      <c r="BUP40" s="41"/>
      <c r="BUQ40" s="41"/>
      <c r="BUR40" s="41"/>
      <c r="BUS40" s="41"/>
      <c r="BUT40" s="41"/>
      <c r="BUU40" s="41"/>
      <c r="BUV40" s="41"/>
      <c r="BUW40" s="41"/>
      <c r="BUX40" s="41"/>
      <c r="BUY40" s="41"/>
      <c r="BUZ40" s="41"/>
      <c r="BVA40" s="41"/>
      <c r="BVB40" s="41"/>
      <c r="BVC40" s="41"/>
      <c r="BVD40" s="41"/>
      <c r="BVE40" s="41"/>
      <c r="BVF40" s="41"/>
      <c r="BVG40" s="41"/>
      <c r="BVH40" s="41"/>
      <c r="BVI40" s="41"/>
      <c r="BVJ40" s="41"/>
      <c r="BVK40" s="41"/>
      <c r="BVL40" s="41"/>
      <c r="BVM40" s="41"/>
      <c r="BVN40" s="41"/>
      <c r="BVO40" s="41"/>
      <c r="BVP40" s="41"/>
      <c r="BVQ40" s="41"/>
      <c r="BVR40" s="41"/>
      <c r="BVS40" s="41"/>
      <c r="BVT40" s="41"/>
      <c r="BVU40" s="41"/>
      <c r="BVV40" s="41"/>
      <c r="BVW40" s="41"/>
      <c r="BVX40" s="41"/>
      <c r="BVY40" s="41"/>
      <c r="BVZ40" s="41"/>
      <c r="BWA40" s="41"/>
      <c r="BWB40" s="41"/>
      <c r="BWC40" s="41"/>
      <c r="BWD40" s="41"/>
      <c r="BWE40" s="41"/>
      <c r="BWF40" s="41"/>
      <c r="BWG40" s="41"/>
      <c r="BWH40" s="41"/>
      <c r="BWI40" s="41"/>
      <c r="BWJ40" s="41"/>
      <c r="BWK40" s="41"/>
      <c r="BWL40" s="41"/>
      <c r="BWM40" s="41"/>
      <c r="BWN40" s="41"/>
      <c r="BWO40" s="41"/>
      <c r="BWP40" s="41"/>
      <c r="BWQ40" s="41"/>
      <c r="BWR40" s="41"/>
      <c r="BWS40" s="41"/>
      <c r="BWT40" s="41"/>
      <c r="BWU40" s="41"/>
      <c r="BWV40" s="41"/>
      <c r="BWW40" s="41"/>
      <c r="BWX40" s="41"/>
      <c r="BWY40" s="41"/>
      <c r="BWZ40" s="41"/>
      <c r="BXA40" s="41"/>
      <c r="BXB40" s="41"/>
      <c r="BXC40" s="41"/>
      <c r="BXD40" s="41"/>
      <c r="BXE40" s="41"/>
      <c r="BXF40" s="41"/>
      <c r="BXG40" s="41"/>
      <c r="BXH40" s="41"/>
      <c r="BXI40" s="41"/>
      <c r="BXJ40" s="41"/>
      <c r="BXK40" s="41"/>
      <c r="BXL40" s="41"/>
      <c r="BXM40" s="41"/>
      <c r="BXN40" s="41"/>
      <c r="BXO40" s="41"/>
      <c r="BXP40" s="41"/>
      <c r="BXQ40" s="41"/>
      <c r="BXR40" s="41"/>
      <c r="BXS40" s="41"/>
      <c r="BXT40" s="41"/>
      <c r="BXU40" s="41"/>
      <c r="BXV40" s="41"/>
      <c r="BXW40" s="41"/>
      <c r="BXX40" s="41"/>
      <c r="BXY40" s="41"/>
      <c r="BXZ40" s="41"/>
      <c r="BYA40" s="41"/>
      <c r="BYB40" s="41"/>
      <c r="BYC40" s="41"/>
      <c r="BYD40" s="41"/>
      <c r="BYE40" s="41"/>
      <c r="BYF40" s="41"/>
      <c r="BYG40" s="41"/>
      <c r="BYH40" s="41"/>
      <c r="BYI40" s="41"/>
      <c r="BYJ40" s="41"/>
      <c r="BYK40" s="41"/>
      <c r="BYL40" s="41"/>
      <c r="BYM40" s="41"/>
      <c r="BYN40" s="41"/>
      <c r="BYO40" s="41"/>
      <c r="BYP40" s="41"/>
      <c r="BYQ40" s="41"/>
      <c r="BYR40" s="41"/>
      <c r="BYS40" s="41"/>
      <c r="BYT40" s="41"/>
      <c r="BYU40" s="41"/>
      <c r="BYV40" s="41"/>
      <c r="BYW40" s="41"/>
      <c r="BYX40" s="41"/>
      <c r="BYY40" s="41"/>
      <c r="BYZ40" s="41"/>
      <c r="BZA40" s="41"/>
      <c r="BZB40" s="41"/>
      <c r="BZC40" s="41"/>
      <c r="BZD40" s="41"/>
      <c r="BZE40" s="41"/>
      <c r="BZF40" s="41"/>
      <c r="BZG40" s="41"/>
      <c r="BZH40" s="41"/>
      <c r="BZI40" s="41"/>
      <c r="BZJ40" s="41"/>
      <c r="BZK40" s="41"/>
      <c r="BZL40" s="41"/>
      <c r="BZM40" s="41"/>
      <c r="BZN40" s="41"/>
      <c r="BZO40" s="41"/>
      <c r="BZP40" s="41"/>
      <c r="BZQ40" s="41"/>
      <c r="BZR40" s="41"/>
      <c r="BZS40" s="41"/>
      <c r="BZT40" s="41"/>
      <c r="BZU40" s="41"/>
      <c r="BZV40" s="41"/>
      <c r="BZW40" s="41"/>
      <c r="BZX40" s="41"/>
      <c r="BZY40" s="41"/>
      <c r="BZZ40" s="41"/>
      <c r="CAA40" s="41"/>
      <c r="CAB40" s="41"/>
      <c r="CAC40" s="41"/>
      <c r="CAD40" s="41"/>
      <c r="CAE40" s="41"/>
      <c r="CAF40" s="41"/>
      <c r="CAG40" s="41"/>
      <c r="CAH40" s="41"/>
      <c r="CAI40" s="41"/>
      <c r="CAJ40" s="41"/>
      <c r="CAK40" s="41"/>
      <c r="CAL40" s="41"/>
      <c r="CAM40" s="41"/>
      <c r="CAN40" s="41"/>
      <c r="CAO40" s="41"/>
      <c r="CAP40" s="41"/>
      <c r="CAQ40" s="41"/>
      <c r="CAR40" s="41"/>
      <c r="CAS40" s="41"/>
      <c r="CAT40" s="41"/>
      <c r="CAU40" s="41"/>
      <c r="CAV40" s="41"/>
      <c r="CAW40" s="41"/>
      <c r="CAX40" s="41"/>
      <c r="CAY40" s="41"/>
      <c r="CAZ40" s="41"/>
      <c r="CBA40" s="41"/>
      <c r="CBB40" s="41"/>
      <c r="CBC40" s="41"/>
      <c r="CBD40" s="41"/>
      <c r="CBE40" s="41"/>
      <c r="CBF40" s="41"/>
      <c r="CBG40" s="41"/>
      <c r="CBH40" s="41"/>
    </row>
    <row r="41" spans="1:2088" x14ac:dyDescent="0.2">
      <c r="A41" s="1" t="s">
        <v>44</v>
      </c>
      <c r="B41" s="51"/>
    </row>
    <row r="42" spans="1:2088" x14ac:dyDescent="0.2">
      <c r="A42" s="1" t="s">
        <v>56</v>
      </c>
      <c r="B42" s="51"/>
    </row>
    <row r="43" spans="1:2088" x14ac:dyDescent="0.2">
      <c r="A43" s="1" t="s">
        <v>166</v>
      </c>
      <c r="B43" s="51"/>
    </row>
    <row r="44" spans="1:2088" x14ac:dyDescent="0.2">
      <c r="A44" s="1" t="s">
        <v>51</v>
      </c>
      <c r="B44" s="51"/>
    </row>
    <row r="45" spans="1:2088" x14ac:dyDescent="0.2">
      <c r="A45" s="1" t="s">
        <v>160</v>
      </c>
      <c r="B45" s="51"/>
    </row>
    <row r="46" spans="1:2088" x14ac:dyDescent="0.2">
      <c r="A46" s="1" t="s">
        <v>52</v>
      </c>
      <c r="B46" s="51"/>
    </row>
    <row r="47" spans="1:2088" x14ac:dyDescent="0.2">
      <c r="A47" s="1" t="s">
        <v>53</v>
      </c>
      <c r="B47" s="51"/>
    </row>
    <row r="48" spans="1:2088" x14ac:dyDescent="0.2">
      <c r="A48" s="1" t="s">
        <v>54</v>
      </c>
      <c r="B48" s="51"/>
    </row>
    <row r="49" spans="1:111" x14ac:dyDescent="0.2">
      <c r="A49" s="1" t="s">
        <v>55</v>
      </c>
      <c r="B49" s="51"/>
    </row>
    <row r="50" spans="1:111" x14ac:dyDescent="0.2">
      <c r="A50" s="1" t="s">
        <v>60</v>
      </c>
      <c r="B50" s="22"/>
      <c r="DG50" s="40"/>
    </row>
    <row r="51" spans="1:111" x14ac:dyDescent="0.2">
      <c r="A51" s="1" t="s">
        <v>61</v>
      </c>
      <c r="B51" s="22"/>
      <c r="DG51" s="40"/>
    </row>
    <row r="52" spans="1:111" x14ac:dyDescent="0.2">
      <c r="A52" s="1" t="s">
        <v>59</v>
      </c>
      <c r="B52" s="51"/>
    </row>
    <row r="53" spans="1:111" x14ac:dyDescent="0.2">
      <c r="A53" s="1" t="s">
        <v>75</v>
      </c>
      <c r="B53" s="22"/>
    </row>
    <row r="54" spans="1:111" x14ac:dyDescent="0.2">
      <c r="A54" s="1" t="s">
        <v>74</v>
      </c>
      <c r="B54" s="22"/>
    </row>
    <row r="55" spans="1:111" x14ac:dyDescent="0.2">
      <c r="A55" s="1" t="s">
        <v>77</v>
      </c>
      <c r="B55" s="22"/>
    </row>
    <row r="56" spans="1:111" x14ac:dyDescent="0.2">
      <c r="A56" s="1" t="s">
        <v>73</v>
      </c>
      <c r="B56" s="22"/>
    </row>
    <row r="57" spans="1:111" x14ac:dyDescent="0.2">
      <c r="A57" s="1" t="s">
        <v>63</v>
      </c>
      <c r="B57" s="22"/>
    </row>
    <row r="58" spans="1:111" x14ac:dyDescent="0.2">
      <c r="A58" s="1" t="s">
        <v>64</v>
      </c>
      <c r="B58" s="22"/>
    </row>
    <row r="59" spans="1:111" x14ac:dyDescent="0.2">
      <c r="A59" s="1" t="s">
        <v>65</v>
      </c>
      <c r="B59" s="22"/>
    </row>
    <row r="60" spans="1:111" x14ac:dyDescent="0.2">
      <c r="A60" s="1" t="s">
        <v>66</v>
      </c>
      <c r="B60" s="22"/>
    </row>
    <row r="61" spans="1:111" x14ac:dyDescent="0.2">
      <c r="A61" s="1" t="s">
        <v>67</v>
      </c>
      <c r="B61" s="22"/>
    </row>
    <row r="62" spans="1:111" x14ac:dyDescent="0.2">
      <c r="A62" s="1" t="s">
        <v>68</v>
      </c>
      <c r="B62" s="22"/>
    </row>
    <row r="63" spans="1:111" x14ac:dyDescent="0.2">
      <c r="A63" s="1" t="s">
        <v>69</v>
      </c>
      <c r="B63" s="22"/>
    </row>
    <row r="64" spans="1:111" x14ac:dyDescent="0.2">
      <c r="A64" s="1" t="s">
        <v>70</v>
      </c>
      <c r="B64" s="22"/>
    </row>
    <row r="65" spans="1:2088" x14ac:dyDescent="0.2">
      <c r="A65" s="1" t="s">
        <v>71</v>
      </c>
      <c r="B65" s="22"/>
    </row>
    <row r="66" spans="1:2088" x14ac:dyDescent="0.2">
      <c r="A66" s="1" t="s">
        <v>76</v>
      </c>
      <c r="B66" s="22"/>
    </row>
    <row r="67" spans="1:2088" x14ac:dyDescent="0.2">
      <c r="A67" s="1" t="s">
        <v>72</v>
      </c>
      <c r="B67" s="22"/>
    </row>
    <row r="68" spans="1:2088" x14ac:dyDescent="0.2">
      <c r="A68" s="1" t="s">
        <v>161</v>
      </c>
      <c r="B68" s="28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1"/>
      <c r="MI68" s="41"/>
      <c r="MJ68" s="41"/>
      <c r="MK68" s="41"/>
      <c r="ML68" s="41"/>
      <c r="MM68" s="41"/>
      <c r="MN68" s="41"/>
      <c r="MO68" s="41"/>
      <c r="MP68" s="41"/>
      <c r="MQ68" s="41"/>
      <c r="MR68" s="41"/>
      <c r="MS68" s="41"/>
      <c r="MT68" s="41"/>
      <c r="MU68" s="41"/>
      <c r="MV68" s="41"/>
      <c r="MW68" s="41"/>
      <c r="MX68" s="41"/>
      <c r="MY68" s="41"/>
      <c r="MZ68" s="41"/>
      <c r="NA68" s="41"/>
      <c r="NB68" s="41"/>
      <c r="NC68" s="41"/>
      <c r="ND68" s="41"/>
      <c r="NE68" s="41"/>
      <c r="NF68" s="41"/>
      <c r="NG68" s="41"/>
      <c r="NH68" s="41"/>
      <c r="NI68" s="41"/>
      <c r="NJ68" s="41"/>
      <c r="NK68" s="41"/>
      <c r="NL68" s="41"/>
      <c r="NM68" s="41"/>
      <c r="NN68" s="41"/>
      <c r="NO68" s="41"/>
      <c r="NP68" s="41"/>
      <c r="NQ68" s="41"/>
      <c r="NR68" s="41"/>
      <c r="NS68" s="41"/>
      <c r="NT68" s="41"/>
      <c r="NU68" s="41"/>
      <c r="NV68" s="41"/>
      <c r="NW68" s="41"/>
      <c r="NX68" s="41"/>
      <c r="NY68" s="41"/>
      <c r="NZ68" s="41"/>
      <c r="OA68" s="41"/>
      <c r="OB68" s="41"/>
      <c r="OC68" s="41"/>
      <c r="OD68" s="41"/>
      <c r="OE68" s="41"/>
      <c r="OF68" s="41"/>
      <c r="OG68" s="41"/>
      <c r="OH68" s="41"/>
      <c r="OI68" s="41"/>
      <c r="OJ68" s="41"/>
      <c r="OK68" s="41"/>
      <c r="OL68" s="41"/>
      <c r="OM68" s="41"/>
      <c r="ON68" s="41"/>
      <c r="OO68" s="41"/>
      <c r="OP68" s="41"/>
      <c r="OQ68" s="41"/>
      <c r="OR68" s="41"/>
      <c r="OS68" s="41"/>
      <c r="OT68" s="41"/>
      <c r="OU68" s="41"/>
      <c r="OV68" s="41"/>
      <c r="OW68" s="41"/>
      <c r="OX68" s="41"/>
      <c r="OY68" s="41"/>
      <c r="OZ68" s="41"/>
      <c r="PA68" s="41"/>
      <c r="PB68" s="41"/>
      <c r="PC68" s="41"/>
      <c r="PD68" s="41"/>
      <c r="PE68" s="41"/>
      <c r="PF68" s="41"/>
      <c r="PG68" s="41"/>
      <c r="PH68" s="41"/>
      <c r="PI68" s="41"/>
      <c r="PJ68" s="41"/>
      <c r="PK68" s="41"/>
      <c r="PL68" s="41"/>
      <c r="PM68" s="41"/>
      <c r="PN68" s="41"/>
      <c r="PO68" s="41"/>
      <c r="PP68" s="41"/>
      <c r="PQ68" s="41"/>
      <c r="PR68" s="41"/>
      <c r="PS68" s="41"/>
      <c r="PT68" s="41"/>
      <c r="PU68" s="41"/>
      <c r="PV68" s="41"/>
      <c r="PW68" s="41"/>
      <c r="PX68" s="41"/>
      <c r="PY68" s="41"/>
      <c r="PZ68" s="41"/>
      <c r="QA68" s="41"/>
      <c r="QB68" s="41"/>
      <c r="QC68" s="41"/>
      <c r="QD68" s="41"/>
      <c r="QE68" s="41"/>
      <c r="QF68" s="41"/>
      <c r="QG68" s="41"/>
      <c r="QH68" s="41"/>
      <c r="QI68" s="41"/>
      <c r="QJ68" s="41"/>
      <c r="QK68" s="41"/>
      <c r="QL68" s="41"/>
      <c r="QM68" s="41"/>
      <c r="QN68" s="41"/>
      <c r="QO68" s="41"/>
      <c r="QP68" s="41"/>
      <c r="QQ68" s="41"/>
      <c r="QR68" s="41"/>
      <c r="QS68" s="41"/>
      <c r="QT68" s="41"/>
      <c r="QU68" s="41"/>
      <c r="QV68" s="41"/>
      <c r="QW68" s="41"/>
      <c r="QX68" s="41"/>
      <c r="QY68" s="41"/>
      <c r="QZ68" s="41"/>
      <c r="RA68" s="41"/>
      <c r="RB68" s="41"/>
      <c r="RC68" s="41"/>
      <c r="RD68" s="41"/>
      <c r="RE68" s="41"/>
      <c r="RF68" s="41"/>
      <c r="RG68" s="41"/>
      <c r="RH68" s="41"/>
      <c r="RI68" s="41"/>
      <c r="RJ68" s="41"/>
      <c r="RK68" s="41"/>
      <c r="RL68" s="41"/>
      <c r="RM68" s="41"/>
      <c r="RN68" s="41"/>
      <c r="RO68" s="41"/>
      <c r="RP68" s="41"/>
      <c r="RQ68" s="41"/>
      <c r="RR68" s="41"/>
      <c r="RS68" s="41"/>
      <c r="RT68" s="41"/>
      <c r="RU68" s="41"/>
      <c r="RV68" s="41"/>
      <c r="RW68" s="41"/>
      <c r="RX68" s="41"/>
      <c r="RY68" s="41"/>
      <c r="RZ68" s="41"/>
      <c r="SA68" s="41"/>
      <c r="SB68" s="41"/>
      <c r="SC68" s="41"/>
      <c r="SD68" s="41"/>
      <c r="SE68" s="41"/>
      <c r="SF68" s="41"/>
      <c r="SG68" s="41"/>
      <c r="SH68" s="41"/>
      <c r="SI68" s="41"/>
      <c r="SJ68" s="41"/>
      <c r="SK68" s="41"/>
      <c r="SL68" s="41"/>
      <c r="SM68" s="41"/>
      <c r="SN68" s="41"/>
      <c r="SO68" s="41"/>
      <c r="SP68" s="41"/>
      <c r="SQ68" s="41"/>
      <c r="SR68" s="41"/>
      <c r="SS68" s="41"/>
      <c r="ST68" s="41"/>
      <c r="SU68" s="41"/>
      <c r="SV68" s="41"/>
      <c r="SW68" s="41"/>
      <c r="SX68" s="41"/>
      <c r="SY68" s="41"/>
      <c r="SZ68" s="41"/>
      <c r="TA68" s="41"/>
      <c r="TB68" s="41"/>
      <c r="TC68" s="41"/>
      <c r="TD68" s="41"/>
      <c r="TE68" s="41"/>
      <c r="TF68" s="41"/>
      <c r="TG68" s="41"/>
      <c r="TH68" s="41"/>
      <c r="TI68" s="41"/>
      <c r="TJ68" s="41"/>
      <c r="TK68" s="41"/>
      <c r="TL68" s="41"/>
      <c r="TM68" s="41"/>
      <c r="TN68" s="41"/>
      <c r="TO68" s="41"/>
      <c r="TP68" s="41"/>
      <c r="TQ68" s="41"/>
      <c r="TR68" s="41"/>
      <c r="TS68" s="41"/>
      <c r="TT68" s="41"/>
      <c r="TU68" s="41"/>
      <c r="TV68" s="41"/>
      <c r="TW68" s="41"/>
      <c r="TX68" s="41"/>
      <c r="TY68" s="41"/>
      <c r="TZ68" s="41"/>
      <c r="UA68" s="41"/>
      <c r="UB68" s="41"/>
      <c r="UC68" s="41"/>
      <c r="UD68" s="41"/>
      <c r="UE68" s="41"/>
      <c r="UF68" s="41"/>
      <c r="UG68" s="41"/>
      <c r="UH68" s="41"/>
      <c r="UI68" s="41"/>
      <c r="UJ68" s="41"/>
      <c r="UK68" s="41"/>
      <c r="UL68" s="41"/>
      <c r="UM68" s="41"/>
      <c r="UN68" s="41"/>
      <c r="UO68" s="41"/>
      <c r="UP68" s="41"/>
      <c r="UQ68" s="41"/>
      <c r="UR68" s="41"/>
      <c r="US68" s="41"/>
      <c r="UT68" s="41"/>
      <c r="UU68" s="41"/>
      <c r="UV68" s="41"/>
      <c r="UW68" s="41"/>
      <c r="UX68" s="41"/>
      <c r="UY68" s="41"/>
      <c r="UZ68" s="41"/>
      <c r="VA68" s="41"/>
      <c r="VB68" s="41"/>
      <c r="VC68" s="41"/>
      <c r="VD68" s="41"/>
      <c r="VE68" s="41"/>
      <c r="VF68" s="41"/>
      <c r="VG68" s="41"/>
      <c r="VH68" s="41"/>
      <c r="VI68" s="41"/>
      <c r="VJ68" s="41"/>
      <c r="VK68" s="41"/>
      <c r="VL68" s="41"/>
      <c r="VM68" s="41"/>
      <c r="VN68" s="41"/>
      <c r="VO68" s="41"/>
      <c r="VP68" s="41"/>
      <c r="VQ68" s="41"/>
      <c r="VR68" s="41"/>
      <c r="VS68" s="41"/>
      <c r="VT68" s="41"/>
      <c r="VU68" s="41"/>
      <c r="VV68" s="41"/>
      <c r="VW68" s="41"/>
      <c r="VX68" s="41"/>
      <c r="VY68" s="41"/>
      <c r="VZ68" s="41"/>
      <c r="WA68" s="41"/>
      <c r="WB68" s="41"/>
      <c r="WC68" s="41"/>
      <c r="WD68" s="41"/>
      <c r="WE68" s="41"/>
      <c r="WF68" s="41"/>
      <c r="WG68" s="41"/>
      <c r="WH68" s="41"/>
      <c r="WI68" s="41"/>
      <c r="WJ68" s="41"/>
      <c r="WK68" s="41"/>
      <c r="WL68" s="41"/>
      <c r="WM68" s="41"/>
      <c r="WN68" s="41"/>
      <c r="WO68" s="41"/>
      <c r="WP68" s="41"/>
      <c r="WQ68" s="41"/>
      <c r="WR68" s="41"/>
      <c r="WS68" s="41"/>
      <c r="WT68" s="41"/>
      <c r="WU68" s="41"/>
      <c r="WV68" s="41"/>
      <c r="WW68" s="41"/>
      <c r="WX68" s="41"/>
      <c r="WY68" s="41"/>
      <c r="WZ68" s="41"/>
      <c r="XA68" s="41"/>
      <c r="XB68" s="41"/>
      <c r="XC68" s="41"/>
      <c r="XD68" s="41"/>
      <c r="XE68" s="41"/>
      <c r="XF68" s="41"/>
      <c r="XG68" s="41"/>
      <c r="XH68" s="41"/>
      <c r="XI68" s="41"/>
      <c r="XJ68" s="41"/>
      <c r="XK68" s="41"/>
      <c r="XL68" s="41"/>
      <c r="XM68" s="41"/>
      <c r="XN68" s="41"/>
      <c r="XO68" s="41"/>
      <c r="XP68" s="41"/>
      <c r="XQ68" s="41"/>
      <c r="XR68" s="41"/>
      <c r="XS68" s="41"/>
      <c r="XT68" s="41"/>
      <c r="XU68" s="41"/>
      <c r="XV68" s="41"/>
      <c r="XW68" s="41"/>
      <c r="XX68" s="41"/>
      <c r="XY68" s="41"/>
      <c r="XZ68" s="41"/>
      <c r="YA68" s="41"/>
      <c r="YB68" s="41"/>
      <c r="YC68" s="41"/>
      <c r="YD68" s="41"/>
      <c r="YE68" s="41"/>
      <c r="YF68" s="41"/>
      <c r="YG68" s="41"/>
      <c r="YH68" s="41"/>
      <c r="YI68" s="41"/>
      <c r="YJ68" s="41"/>
      <c r="YK68" s="41"/>
      <c r="YL68" s="41"/>
      <c r="YM68" s="41"/>
      <c r="YN68" s="41"/>
      <c r="YO68" s="41"/>
      <c r="YP68" s="41"/>
      <c r="YQ68" s="41"/>
      <c r="YR68" s="41"/>
      <c r="YS68" s="41"/>
      <c r="YT68" s="41"/>
      <c r="YU68" s="41"/>
      <c r="YV68" s="41"/>
      <c r="YW68" s="41"/>
      <c r="YX68" s="41"/>
      <c r="YY68" s="41"/>
      <c r="YZ68" s="41"/>
      <c r="ZA68" s="41"/>
      <c r="ZB68" s="41"/>
      <c r="ZC68" s="41"/>
      <c r="ZD68" s="41"/>
      <c r="ZE68" s="41"/>
      <c r="ZF68" s="41"/>
      <c r="ZG68" s="41"/>
      <c r="ZH68" s="41"/>
      <c r="ZI68" s="41"/>
      <c r="ZJ68" s="41"/>
      <c r="ZK68" s="41"/>
      <c r="ZL68" s="41"/>
      <c r="ZM68" s="41"/>
      <c r="ZN68" s="41"/>
      <c r="ZO68" s="41"/>
      <c r="ZP68" s="41"/>
      <c r="ZQ68" s="41"/>
      <c r="ZR68" s="41"/>
      <c r="ZS68" s="41"/>
      <c r="ZT68" s="41"/>
      <c r="ZU68" s="41"/>
      <c r="ZV68" s="41"/>
      <c r="ZW68" s="41"/>
      <c r="ZX68" s="41"/>
      <c r="ZY68" s="41"/>
      <c r="ZZ68" s="41"/>
      <c r="AAA68" s="41"/>
      <c r="AAB68" s="41"/>
      <c r="AAC68" s="41"/>
      <c r="AAD68" s="41"/>
      <c r="AAE68" s="41"/>
      <c r="AAF68" s="41"/>
      <c r="AAG68" s="41"/>
      <c r="AAH68" s="41"/>
      <c r="AAI68" s="41"/>
      <c r="AAJ68" s="41"/>
      <c r="AAK68" s="41"/>
      <c r="AAL68" s="41"/>
      <c r="AAM68" s="41"/>
      <c r="AAN68" s="41"/>
      <c r="AAO68" s="41"/>
      <c r="AAP68" s="41"/>
      <c r="AAQ68" s="41"/>
      <c r="AAR68" s="41"/>
      <c r="AAS68" s="41"/>
      <c r="AAT68" s="41"/>
      <c r="AAU68" s="41"/>
      <c r="AAV68" s="41"/>
      <c r="AAW68" s="41"/>
      <c r="AAX68" s="41"/>
      <c r="AAY68" s="41"/>
      <c r="AAZ68" s="41"/>
      <c r="ABA68" s="41"/>
      <c r="ABB68" s="41"/>
      <c r="ABC68" s="41"/>
      <c r="ABD68" s="41"/>
      <c r="ABE68" s="41"/>
      <c r="ABF68" s="41"/>
      <c r="ABG68" s="41"/>
      <c r="ABH68" s="41"/>
      <c r="ABI68" s="41"/>
      <c r="ABJ68" s="41"/>
      <c r="ABK68" s="41"/>
      <c r="ABL68" s="41"/>
      <c r="ABM68" s="41"/>
      <c r="ABN68" s="41"/>
      <c r="ABO68" s="41"/>
      <c r="ABP68" s="41"/>
      <c r="ABQ68" s="41"/>
      <c r="ABR68" s="41"/>
      <c r="ABS68" s="41"/>
      <c r="ABT68" s="41"/>
      <c r="ABU68" s="41"/>
      <c r="ABV68" s="41"/>
      <c r="ABW68" s="41"/>
      <c r="ABX68" s="41"/>
      <c r="ABY68" s="41"/>
      <c r="ABZ68" s="41"/>
      <c r="ACA68" s="41"/>
      <c r="ACB68" s="41"/>
      <c r="ACC68" s="41"/>
      <c r="ACD68" s="41"/>
      <c r="ACE68" s="41"/>
      <c r="ACF68" s="41"/>
      <c r="ACG68" s="41"/>
      <c r="ACH68" s="41"/>
      <c r="ACI68" s="41"/>
      <c r="ACJ68" s="41"/>
      <c r="ACK68" s="41"/>
      <c r="ACL68" s="41"/>
      <c r="ACM68" s="41"/>
      <c r="ACN68" s="41"/>
      <c r="ACO68" s="41"/>
      <c r="ACP68" s="41"/>
      <c r="ACQ68" s="41"/>
      <c r="ACR68" s="41"/>
      <c r="ACS68" s="41"/>
      <c r="ACT68" s="41"/>
      <c r="ACU68" s="41"/>
      <c r="ACV68" s="41"/>
      <c r="ACW68" s="41"/>
      <c r="ACX68" s="41"/>
      <c r="ACY68" s="41"/>
      <c r="ACZ68" s="41"/>
      <c r="ADA68" s="41"/>
      <c r="ADB68" s="41"/>
      <c r="ADC68" s="41"/>
      <c r="ADD68" s="41"/>
      <c r="ADE68" s="41"/>
      <c r="ADF68" s="41"/>
      <c r="ADG68" s="41"/>
      <c r="ADH68" s="41"/>
      <c r="ADI68" s="41"/>
      <c r="ADJ68" s="41"/>
      <c r="ADK68" s="41"/>
      <c r="ADL68" s="41"/>
      <c r="ADM68" s="41"/>
      <c r="ADN68" s="41"/>
      <c r="ADO68" s="41"/>
      <c r="ADP68" s="41"/>
      <c r="ADQ68" s="41"/>
      <c r="ADR68" s="41"/>
      <c r="ADS68" s="41"/>
      <c r="ADT68" s="41"/>
      <c r="ADU68" s="41"/>
      <c r="ADV68" s="41"/>
      <c r="ADW68" s="41"/>
      <c r="ADX68" s="41"/>
      <c r="ADY68" s="41"/>
      <c r="ADZ68" s="41"/>
      <c r="AEA68" s="41"/>
      <c r="AEB68" s="41"/>
      <c r="AEC68" s="41"/>
      <c r="AED68" s="41"/>
      <c r="AEE68" s="41"/>
      <c r="AEF68" s="41"/>
      <c r="AEG68" s="41"/>
      <c r="AEH68" s="41"/>
      <c r="AEI68" s="41"/>
      <c r="AEJ68" s="41"/>
      <c r="AEK68" s="41"/>
      <c r="AEL68" s="41"/>
      <c r="AEM68" s="41"/>
      <c r="AEN68" s="41"/>
      <c r="AEO68" s="41"/>
      <c r="AEP68" s="41"/>
      <c r="AEQ68" s="41"/>
      <c r="AER68" s="41"/>
      <c r="AES68" s="41"/>
      <c r="AET68" s="41"/>
      <c r="AEU68" s="41"/>
      <c r="AEV68" s="41"/>
      <c r="AEW68" s="41"/>
      <c r="AEX68" s="41"/>
      <c r="AEY68" s="41"/>
      <c r="AEZ68" s="41"/>
      <c r="AFA68" s="41"/>
      <c r="AFB68" s="41"/>
      <c r="AFC68" s="41"/>
      <c r="AFD68" s="41"/>
      <c r="AFE68" s="41"/>
      <c r="AFF68" s="41"/>
      <c r="AFG68" s="41"/>
      <c r="AFH68" s="41"/>
      <c r="AFI68" s="41"/>
      <c r="AFJ68" s="41"/>
      <c r="AFK68" s="41"/>
      <c r="AFL68" s="41"/>
      <c r="AFM68" s="41"/>
      <c r="AFN68" s="41"/>
      <c r="AFO68" s="41"/>
      <c r="AFP68" s="41"/>
      <c r="AFQ68" s="41"/>
      <c r="AFR68" s="41"/>
      <c r="AFS68" s="41"/>
      <c r="AFT68" s="41"/>
      <c r="AFU68" s="41"/>
      <c r="AFV68" s="41"/>
      <c r="AFW68" s="41"/>
      <c r="AFX68" s="41"/>
      <c r="AFY68" s="41"/>
      <c r="AFZ68" s="41"/>
      <c r="AGA68" s="41"/>
      <c r="AGB68" s="41"/>
      <c r="AGC68" s="41"/>
      <c r="AGD68" s="41"/>
      <c r="AGE68" s="41"/>
      <c r="AGF68" s="41"/>
      <c r="AGG68" s="41"/>
      <c r="AGH68" s="41"/>
      <c r="AGI68" s="41"/>
      <c r="AGJ68" s="41"/>
      <c r="AGK68" s="41"/>
      <c r="AGL68" s="41"/>
      <c r="AGM68" s="41"/>
      <c r="AGN68" s="41"/>
      <c r="AGO68" s="41"/>
      <c r="AGP68" s="41"/>
      <c r="AGQ68" s="41"/>
      <c r="AGR68" s="41"/>
      <c r="AGS68" s="41"/>
      <c r="AGT68" s="41"/>
      <c r="AGU68" s="41"/>
      <c r="AGV68" s="41"/>
      <c r="AGW68" s="41"/>
      <c r="AGX68" s="41"/>
      <c r="AGY68" s="41"/>
      <c r="AGZ68" s="41"/>
      <c r="AHA68" s="41"/>
      <c r="AHB68" s="41"/>
      <c r="AHC68" s="41"/>
      <c r="AHD68" s="41"/>
      <c r="AHE68" s="41"/>
      <c r="AHF68" s="41"/>
      <c r="AHG68" s="41"/>
      <c r="AHH68" s="41"/>
      <c r="AHI68" s="41"/>
      <c r="AHJ68" s="41"/>
      <c r="AHK68" s="41"/>
      <c r="AHL68" s="41"/>
      <c r="AHM68" s="41"/>
      <c r="AHN68" s="41"/>
      <c r="AHO68" s="41"/>
      <c r="AHP68" s="41"/>
      <c r="AHQ68" s="41"/>
      <c r="AHR68" s="41"/>
      <c r="AHS68" s="41"/>
      <c r="AHT68" s="41"/>
      <c r="AHU68" s="41"/>
      <c r="AHV68" s="41"/>
      <c r="AHW68" s="41"/>
      <c r="AHX68" s="41"/>
      <c r="AHY68" s="41"/>
      <c r="AHZ68" s="41"/>
      <c r="AIA68" s="41"/>
      <c r="AIB68" s="41"/>
      <c r="AIC68" s="41"/>
      <c r="AID68" s="41"/>
      <c r="AIE68" s="41"/>
      <c r="AIF68" s="41"/>
      <c r="AIG68" s="41"/>
      <c r="AIH68" s="41"/>
      <c r="AII68" s="41"/>
      <c r="AIJ68" s="41"/>
      <c r="AIK68" s="41"/>
      <c r="AIL68" s="41"/>
      <c r="AIM68" s="41"/>
      <c r="AIN68" s="41"/>
      <c r="AIO68" s="41"/>
      <c r="AIP68" s="41"/>
      <c r="AIQ68" s="41"/>
      <c r="AIR68" s="41"/>
      <c r="AIS68" s="41"/>
      <c r="AIT68" s="41"/>
      <c r="AIU68" s="41"/>
      <c r="AIV68" s="41"/>
      <c r="AIW68" s="41"/>
      <c r="AIX68" s="41"/>
      <c r="AIY68" s="41"/>
      <c r="AIZ68" s="41"/>
      <c r="AJA68" s="41"/>
      <c r="AJB68" s="41"/>
      <c r="AJC68" s="41"/>
      <c r="AJD68" s="41"/>
      <c r="AJE68" s="41"/>
      <c r="AJF68" s="41"/>
      <c r="AJG68" s="41"/>
      <c r="AJH68" s="41"/>
      <c r="AJI68" s="41"/>
      <c r="AJJ68" s="41"/>
      <c r="AJK68" s="41"/>
      <c r="AJL68" s="41"/>
      <c r="AJM68" s="41"/>
      <c r="AJN68" s="41"/>
      <c r="AJO68" s="41"/>
      <c r="AJP68" s="41"/>
      <c r="AJQ68" s="41"/>
      <c r="AJR68" s="41"/>
      <c r="AJS68" s="41"/>
      <c r="AJT68" s="41"/>
      <c r="AJU68" s="41"/>
      <c r="AJV68" s="41"/>
      <c r="AJW68" s="41"/>
      <c r="AJX68" s="41"/>
      <c r="AJY68" s="41"/>
      <c r="AJZ68" s="41"/>
      <c r="AKA68" s="41"/>
      <c r="AKB68" s="41"/>
      <c r="AKC68" s="41"/>
      <c r="AKD68" s="41"/>
      <c r="AKE68" s="41"/>
      <c r="AKF68" s="41"/>
      <c r="AKG68" s="41"/>
      <c r="AKH68" s="41"/>
      <c r="AKI68" s="41"/>
      <c r="AKJ68" s="41"/>
      <c r="AKK68" s="41"/>
      <c r="AKL68" s="41"/>
      <c r="AKM68" s="41"/>
      <c r="AKN68" s="41"/>
      <c r="AKO68" s="41"/>
      <c r="AKP68" s="41"/>
      <c r="AKQ68" s="41"/>
      <c r="AKR68" s="41"/>
      <c r="AKS68" s="41"/>
      <c r="AKT68" s="41"/>
      <c r="AKU68" s="41"/>
      <c r="AKV68" s="41"/>
      <c r="AKW68" s="41"/>
      <c r="AKX68" s="41"/>
      <c r="AKY68" s="41"/>
      <c r="AKZ68" s="41"/>
      <c r="ALA68" s="41"/>
      <c r="ALB68" s="41"/>
      <c r="ALC68" s="41"/>
      <c r="ALD68" s="41"/>
      <c r="ALE68" s="41"/>
      <c r="ALF68" s="41"/>
      <c r="ALG68" s="41"/>
      <c r="ALH68" s="41"/>
      <c r="ALI68" s="41"/>
      <c r="ALJ68" s="41"/>
      <c r="ALK68" s="41"/>
      <c r="ALL68" s="41"/>
      <c r="ALM68" s="41"/>
      <c r="ALN68" s="41"/>
      <c r="ALO68" s="41"/>
      <c r="ALP68" s="41"/>
      <c r="ALQ68" s="41"/>
      <c r="ALR68" s="41"/>
      <c r="ALS68" s="41"/>
      <c r="ALT68" s="41"/>
      <c r="ALU68" s="41"/>
      <c r="ALV68" s="41"/>
      <c r="ALW68" s="41"/>
      <c r="ALX68" s="41"/>
      <c r="ALY68" s="41"/>
      <c r="ALZ68" s="41"/>
      <c r="AMA68" s="41"/>
      <c r="AMB68" s="41"/>
      <c r="AMC68" s="41"/>
      <c r="AMD68" s="41"/>
      <c r="AME68" s="41"/>
      <c r="AMF68" s="41"/>
      <c r="AMG68" s="41"/>
      <c r="AMH68" s="41"/>
      <c r="AMI68" s="41"/>
      <c r="AMJ68" s="41"/>
      <c r="AMK68" s="41"/>
      <c r="AML68" s="41"/>
      <c r="AMM68" s="41"/>
      <c r="AMN68" s="41"/>
      <c r="AMO68" s="41"/>
      <c r="AMP68" s="41"/>
      <c r="AMQ68" s="41"/>
      <c r="AMR68" s="41"/>
      <c r="AMS68" s="41"/>
      <c r="AMT68" s="41"/>
      <c r="AMU68" s="41"/>
      <c r="AMV68" s="41"/>
      <c r="AMW68" s="41"/>
      <c r="AMX68" s="41"/>
      <c r="AMY68" s="41"/>
      <c r="AMZ68" s="41"/>
      <c r="ANA68" s="41"/>
      <c r="ANB68" s="41"/>
      <c r="ANC68" s="41"/>
      <c r="AND68" s="41"/>
      <c r="ANE68" s="41"/>
      <c r="ANF68" s="41"/>
      <c r="ANG68" s="41"/>
      <c r="ANH68" s="41"/>
      <c r="ANI68" s="41"/>
      <c r="ANJ68" s="41"/>
      <c r="ANK68" s="41"/>
      <c r="ANL68" s="41"/>
      <c r="ANM68" s="41"/>
      <c r="ANN68" s="41"/>
      <c r="ANO68" s="41"/>
      <c r="ANP68" s="41"/>
      <c r="ANQ68" s="41"/>
      <c r="ANR68" s="41"/>
      <c r="ANS68" s="41"/>
      <c r="ANT68" s="41"/>
      <c r="ANU68" s="41"/>
      <c r="ANV68" s="41"/>
      <c r="ANW68" s="41"/>
      <c r="ANX68" s="41"/>
      <c r="ANY68" s="41"/>
      <c r="ANZ68" s="41"/>
      <c r="AOA68" s="41"/>
      <c r="AOB68" s="41"/>
      <c r="AOC68" s="41"/>
      <c r="AOD68" s="41"/>
      <c r="AOE68" s="41"/>
      <c r="AOF68" s="41"/>
      <c r="AOG68" s="41"/>
      <c r="AOH68" s="41"/>
      <c r="AOI68" s="41"/>
      <c r="AOJ68" s="41"/>
      <c r="AOK68" s="41"/>
      <c r="AOL68" s="41"/>
      <c r="AOM68" s="41"/>
      <c r="AON68" s="41"/>
      <c r="AOO68" s="41"/>
      <c r="AOP68" s="41"/>
      <c r="AOQ68" s="41"/>
      <c r="AOR68" s="41"/>
      <c r="AOS68" s="41"/>
      <c r="AOT68" s="41"/>
      <c r="AOU68" s="41"/>
      <c r="AOV68" s="41"/>
      <c r="AOW68" s="41"/>
      <c r="AOX68" s="41"/>
      <c r="AOY68" s="41"/>
      <c r="AOZ68" s="41"/>
      <c r="APA68" s="41"/>
      <c r="APB68" s="41"/>
      <c r="APC68" s="41"/>
      <c r="APD68" s="41"/>
      <c r="APE68" s="41"/>
      <c r="APF68" s="41"/>
      <c r="APG68" s="41"/>
      <c r="APH68" s="41"/>
      <c r="API68" s="41"/>
      <c r="APJ68" s="41"/>
      <c r="APK68" s="41"/>
      <c r="APL68" s="41"/>
      <c r="APM68" s="41"/>
      <c r="APN68" s="41"/>
      <c r="APO68" s="41"/>
      <c r="APP68" s="41"/>
      <c r="APQ68" s="41"/>
      <c r="APR68" s="41"/>
      <c r="APS68" s="41"/>
      <c r="APT68" s="41"/>
      <c r="APU68" s="41"/>
      <c r="APV68" s="41"/>
      <c r="APW68" s="41"/>
      <c r="APX68" s="41"/>
      <c r="APY68" s="41"/>
      <c r="APZ68" s="41"/>
      <c r="AQA68" s="41"/>
      <c r="AQB68" s="41"/>
      <c r="AQC68" s="41"/>
      <c r="AQD68" s="41"/>
      <c r="AQE68" s="41"/>
      <c r="AQF68" s="41"/>
      <c r="AQG68" s="41"/>
      <c r="AQH68" s="41"/>
      <c r="AQI68" s="41"/>
      <c r="AQJ68" s="41"/>
      <c r="AQK68" s="41"/>
      <c r="AQL68" s="41"/>
      <c r="AQM68" s="41"/>
      <c r="AQN68" s="41"/>
      <c r="AQO68" s="41"/>
      <c r="AQP68" s="41"/>
      <c r="AQQ68" s="41"/>
      <c r="AQR68" s="41"/>
      <c r="AQS68" s="41"/>
      <c r="AQT68" s="41"/>
      <c r="AQU68" s="41"/>
      <c r="AQV68" s="41"/>
      <c r="AQW68" s="41"/>
      <c r="AQX68" s="41"/>
      <c r="AQY68" s="41"/>
      <c r="AQZ68" s="41"/>
      <c r="ARA68" s="41"/>
      <c r="ARB68" s="41"/>
      <c r="ARC68" s="41"/>
      <c r="ARD68" s="41"/>
      <c r="ARE68" s="41"/>
      <c r="ARF68" s="41"/>
      <c r="ARG68" s="41"/>
      <c r="ARH68" s="41"/>
      <c r="ARI68" s="41"/>
      <c r="ARJ68" s="41"/>
      <c r="ARK68" s="41"/>
      <c r="ARL68" s="41"/>
      <c r="ARM68" s="41"/>
      <c r="ARN68" s="41"/>
      <c r="ARO68" s="41"/>
      <c r="ARP68" s="41"/>
      <c r="ARQ68" s="41"/>
      <c r="ARR68" s="41"/>
      <c r="ARS68" s="41"/>
      <c r="ART68" s="41"/>
      <c r="ARU68" s="41"/>
      <c r="ARV68" s="41"/>
      <c r="ARW68" s="41"/>
      <c r="ARX68" s="41"/>
      <c r="ARY68" s="41"/>
      <c r="ARZ68" s="41"/>
      <c r="ASA68" s="41"/>
      <c r="ASB68" s="41"/>
      <c r="ASC68" s="41"/>
      <c r="ASD68" s="41"/>
      <c r="ASE68" s="41"/>
      <c r="ASF68" s="41"/>
      <c r="ASG68" s="41"/>
      <c r="ASH68" s="41"/>
      <c r="ASI68" s="41"/>
      <c r="ASJ68" s="41"/>
      <c r="ASK68" s="41"/>
      <c r="ASL68" s="41"/>
      <c r="ASM68" s="41"/>
      <c r="ASN68" s="41"/>
      <c r="ASO68" s="41"/>
      <c r="ASP68" s="41"/>
      <c r="ASQ68" s="41"/>
      <c r="ASR68" s="41"/>
      <c r="ASS68" s="41"/>
      <c r="AST68" s="41"/>
      <c r="ASU68" s="41"/>
      <c r="ASV68" s="41"/>
      <c r="ASW68" s="41"/>
      <c r="ASX68" s="41"/>
      <c r="ASY68" s="41"/>
      <c r="ASZ68" s="41"/>
      <c r="ATA68" s="41"/>
      <c r="ATB68" s="41"/>
      <c r="ATC68" s="41"/>
      <c r="ATD68" s="41"/>
      <c r="ATE68" s="41"/>
      <c r="ATF68" s="41"/>
      <c r="ATG68" s="41"/>
      <c r="ATH68" s="41"/>
      <c r="ATI68" s="41"/>
      <c r="ATJ68" s="41"/>
      <c r="ATK68" s="41"/>
      <c r="ATL68" s="41"/>
      <c r="ATM68" s="41"/>
      <c r="ATN68" s="41"/>
      <c r="ATO68" s="41"/>
      <c r="ATP68" s="41"/>
      <c r="ATQ68" s="41"/>
      <c r="ATR68" s="41"/>
      <c r="ATS68" s="41"/>
      <c r="ATT68" s="41"/>
      <c r="ATU68" s="41"/>
      <c r="ATV68" s="41"/>
      <c r="ATW68" s="41"/>
      <c r="ATX68" s="41"/>
      <c r="ATY68" s="41"/>
      <c r="ATZ68" s="41"/>
      <c r="AUA68" s="41"/>
      <c r="AUB68" s="41"/>
      <c r="AUC68" s="41"/>
      <c r="AUD68" s="41"/>
      <c r="AUE68" s="41"/>
      <c r="AUF68" s="41"/>
      <c r="AUG68" s="41"/>
      <c r="AUH68" s="41"/>
      <c r="AUI68" s="41"/>
      <c r="AUJ68" s="41"/>
      <c r="AUK68" s="41"/>
      <c r="AUL68" s="41"/>
      <c r="AUM68" s="41"/>
      <c r="AUN68" s="41"/>
      <c r="AUO68" s="41"/>
      <c r="AUP68" s="41"/>
      <c r="AUQ68" s="41"/>
      <c r="AUR68" s="41"/>
      <c r="AUS68" s="41"/>
      <c r="AUT68" s="41"/>
      <c r="AUU68" s="41"/>
      <c r="AUV68" s="41"/>
      <c r="AUW68" s="41"/>
      <c r="AUX68" s="41"/>
      <c r="AUY68" s="41"/>
      <c r="AUZ68" s="41"/>
      <c r="AVA68" s="41"/>
      <c r="AVB68" s="41"/>
      <c r="AVC68" s="41"/>
      <c r="AVD68" s="41"/>
      <c r="AVE68" s="41"/>
      <c r="AVF68" s="41"/>
      <c r="AVG68" s="41"/>
      <c r="AVH68" s="41"/>
      <c r="AVI68" s="41"/>
      <c r="AVJ68" s="41"/>
      <c r="AVK68" s="41"/>
      <c r="AVL68" s="41"/>
      <c r="AVM68" s="41"/>
      <c r="AVN68" s="41"/>
      <c r="AVO68" s="41"/>
      <c r="AVP68" s="41"/>
      <c r="AVQ68" s="41"/>
      <c r="AVR68" s="41"/>
      <c r="AVS68" s="41"/>
      <c r="AVT68" s="41"/>
      <c r="AVU68" s="41"/>
      <c r="AVV68" s="41"/>
      <c r="AVW68" s="41"/>
      <c r="AVX68" s="41"/>
      <c r="AVY68" s="41"/>
      <c r="AVZ68" s="41"/>
      <c r="AWA68" s="41"/>
      <c r="AWB68" s="41"/>
      <c r="AWC68" s="41"/>
      <c r="AWD68" s="41"/>
      <c r="AWE68" s="41"/>
      <c r="AWF68" s="41"/>
      <c r="AWG68" s="41"/>
      <c r="AWH68" s="41"/>
      <c r="AWI68" s="41"/>
      <c r="AWJ68" s="41"/>
      <c r="AWK68" s="41"/>
      <c r="AWL68" s="41"/>
      <c r="AWM68" s="41"/>
      <c r="AWN68" s="41"/>
      <c r="AWO68" s="41"/>
      <c r="AWP68" s="41"/>
      <c r="AWQ68" s="41"/>
      <c r="AWR68" s="41"/>
      <c r="AWS68" s="41"/>
      <c r="AWT68" s="41"/>
      <c r="AWU68" s="41"/>
      <c r="AWV68" s="41"/>
      <c r="AWW68" s="41"/>
      <c r="AWX68" s="41"/>
      <c r="AWY68" s="41"/>
      <c r="AWZ68" s="41"/>
      <c r="AXA68" s="41"/>
      <c r="AXB68" s="41"/>
      <c r="AXC68" s="41"/>
      <c r="AXD68" s="41"/>
      <c r="AXE68" s="41"/>
      <c r="AXF68" s="41"/>
      <c r="AXG68" s="41"/>
      <c r="AXH68" s="41"/>
      <c r="AXI68" s="41"/>
      <c r="AXJ68" s="41"/>
      <c r="AXK68" s="41"/>
      <c r="AXL68" s="41"/>
      <c r="AXM68" s="41"/>
      <c r="AXN68" s="41"/>
      <c r="AXO68" s="41"/>
      <c r="AXP68" s="41"/>
      <c r="AXQ68" s="41"/>
      <c r="AXR68" s="41"/>
      <c r="AXS68" s="41"/>
      <c r="AXT68" s="41"/>
      <c r="AXU68" s="41"/>
      <c r="AXV68" s="41"/>
      <c r="AXW68" s="41"/>
      <c r="AXX68" s="41"/>
      <c r="AXY68" s="41"/>
      <c r="AXZ68" s="41"/>
      <c r="AYA68" s="41"/>
      <c r="AYB68" s="41"/>
      <c r="AYC68" s="41"/>
      <c r="AYD68" s="41"/>
      <c r="AYE68" s="41"/>
      <c r="AYF68" s="41"/>
      <c r="AYG68" s="41"/>
      <c r="AYH68" s="41"/>
      <c r="AYI68" s="41"/>
      <c r="AYJ68" s="41"/>
      <c r="AYK68" s="41"/>
      <c r="AYL68" s="41"/>
      <c r="AYM68" s="41"/>
      <c r="AYN68" s="41"/>
      <c r="AYO68" s="41"/>
      <c r="AYP68" s="41"/>
      <c r="AYQ68" s="41"/>
      <c r="AYR68" s="41"/>
      <c r="AYS68" s="41"/>
      <c r="AYT68" s="41"/>
      <c r="AYU68" s="41"/>
      <c r="AYV68" s="41"/>
      <c r="AYW68" s="41"/>
      <c r="AYX68" s="41"/>
      <c r="AYY68" s="41"/>
      <c r="AYZ68" s="41"/>
      <c r="AZA68" s="41"/>
      <c r="AZB68" s="41"/>
      <c r="AZC68" s="41"/>
      <c r="AZD68" s="41"/>
      <c r="AZE68" s="41"/>
      <c r="AZF68" s="41"/>
      <c r="AZG68" s="41"/>
      <c r="AZH68" s="41"/>
      <c r="AZI68" s="41"/>
      <c r="AZJ68" s="41"/>
      <c r="AZK68" s="41"/>
      <c r="AZL68" s="41"/>
      <c r="AZM68" s="41"/>
      <c r="AZN68" s="41"/>
      <c r="AZO68" s="41"/>
      <c r="AZP68" s="41"/>
      <c r="AZQ68" s="41"/>
      <c r="AZR68" s="41"/>
      <c r="AZS68" s="41"/>
      <c r="AZT68" s="41"/>
      <c r="AZU68" s="41"/>
      <c r="AZV68" s="41"/>
      <c r="AZW68" s="41"/>
      <c r="AZX68" s="41"/>
      <c r="AZY68" s="41"/>
      <c r="AZZ68" s="41"/>
      <c r="BAA68" s="41"/>
      <c r="BAB68" s="41"/>
      <c r="BAC68" s="41"/>
      <c r="BAD68" s="41"/>
      <c r="BAE68" s="41"/>
      <c r="BAF68" s="41"/>
      <c r="BAG68" s="41"/>
      <c r="BAH68" s="41"/>
      <c r="BAI68" s="41"/>
      <c r="BAJ68" s="41"/>
      <c r="BAK68" s="41"/>
      <c r="BAL68" s="41"/>
      <c r="BAM68" s="41"/>
      <c r="BAN68" s="41"/>
      <c r="BAO68" s="41"/>
      <c r="BAP68" s="41"/>
      <c r="BAQ68" s="41"/>
      <c r="BAR68" s="41"/>
      <c r="BAS68" s="41"/>
      <c r="BAT68" s="41"/>
      <c r="BAU68" s="41"/>
      <c r="BAV68" s="41"/>
      <c r="BAW68" s="41"/>
      <c r="BAX68" s="41"/>
      <c r="BAY68" s="41"/>
      <c r="BAZ68" s="41"/>
      <c r="BBA68" s="41"/>
      <c r="BBB68" s="41"/>
      <c r="BBC68" s="41"/>
      <c r="BBD68" s="41"/>
      <c r="BBE68" s="41"/>
      <c r="BBF68" s="41"/>
      <c r="BBG68" s="41"/>
      <c r="BBH68" s="41"/>
      <c r="BBI68" s="41"/>
      <c r="BBJ68" s="41"/>
      <c r="BBK68" s="41"/>
      <c r="BBL68" s="41"/>
      <c r="BBM68" s="41"/>
      <c r="BBN68" s="41"/>
      <c r="BBO68" s="41"/>
      <c r="BBP68" s="41"/>
      <c r="BBQ68" s="41"/>
      <c r="BBR68" s="41"/>
      <c r="BBS68" s="41"/>
      <c r="BBT68" s="41"/>
      <c r="BBU68" s="41"/>
      <c r="BBV68" s="41"/>
      <c r="BBW68" s="41"/>
      <c r="BBX68" s="41"/>
      <c r="BBY68" s="41"/>
      <c r="BBZ68" s="41"/>
      <c r="BCA68" s="41"/>
      <c r="BCB68" s="41"/>
      <c r="BCC68" s="41"/>
      <c r="BCD68" s="41"/>
      <c r="BCE68" s="41"/>
      <c r="BCF68" s="41"/>
      <c r="BCG68" s="41"/>
      <c r="BCH68" s="41"/>
      <c r="BCI68" s="41"/>
      <c r="BCJ68" s="41"/>
      <c r="BCK68" s="41"/>
      <c r="BCL68" s="41"/>
      <c r="BCM68" s="41"/>
      <c r="BCN68" s="41"/>
      <c r="BCO68" s="41"/>
      <c r="BCP68" s="41"/>
      <c r="BCQ68" s="41"/>
      <c r="BCR68" s="41"/>
      <c r="BCS68" s="41"/>
      <c r="BCT68" s="41"/>
      <c r="BCU68" s="41"/>
      <c r="BCV68" s="41"/>
      <c r="BCW68" s="41"/>
      <c r="BCX68" s="41"/>
      <c r="BCY68" s="41"/>
      <c r="BCZ68" s="41"/>
      <c r="BDA68" s="41"/>
      <c r="BDB68" s="41"/>
      <c r="BDC68" s="41"/>
      <c r="BDD68" s="41"/>
      <c r="BDE68" s="41"/>
      <c r="BDF68" s="41"/>
      <c r="BDG68" s="41"/>
      <c r="BDH68" s="41"/>
      <c r="BDI68" s="41"/>
      <c r="BDJ68" s="41"/>
      <c r="BDK68" s="41"/>
      <c r="BDL68" s="41"/>
      <c r="BDM68" s="41"/>
      <c r="BDN68" s="41"/>
      <c r="BDO68" s="41"/>
      <c r="BDP68" s="41"/>
      <c r="BDQ68" s="41"/>
      <c r="BDR68" s="41"/>
      <c r="BDS68" s="41"/>
      <c r="BDT68" s="41"/>
      <c r="BDU68" s="41"/>
      <c r="BDV68" s="41"/>
      <c r="BDW68" s="41"/>
      <c r="BDX68" s="41"/>
      <c r="BDY68" s="41"/>
      <c r="BDZ68" s="41"/>
      <c r="BEA68" s="41"/>
      <c r="BEB68" s="41"/>
      <c r="BEC68" s="41"/>
      <c r="BED68" s="41"/>
      <c r="BEE68" s="41"/>
      <c r="BEF68" s="41"/>
      <c r="BEG68" s="41"/>
      <c r="BEH68" s="41"/>
      <c r="BEI68" s="41"/>
      <c r="BEJ68" s="41"/>
      <c r="BEK68" s="41"/>
      <c r="BEL68" s="41"/>
      <c r="BEM68" s="41"/>
      <c r="BEN68" s="41"/>
      <c r="BEO68" s="41"/>
      <c r="BEP68" s="41"/>
      <c r="BEQ68" s="41"/>
      <c r="BER68" s="41"/>
      <c r="BES68" s="41"/>
      <c r="BET68" s="41"/>
      <c r="BEU68" s="41"/>
      <c r="BEV68" s="41"/>
      <c r="BEW68" s="41"/>
      <c r="BEX68" s="41"/>
      <c r="BEY68" s="41"/>
      <c r="BEZ68" s="41"/>
      <c r="BFA68" s="41"/>
      <c r="BFB68" s="41"/>
      <c r="BFC68" s="41"/>
      <c r="BFD68" s="41"/>
      <c r="BFE68" s="41"/>
      <c r="BFF68" s="41"/>
      <c r="BFG68" s="41"/>
      <c r="BFH68" s="41"/>
      <c r="BFI68" s="41"/>
      <c r="BFJ68" s="41"/>
      <c r="BFK68" s="41"/>
      <c r="BFL68" s="41"/>
      <c r="BFM68" s="41"/>
      <c r="BFN68" s="41"/>
      <c r="BFO68" s="41"/>
      <c r="BFP68" s="41"/>
      <c r="BFQ68" s="41"/>
      <c r="BFR68" s="41"/>
      <c r="BFS68" s="41"/>
      <c r="BFT68" s="41"/>
      <c r="BFU68" s="41"/>
      <c r="BFV68" s="41"/>
      <c r="BFW68" s="41"/>
      <c r="BFX68" s="41"/>
      <c r="BFY68" s="41"/>
      <c r="BFZ68" s="41"/>
      <c r="BGA68" s="41"/>
      <c r="BGB68" s="41"/>
      <c r="BGC68" s="41"/>
      <c r="BGD68" s="41"/>
      <c r="BGE68" s="41"/>
      <c r="BGF68" s="41"/>
      <c r="BGG68" s="41"/>
      <c r="BGH68" s="41"/>
      <c r="BGI68" s="41"/>
      <c r="BGJ68" s="41"/>
      <c r="BGK68" s="41"/>
      <c r="BGL68" s="41"/>
      <c r="BGM68" s="41"/>
      <c r="BGN68" s="41"/>
      <c r="BGO68" s="41"/>
      <c r="BGP68" s="41"/>
      <c r="BGQ68" s="41"/>
      <c r="BGR68" s="41"/>
      <c r="BGS68" s="41"/>
      <c r="BGT68" s="41"/>
      <c r="BGU68" s="41"/>
      <c r="BGV68" s="41"/>
      <c r="BGW68" s="41"/>
      <c r="BGX68" s="41"/>
      <c r="BGY68" s="41"/>
      <c r="BGZ68" s="41"/>
      <c r="BHA68" s="41"/>
      <c r="BHB68" s="41"/>
      <c r="BHC68" s="41"/>
      <c r="BHD68" s="41"/>
      <c r="BHE68" s="41"/>
      <c r="BHF68" s="41"/>
      <c r="BHG68" s="41"/>
      <c r="BHH68" s="41"/>
      <c r="BHI68" s="41"/>
      <c r="BHJ68" s="41"/>
      <c r="BHK68" s="41"/>
      <c r="BHL68" s="41"/>
      <c r="BHM68" s="41"/>
      <c r="BHN68" s="41"/>
      <c r="BHO68" s="41"/>
      <c r="BHP68" s="41"/>
      <c r="BHQ68" s="41"/>
      <c r="BHR68" s="41"/>
      <c r="BHS68" s="41"/>
      <c r="BHT68" s="41"/>
      <c r="BHU68" s="41"/>
      <c r="BHV68" s="41"/>
      <c r="BHW68" s="41"/>
      <c r="BHX68" s="41"/>
      <c r="BHY68" s="41"/>
      <c r="BHZ68" s="41"/>
      <c r="BIA68" s="41"/>
      <c r="BIB68" s="41"/>
      <c r="BIC68" s="41"/>
      <c r="BID68" s="41"/>
      <c r="BIE68" s="41"/>
      <c r="BIF68" s="41"/>
      <c r="BIG68" s="41"/>
      <c r="BIH68" s="41"/>
      <c r="BII68" s="41"/>
      <c r="BIJ68" s="41"/>
      <c r="BIK68" s="41"/>
      <c r="BIL68" s="41"/>
      <c r="BIM68" s="41"/>
      <c r="BIN68" s="41"/>
      <c r="BIO68" s="41"/>
      <c r="BIP68" s="41"/>
      <c r="BIQ68" s="41"/>
      <c r="BIR68" s="41"/>
      <c r="BIS68" s="41"/>
      <c r="BIT68" s="41"/>
      <c r="BIU68" s="41"/>
      <c r="BIV68" s="41"/>
      <c r="BIW68" s="41"/>
      <c r="BIX68" s="41"/>
      <c r="BIY68" s="41"/>
      <c r="BIZ68" s="41"/>
      <c r="BJA68" s="41"/>
      <c r="BJB68" s="41"/>
      <c r="BJC68" s="41"/>
      <c r="BJD68" s="41"/>
      <c r="BJE68" s="41"/>
      <c r="BJF68" s="41"/>
      <c r="BJG68" s="41"/>
      <c r="BJH68" s="41"/>
      <c r="BJI68" s="41"/>
      <c r="BJJ68" s="41"/>
      <c r="BJK68" s="41"/>
      <c r="BJL68" s="41"/>
      <c r="BJM68" s="41"/>
      <c r="BJN68" s="41"/>
      <c r="BJO68" s="41"/>
      <c r="BJP68" s="41"/>
      <c r="BJQ68" s="41"/>
      <c r="BJR68" s="41"/>
      <c r="BJS68" s="41"/>
      <c r="BJT68" s="41"/>
      <c r="BJU68" s="41"/>
      <c r="BJV68" s="41"/>
      <c r="BJW68" s="41"/>
      <c r="BJX68" s="41"/>
      <c r="BJY68" s="41"/>
      <c r="BJZ68" s="41"/>
      <c r="BKA68" s="41"/>
      <c r="BKB68" s="41"/>
      <c r="BKC68" s="41"/>
      <c r="BKD68" s="41"/>
      <c r="BKE68" s="41"/>
      <c r="BKF68" s="41"/>
      <c r="BKG68" s="41"/>
      <c r="BKH68" s="41"/>
      <c r="BKI68" s="41"/>
      <c r="BKJ68" s="41"/>
      <c r="BKK68" s="41"/>
      <c r="BKL68" s="41"/>
      <c r="BKM68" s="41"/>
      <c r="BKN68" s="41"/>
      <c r="BKO68" s="41"/>
      <c r="BKP68" s="41"/>
      <c r="BKQ68" s="41"/>
      <c r="BKR68" s="41"/>
      <c r="BKS68" s="41"/>
      <c r="BKT68" s="41"/>
      <c r="BKU68" s="41"/>
      <c r="BKV68" s="41"/>
      <c r="BKW68" s="41"/>
      <c r="BKX68" s="41"/>
      <c r="BKY68" s="41"/>
      <c r="BKZ68" s="41"/>
      <c r="BLA68" s="41"/>
      <c r="BLB68" s="41"/>
      <c r="BLC68" s="41"/>
      <c r="BLD68" s="41"/>
      <c r="BLE68" s="41"/>
      <c r="BLF68" s="41"/>
      <c r="BLG68" s="41"/>
      <c r="BLH68" s="41"/>
      <c r="BLI68" s="41"/>
      <c r="BLJ68" s="41"/>
      <c r="BLK68" s="41"/>
      <c r="BLL68" s="41"/>
      <c r="BLM68" s="41"/>
      <c r="BLN68" s="41"/>
      <c r="BLO68" s="41"/>
      <c r="BLP68" s="41"/>
      <c r="BLQ68" s="41"/>
      <c r="BLR68" s="41"/>
      <c r="BLS68" s="41"/>
      <c r="BLT68" s="41"/>
      <c r="BLU68" s="41"/>
      <c r="BLV68" s="41"/>
      <c r="BLW68" s="41"/>
      <c r="BLX68" s="41"/>
      <c r="BLY68" s="41"/>
      <c r="BLZ68" s="41"/>
      <c r="BMA68" s="41"/>
      <c r="BMB68" s="41"/>
      <c r="BMC68" s="41"/>
      <c r="BMD68" s="41"/>
      <c r="BME68" s="41"/>
      <c r="BMF68" s="41"/>
      <c r="BMG68" s="41"/>
      <c r="BMH68" s="41"/>
      <c r="BMI68" s="41"/>
      <c r="BMJ68" s="41"/>
      <c r="BMK68" s="41"/>
      <c r="BML68" s="41"/>
      <c r="BMM68" s="41"/>
      <c r="BMN68" s="41"/>
      <c r="BMO68" s="41"/>
      <c r="BMP68" s="41"/>
      <c r="BMQ68" s="41"/>
      <c r="BMR68" s="41"/>
      <c r="BMS68" s="41"/>
      <c r="BMT68" s="41"/>
      <c r="BMU68" s="41"/>
      <c r="BMV68" s="41"/>
      <c r="BMW68" s="41"/>
      <c r="BMX68" s="41"/>
      <c r="BMY68" s="41"/>
      <c r="BMZ68" s="41"/>
      <c r="BNA68" s="41"/>
      <c r="BNB68" s="41"/>
      <c r="BNC68" s="41"/>
      <c r="BND68" s="41"/>
      <c r="BNE68" s="41"/>
      <c r="BNF68" s="41"/>
      <c r="BNG68" s="41"/>
      <c r="BNH68" s="41"/>
      <c r="BNI68" s="41"/>
      <c r="BNJ68" s="41"/>
      <c r="BNK68" s="41"/>
      <c r="BNL68" s="41"/>
      <c r="BNM68" s="41"/>
      <c r="BNN68" s="41"/>
      <c r="BNO68" s="41"/>
      <c r="BNP68" s="41"/>
      <c r="BNQ68" s="41"/>
      <c r="BNR68" s="41"/>
      <c r="BNS68" s="41"/>
      <c r="BNT68" s="41"/>
      <c r="BNU68" s="41"/>
      <c r="BNV68" s="41"/>
      <c r="BNW68" s="41"/>
      <c r="BNX68" s="41"/>
      <c r="BNY68" s="41"/>
      <c r="BNZ68" s="41"/>
      <c r="BOA68" s="41"/>
      <c r="BOB68" s="41"/>
      <c r="BOC68" s="41"/>
      <c r="BOD68" s="41"/>
      <c r="BOE68" s="41"/>
      <c r="BOF68" s="41"/>
      <c r="BOG68" s="41"/>
      <c r="BOH68" s="41"/>
      <c r="BOI68" s="41"/>
      <c r="BOJ68" s="41"/>
      <c r="BOK68" s="41"/>
      <c r="BOL68" s="41"/>
      <c r="BOM68" s="41"/>
      <c r="BON68" s="41"/>
      <c r="BOO68" s="41"/>
      <c r="BOP68" s="41"/>
      <c r="BOQ68" s="41"/>
      <c r="BOR68" s="41"/>
      <c r="BOS68" s="41"/>
      <c r="BOT68" s="41"/>
      <c r="BOU68" s="41"/>
      <c r="BOV68" s="41"/>
      <c r="BOW68" s="41"/>
      <c r="BOX68" s="41"/>
      <c r="BOY68" s="41"/>
      <c r="BOZ68" s="41"/>
      <c r="BPA68" s="41"/>
      <c r="BPB68" s="41"/>
      <c r="BPC68" s="41"/>
      <c r="BPD68" s="41"/>
      <c r="BPE68" s="41"/>
      <c r="BPF68" s="41"/>
      <c r="BPG68" s="41"/>
      <c r="BPH68" s="41"/>
      <c r="BPI68" s="41"/>
      <c r="BPJ68" s="41"/>
      <c r="BPK68" s="41"/>
      <c r="BPL68" s="41"/>
      <c r="BPM68" s="41"/>
      <c r="BPN68" s="41"/>
      <c r="BPO68" s="41"/>
      <c r="BPP68" s="41"/>
      <c r="BPQ68" s="41"/>
      <c r="BPR68" s="41"/>
      <c r="BPS68" s="41"/>
      <c r="BPT68" s="41"/>
      <c r="BPU68" s="41"/>
      <c r="BPV68" s="41"/>
      <c r="BPW68" s="41"/>
      <c r="BPX68" s="41"/>
      <c r="BPY68" s="41"/>
      <c r="BPZ68" s="41"/>
      <c r="BQA68" s="41"/>
      <c r="BQB68" s="41"/>
      <c r="BQC68" s="41"/>
      <c r="BQD68" s="41"/>
      <c r="BQE68" s="41"/>
      <c r="BQF68" s="41"/>
      <c r="BQG68" s="41"/>
      <c r="BQH68" s="41"/>
      <c r="BQI68" s="41"/>
      <c r="BQJ68" s="41"/>
      <c r="BQK68" s="41"/>
      <c r="BQL68" s="41"/>
      <c r="BQM68" s="41"/>
      <c r="BQN68" s="41"/>
      <c r="BQO68" s="41"/>
      <c r="BQP68" s="41"/>
      <c r="BQQ68" s="41"/>
      <c r="BQR68" s="41"/>
      <c r="BQS68" s="41"/>
      <c r="BQT68" s="41"/>
      <c r="BQU68" s="41"/>
      <c r="BQV68" s="41"/>
      <c r="BQW68" s="41"/>
      <c r="BQX68" s="41"/>
      <c r="BQY68" s="41"/>
      <c r="BQZ68" s="41"/>
      <c r="BRA68" s="41"/>
      <c r="BRB68" s="41"/>
      <c r="BRC68" s="41"/>
      <c r="BRD68" s="41"/>
      <c r="BRE68" s="41"/>
      <c r="BRF68" s="41"/>
      <c r="BRG68" s="41"/>
      <c r="BRH68" s="41"/>
      <c r="BRI68" s="41"/>
      <c r="BRJ68" s="41"/>
      <c r="BRK68" s="41"/>
      <c r="BRL68" s="41"/>
      <c r="BRM68" s="41"/>
      <c r="BRN68" s="41"/>
      <c r="BRO68" s="41"/>
      <c r="BRP68" s="41"/>
      <c r="BRQ68" s="41"/>
      <c r="BRR68" s="41"/>
      <c r="BRS68" s="41"/>
      <c r="BRT68" s="41"/>
      <c r="BRU68" s="41"/>
      <c r="BRV68" s="41"/>
      <c r="BRW68" s="41"/>
      <c r="BRX68" s="41"/>
      <c r="BRY68" s="41"/>
      <c r="BRZ68" s="41"/>
      <c r="BSA68" s="41"/>
      <c r="BSB68" s="41"/>
      <c r="BSC68" s="41"/>
      <c r="BSD68" s="41"/>
      <c r="BSE68" s="41"/>
      <c r="BSF68" s="41"/>
      <c r="BSG68" s="41"/>
      <c r="BSH68" s="41"/>
      <c r="BSI68" s="41"/>
      <c r="BSJ68" s="41"/>
      <c r="BSK68" s="41"/>
      <c r="BSL68" s="41"/>
      <c r="BSM68" s="41"/>
      <c r="BSN68" s="41"/>
      <c r="BSO68" s="41"/>
      <c r="BSP68" s="41"/>
      <c r="BSQ68" s="41"/>
      <c r="BSR68" s="41"/>
      <c r="BSS68" s="41"/>
      <c r="BST68" s="41"/>
      <c r="BSU68" s="41"/>
      <c r="BSV68" s="41"/>
      <c r="BSW68" s="41"/>
      <c r="BSX68" s="41"/>
      <c r="BSY68" s="41"/>
      <c r="BSZ68" s="41"/>
      <c r="BTA68" s="41"/>
      <c r="BTB68" s="41"/>
      <c r="BTC68" s="41"/>
      <c r="BTD68" s="41"/>
      <c r="BTE68" s="41"/>
      <c r="BTF68" s="41"/>
      <c r="BTG68" s="41"/>
      <c r="BTH68" s="41"/>
      <c r="BTI68" s="41"/>
      <c r="BTJ68" s="41"/>
      <c r="BTK68" s="41"/>
      <c r="BTL68" s="41"/>
      <c r="BTM68" s="41"/>
      <c r="BTN68" s="41"/>
      <c r="BTO68" s="41"/>
      <c r="BTP68" s="41"/>
      <c r="BTQ68" s="41"/>
      <c r="BTR68" s="41"/>
      <c r="BTS68" s="41"/>
      <c r="BTT68" s="41"/>
      <c r="BTU68" s="41"/>
      <c r="BTV68" s="41"/>
      <c r="BTW68" s="41"/>
      <c r="BTX68" s="41"/>
      <c r="BTY68" s="41"/>
      <c r="BTZ68" s="41"/>
      <c r="BUA68" s="41"/>
      <c r="BUB68" s="41"/>
      <c r="BUC68" s="41"/>
      <c r="BUD68" s="41"/>
      <c r="BUE68" s="41"/>
      <c r="BUF68" s="41"/>
      <c r="BUG68" s="41"/>
      <c r="BUH68" s="41"/>
      <c r="BUI68" s="41"/>
      <c r="BUJ68" s="41"/>
      <c r="BUK68" s="41"/>
      <c r="BUL68" s="41"/>
      <c r="BUM68" s="41"/>
      <c r="BUN68" s="41"/>
      <c r="BUO68" s="41"/>
      <c r="BUP68" s="41"/>
      <c r="BUQ68" s="41"/>
      <c r="BUR68" s="41"/>
      <c r="BUS68" s="41"/>
      <c r="BUT68" s="41"/>
      <c r="BUU68" s="41"/>
      <c r="BUV68" s="41"/>
      <c r="BUW68" s="41"/>
      <c r="BUX68" s="41"/>
      <c r="BUY68" s="41"/>
      <c r="BUZ68" s="41"/>
      <c r="BVA68" s="41"/>
      <c r="BVB68" s="41"/>
      <c r="BVC68" s="41"/>
      <c r="BVD68" s="41"/>
      <c r="BVE68" s="41"/>
      <c r="BVF68" s="41"/>
      <c r="BVG68" s="41"/>
      <c r="BVH68" s="41"/>
      <c r="BVI68" s="41"/>
      <c r="BVJ68" s="41"/>
      <c r="BVK68" s="41"/>
      <c r="BVL68" s="41"/>
      <c r="BVM68" s="41"/>
      <c r="BVN68" s="41"/>
      <c r="BVO68" s="41"/>
      <c r="BVP68" s="41"/>
      <c r="BVQ68" s="41"/>
      <c r="BVR68" s="41"/>
      <c r="BVS68" s="41"/>
      <c r="BVT68" s="41"/>
      <c r="BVU68" s="41"/>
      <c r="BVV68" s="41"/>
      <c r="BVW68" s="41"/>
      <c r="BVX68" s="41"/>
      <c r="BVY68" s="41"/>
      <c r="BVZ68" s="41"/>
      <c r="BWA68" s="41"/>
      <c r="BWB68" s="41"/>
      <c r="BWC68" s="41"/>
      <c r="BWD68" s="41"/>
      <c r="BWE68" s="41"/>
      <c r="BWF68" s="41"/>
      <c r="BWG68" s="41"/>
      <c r="BWH68" s="41"/>
      <c r="BWI68" s="41"/>
      <c r="BWJ68" s="41"/>
      <c r="BWK68" s="41"/>
      <c r="BWL68" s="41"/>
      <c r="BWM68" s="41"/>
      <c r="BWN68" s="41"/>
      <c r="BWO68" s="41"/>
      <c r="BWP68" s="41"/>
      <c r="BWQ68" s="41"/>
      <c r="BWR68" s="41"/>
      <c r="BWS68" s="41"/>
      <c r="BWT68" s="41"/>
      <c r="BWU68" s="41"/>
      <c r="BWV68" s="41"/>
      <c r="BWW68" s="41"/>
      <c r="BWX68" s="41"/>
      <c r="BWY68" s="41"/>
      <c r="BWZ68" s="41"/>
      <c r="BXA68" s="41"/>
      <c r="BXB68" s="41"/>
      <c r="BXC68" s="41"/>
      <c r="BXD68" s="41"/>
      <c r="BXE68" s="41"/>
      <c r="BXF68" s="41"/>
      <c r="BXG68" s="41"/>
      <c r="BXH68" s="41"/>
      <c r="BXI68" s="41"/>
      <c r="BXJ68" s="41"/>
      <c r="BXK68" s="41"/>
      <c r="BXL68" s="41"/>
      <c r="BXM68" s="41"/>
      <c r="BXN68" s="41"/>
      <c r="BXO68" s="41"/>
      <c r="BXP68" s="41"/>
      <c r="BXQ68" s="41"/>
      <c r="BXR68" s="41"/>
      <c r="BXS68" s="41"/>
      <c r="BXT68" s="41"/>
      <c r="BXU68" s="41"/>
      <c r="BXV68" s="41"/>
      <c r="BXW68" s="41"/>
      <c r="BXX68" s="41"/>
      <c r="BXY68" s="41"/>
      <c r="BXZ68" s="41"/>
      <c r="BYA68" s="41"/>
      <c r="BYB68" s="41"/>
      <c r="BYC68" s="41"/>
      <c r="BYD68" s="41"/>
      <c r="BYE68" s="41"/>
      <c r="BYF68" s="41"/>
      <c r="BYG68" s="41"/>
      <c r="BYH68" s="41"/>
      <c r="BYI68" s="41"/>
      <c r="BYJ68" s="41"/>
      <c r="BYK68" s="41"/>
      <c r="BYL68" s="41"/>
      <c r="BYM68" s="41"/>
      <c r="BYN68" s="41"/>
      <c r="BYO68" s="41"/>
      <c r="BYP68" s="41"/>
      <c r="BYQ68" s="41"/>
      <c r="BYR68" s="41"/>
      <c r="BYS68" s="41"/>
      <c r="BYT68" s="41"/>
      <c r="BYU68" s="41"/>
      <c r="BYV68" s="41"/>
      <c r="BYW68" s="41"/>
      <c r="BYX68" s="41"/>
      <c r="BYY68" s="41"/>
      <c r="BYZ68" s="41"/>
      <c r="BZA68" s="41"/>
      <c r="BZB68" s="41"/>
      <c r="BZC68" s="41"/>
      <c r="BZD68" s="41"/>
      <c r="BZE68" s="41"/>
      <c r="BZF68" s="41"/>
      <c r="BZG68" s="41"/>
      <c r="BZH68" s="41"/>
      <c r="BZI68" s="41"/>
      <c r="BZJ68" s="41"/>
      <c r="BZK68" s="41"/>
      <c r="BZL68" s="41"/>
      <c r="BZM68" s="41"/>
      <c r="BZN68" s="41"/>
      <c r="BZO68" s="41"/>
      <c r="BZP68" s="41"/>
      <c r="BZQ68" s="41"/>
      <c r="BZR68" s="41"/>
      <c r="BZS68" s="41"/>
      <c r="BZT68" s="41"/>
      <c r="BZU68" s="41"/>
      <c r="BZV68" s="41"/>
      <c r="BZW68" s="41"/>
      <c r="BZX68" s="41"/>
      <c r="BZY68" s="41"/>
      <c r="BZZ68" s="41"/>
      <c r="CAA68" s="41"/>
      <c r="CAB68" s="41"/>
      <c r="CAC68" s="41"/>
      <c r="CAD68" s="41"/>
      <c r="CAE68" s="41"/>
      <c r="CAF68" s="41"/>
      <c r="CAG68" s="41"/>
      <c r="CAH68" s="41"/>
      <c r="CAI68" s="41"/>
      <c r="CAJ68" s="41"/>
      <c r="CAK68" s="41"/>
      <c r="CAL68" s="41"/>
      <c r="CAM68" s="41"/>
      <c r="CAN68" s="41"/>
      <c r="CAO68" s="41"/>
      <c r="CAP68" s="41"/>
      <c r="CAQ68" s="41"/>
      <c r="CAR68" s="41"/>
      <c r="CAS68" s="41"/>
      <c r="CAT68" s="41"/>
      <c r="CAU68" s="41"/>
      <c r="CAV68" s="41"/>
      <c r="CAW68" s="41"/>
      <c r="CAX68" s="41"/>
      <c r="CAY68" s="41"/>
      <c r="CAZ68" s="41"/>
      <c r="CBA68" s="41"/>
      <c r="CBB68" s="41"/>
      <c r="CBC68" s="41"/>
      <c r="CBD68" s="41"/>
      <c r="CBE68" s="41"/>
      <c r="CBF68" s="41"/>
      <c r="CBG68" s="41"/>
      <c r="CBH68" s="41"/>
    </row>
    <row r="69" spans="1:2088" customFormat="1" x14ac:dyDescent="0.2">
      <c r="A69" s="7" t="s">
        <v>159</v>
      </c>
      <c r="B69" s="50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  <c r="OA69" s="15"/>
      <c r="OB69" s="15"/>
      <c r="OC69" s="15"/>
      <c r="OD69" s="15"/>
      <c r="OE69" s="15"/>
      <c r="OF69" s="15"/>
      <c r="OG69" s="15"/>
      <c r="OH69" s="15"/>
      <c r="OI69" s="15"/>
      <c r="OJ69" s="15"/>
      <c r="OK69" s="15"/>
      <c r="OL69" s="15"/>
      <c r="OM69" s="15"/>
      <c r="ON69" s="15"/>
      <c r="OO69" s="15"/>
      <c r="OP69" s="15"/>
      <c r="OQ69" s="15"/>
      <c r="OR69" s="15"/>
      <c r="OS69" s="15"/>
      <c r="OT69" s="15"/>
      <c r="OU69" s="15"/>
      <c r="OV69" s="15"/>
      <c r="OW69" s="15"/>
      <c r="OX69" s="15"/>
      <c r="OY69" s="15"/>
      <c r="OZ69" s="15"/>
      <c r="PA69" s="15"/>
      <c r="PB69" s="15"/>
      <c r="PC69" s="15"/>
      <c r="PD69" s="15"/>
      <c r="PE69" s="15"/>
      <c r="PF69" s="15"/>
      <c r="PG69" s="15"/>
      <c r="PH69" s="15"/>
      <c r="PI69" s="15"/>
      <c r="PJ69" s="15"/>
      <c r="PK69" s="15"/>
      <c r="PL69" s="15"/>
      <c r="PM69" s="15"/>
      <c r="PN69" s="15"/>
      <c r="PO69" s="15"/>
      <c r="PP69" s="15"/>
      <c r="PQ69" s="15"/>
      <c r="PR69" s="15"/>
      <c r="PS69" s="15"/>
      <c r="PT69" s="15"/>
      <c r="PU69" s="15"/>
      <c r="PV69" s="15"/>
      <c r="PW69" s="15"/>
      <c r="PX69" s="15"/>
      <c r="PY69" s="15"/>
      <c r="PZ69" s="15"/>
      <c r="QA69" s="15"/>
      <c r="QB69" s="15"/>
      <c r="QC69" s="15"/>
      <c r="QD69" s="15"/>
      <c r="QE69" s="15"/>
      <c r="QF69" s="15"/>
      <c r="QG69" s="15"/>
      <c r="QH69" s="15"/>
      <c r="QI69" s="15"/>
      <c r="QJ69" s="15"/>
      <c r="QK69" s="15"/>
      <c r="QL69" s="15"/>
      <c r="QM69" s="15"/>
      <c r="QN69" s="15"/>
      <c r="QO69" s="15"/>
      <c r="QP69" s="15"/>
      <c r="QQ69" s="15"/>
      <c r="QR69" s="15"/>
      <c r="QS69" s="15"/>
      <c r="QT69" s="15"/>
      <c r="QU69" s="15"/>
      <c r="QV69" s="15"/>
      <c r="QW69" s="15"/>
      <c r="QX69" s="15"/>
      <c r="QY69" s="15"/>
      <c r="QZ69" s="15"/>
      <c r="RA69" s="15"/>
      <c r="RB69" s="15"/>
      <c r="RC69" s="15"/>
      <c r="RD69" s="15"/>
      <c r="RE69" s="15"/>
      <c r="RF69" s="15"/>
      <c r="RG69" s="15"/>
      <c r="RH69" s="15"/>
      <c r="RI69" s="15"/>
      <c r="RJ69" s="15"/>
      <c r="RK69" s="15"/>
      <c r="RL69" s="15"/>
      <c r="RM69" s="15"/>
      <c r="RN69" s="15"/>
      <c r="RO69" s="15"/>
      <c r="RP69" s="15"/>
      <c r="RQ69" s="15"/>
      <c r="RR69" s="15"/>
      <c r="RS69" s="15"/>
      <c r="RT69" s="15"/>
      <c r="RU69" s="15"/>
      <c r="RV69" s="15"/>
      <c r="RW69" s="15"/>
      <c r="RX69" s="15"/>
      <c r="RY69" s="15"/>
      <c r="RZ69" s="15"/>
      <c r="SA69" s="15"/>
      <c r="SB69" s="15"/>
      <c r="SC69" s="15"/>
      <c r="SD69" s="15"/>
      <c r="SE69" s="15"/>
      <c r="SF69" s="15"/>
      <c r="SG69" s="15"/>
      <c r="SH69" s="15"/>
      <c r="SI69" s="15"/>
      <c r="SJ69" s="15"/>
      <c r="SK69" s="15"/>
      <c r="SL69" s="15"/>
      <c r="SM69" s="15"/>
      <c r="SN69" s="15"/>
      <c r="SO69" s="15"/>
      <c r="SP69" s="15"/>
      <c r="SQ69" s="15"/>
      <c r="SR69" s="15"/>
      <c r="SS69" s="15"/>
      <c r="ST69" s="15"/>
      <c r="SU69" s="15"/>
      <c r="SV69" s="15"/>
      <c r="SW69" s="15"/>
      <c r="SX69" s="15"/>
      <c r="SY69" s="15"/>
      <c r="SZ69" s="15"/>
      <c r="TA69" s="15"/>
      <c r="TB69" s="15"/>
      <c r="TC69" s="15"/>
      <c r="TD69" s="15"/>
      <c r="TE69" s="15"/>
      <c r="TF69" s="15"/>
      <c r="TG69" s="15"/>
      <c r="TH69" s="15"/>
      <c r="TI69" s="15"/>
      <c r="TJ69" s="15"/>
      <c r="TK69" s="15"/>
      <c r="TL69" s="15"/>
      <c r="TM69" s="15"/>
      <c r="TN69" s="15"/>
      <c r="TO69" s="15"/>
      <c r="TP69" s="15"/>
      <c r="TQ69" s="15"/>
      <c r="TR69" s="15"/>
      <c r="TS69" s="15"/>
      <c r="TT69" s="15"/>
      <c r="TU69" s="15"/>
      <c r="TV69" s="15"/>
      <c r="TW69" s="15"/>
      <c r="TX69" s="15"/>
      <c r="TY69" s="15"/>
      <c r="TZ69" s="15"/>
      <c r="UA69" s="15"/>
      <c r="UB69" s="15"/>
      <c r="UC69" s="15"/>
      <c r="UD69" s="15"/>
      <c r="UE69" s="15"/>
      <c r="UF69" s="15"/>
      <c r="UG69" s="15"/>
      <c r="UH69" s="15"/>
      <c r="UI69" s="15"/>
      <c r="UJ69" s="15"/>
      <c r="UK69" s="15"/>
      <c r="UL69" s="15"/>
      <c r="UM69" s="15"/>
      <c r="UN69" s="15"/>
      <c r="UO69" s="15"/>
      <c r="UP69" s="15"/>
      <c r="UQ69" s="15"/>
      <c r="UR69" s="15"/>
      <c r="US69" s="15"/>
      <c r="UT69" s="15"/>
      <c r="UU69" s="15"/>
      <c r="UV69" s="15"/>
      <c r="UW69" s="15"/>
      <c r="UX69" s="15"/>
      <c r="UY69" s="15"/>
      <c r="UZ69" s="15"/>
      <c r="VA69" s="15"/>
      <c r="VB69" s="15"/>
      <c r="VC69" s="15"/>
      <c r="VD69" s="15"/>
      <c r="VE69" s="15"/>
      <c r="VF69" s="15"/>
      <c r="VG69" s="15"/>
      <c r="VH69" s="15"/>
      <c r="VI69" s="15"/>
      <c r="VJ69" s="15"/>
      <c r="VK69" s="15"/>
      <c r="VL69" s="15"/>
      <c r="VM69" s="15"/>
      <c r="VN69" s="15"/>
      <c r="VO69" s="15"/>
      <c r="VP69" s="15"/>
      <c r="VQ69" s="15"/>
      <c r="VR69" s="15"/>
      <c r="VS69" s="15"/>
      <c r="VT69" s="15"/>
      <c r="VU69" s="15"/>
      <c r="VV69" s="15"/>
      <c r="VW69" s="15"/>
      <c r="VX69" s="15"/>
      <c r="VY69" s="15"/>
      <c r="VZ69" s="15"/>
      <c r="WA69" s="15"/>
      <c r="WB69" s="15"/>
      <c r="WC69" s="15"/>
      <c r="WD69" s="15"/>
      <c r="WE69" s="15"/>
      <c r="WF69" s="15"/>
      <c r="WG69" s="15"/>
      <c r="WH69" s="15"/>
      <c r="WI69" s="15"/>
      <c r="WJ69" s="15"/>
      <c r="WK69" s="15"/>
      <c r="WL69" s="15"/>
      <c r="WM69" s="15"/>
      <c r="WN69" s="15"/>
      <c r="WO69" s="15"/>
      <c r="WP69" s="15"/>
      <c r="WQ69" s="15"/>
      <c r="WR69" s="15"/>
      <c r="WS69" s="15"/>
      <c r="WT69" s="15"/>
      <c r="WU69" s="15"/>
      <c r="WV69" s="15"/>
      <c r="WW69" s="15"/>
      <c r="WX69" s="15"/>
      <c r="WY69" s="15"/>
      <c r="WZ69" s="15"/>
      <c r="XA69" s="15"/>
      <c r="XB69" s="15"/>
      <c r="XC69" s="15"/>
      <c r="XD69" s="15"/>
      <c r="XE69" s="15"/>
      <c r="XF69" s="15"/>
      <c r="XG69" s="15"/>
      <c r="XH69" s="15"/>
      <c r="XI69" s="15"/>
      <c r="XJ69" s="15"/>
      <c r="XK69" s="15"/>
      <c r="XL69" s="15"/>
      <c r="XM69" s="15"/>
      <c r="XN69" s="15"/>
      <c r="XO69" s="15"/>
      <c r="XP69" s="15"/>
      <c r="XQ69" s="15"/>
      <c r="XR69" s="15"/>
      <c r="XS69" s="15"/>
      <c r="XT69" s="15"/>
      <c r="XU69" s="15"/>
      <c r="XV69" s="15"/>
      <c r="XW69" s="15"/>
      <c r="XX69" s="15"/>
      <c r="XY69" s="15"/>
      <c r="XZ69" s="15"/>
      <c r="YA69" s="15"/>
      <c r="YB69" s="15"/>
      <c r="YC69" s="15"/>
      <c r="YD69" s="15"/>
      <c r="YE69" s="15"/>
      <c r="YF69" s="15"/>
      <c r="YG69" s="15"/>
      <c r="YH69" s="15"/>
      <c r="YI69" s="15"/>
      <c r="YJ69" s="15"/>
      <c r="YK69" s="15"/>
      <c r="YL69" s="15"/>
      <c r="YM69" s="15"/>
      <c r="YN69" s="15"/>
      <c r="YO69" s="15"/>
      <c r="YP69" s="15"/>
      <c r="YQ69" s="15"/>
      <c r="YR69" s="15"/>
      <c r="YS69" s="15"/>
      <c r="YT69" s="15"/>
      <c r="YU69" s="15"/>
      <c r="YV69" s="15"/>
      <c r="YW69" s="15"/>
      <c r="YX69" s="15"/>
      <c r="YY69" s="15"/>
      <c r="YZ69" s="15"/>
      <c r="ZA69" s="15"/>
      <c r="ZB69" s="15"/>
      <c r="ZC69" s="15"/>
      <c r="ZD69" s="15"/>
      <c r="ZE69" s="15"/>
      <c r="ZF69" s="15"/>
      <c r="ZG69" s="15"/>
      <c r="ZH69" s="15"/>
      <c r="ZI69" s="15"/>
      <c r="ZJ69" s="15"/>
      <c r="ZK69" s="15"/>
      <c r="ZL69" s="15"/>
      <c r="ZM69" s="15"/>
      <c r="ZN69" s="15"/>
      <c r="ZO69" s="15"/>
      <c r="ZP69" s="15"/>
      <c r="ZQ69" s="15"/>
      <c r="ZR69" s="15"/>
      <c r="ZS69" s="15"/>
      <c r="ZT69" s="15"/>
      <c r="ZU69" s="15"/>
      <c r="ZV69" s="15"/>
      <c r="ZW69" s="15"/>
      <c r="ZX69" s="15"/>
      <c r="ZY69" s="15"/>
      <c r="ZZ69" s="15"/>
      <c r="AAA69" s="15"/>
      <c r="AAB69" s="15"/>
      <c r="AAC69" s="15"/>
      <c r="AAD69" s="15"/>
      <c r="AAE69" s="15"/>
      <c r="AAF69" s="15"/>
      <c r="AAG69" s="15"/>
      <c r="AAH69" s="15"/>
      <c r="AAI69" s="15"/>
      <c r="AAJ69" s="15"/>
      <c r="AAK69" s="15"/>
      <c r="AAL69" s="15"/>
      <c r="AAM69" s="15"/>
      <c r="AAN69" s="15"/>
      <c r="AAO69" s="15"/>
      <c r="AAP69" s="15"/>
      <c r="AAQ69" s="15"/>
      <c r="AAR69" s="15"/>
      <c r="AAS69" s="15"/>
      <c r="AAT69" s="15"/>
      <c r="AAU69" s="15"/>
      <c r="AAV69" s="15"/>
      <c r="AAW69" s="15"/>
      <c r="AAX69" s="15"/>
      <c r="AAY69" s="15"/>
      <c r="AAZ69" s="15"/>
      <c r="ABA69" s="15"/>
      <c r="ABB69" s="15"/>
      <c r="ABC69" s="15"/>
      <c r="ABD69" s="15"/>
      <c r="ABE69" s="15"/>
      <c r="ABF69" s="15"/>
      <c r="ABG69" s="15"/>
      <c r="ABH69" s="15"/>
      <c r="ABI69" s="15"/>
      <c r="ABJ69" s="15"/>
      <c r="ABK69" s="15"/>
      <c r="ABL69" s="15"/>
      <c r="ABM69" s="15"/>
      <c r="ABN69" s="15"/>
      <c r="ABO69" s="15"/>
      <c r="ABP69" s="15"/>
      <c r="ABQ69" s="15"/>
      <c r="ABR69" s="15"/>
      <c r="ABS69" s="15"/>
      <c r="ABT69" s="15"/>
      <c r="ABU69" s="15"/>
      <c r="ABV69" s="15"/>
      <c r="ABW69" s="15"/>
      <c r="ABX69" s="15"/>
      <c r="ABY69" s="15"/>
      <c r="ABZ69" s="15"/>
      <c r="ACA69" s="15"/>
      <c r="ACB69" s="15"/>
      <c r="ACC69" s="15"/>
      <c r="ACD69" s="15"/>
      <c r="ACE69" s="15"/>
      <c r="ACF69" s="15"/>
      <c r="ACG69" s="15"/>
      <c r="ACH69" s="15"/>
      <c r="ACI69" s="15"/>
      <c r="ACJ69" s="15"/>
      <c r="ACK69" s="15"/>
      <c r="ACL69" s="15"/>
      <c r="ACM69" s="15"/>
      <c r="ACN69" s="15"/>
      <c r="ACO69" s="15"/>
      <c r="ACP69" s="15"/>
      <c r="ACQ69" s="15"/>
      <c r="ACR69" s="15"/>
      <c r="ACS69" s="15"/>
      <c r="ACT69" s="15"/>
      <c r="ACU69" s="15"/>
      <c r="ACV69" s="15"/>
      <c r="ACW69" s="15"/>
      <c r="ACX69" s="15"/>
      <c r="ACY69" s="15"/>
      <c r="ACZ69" s="15"/>
      <c r="ADA69" s="15"/>
      <c r="ADB69" s="15"/>
      <c r="ADC69" s="15"/>
      <c r="ADD69" s="15"/>
      <c r="ADE69" s="15"/>
      <c r="ADF69" s="15"/>
      <c r="ADG69" s="15"/>
      <c r="ADH69" s="15"/>
      <c r="ADI69" s="15"/>
      <c r="ADJ69" s="15"/>
      <c r="ADK69" s="15"/>
      <c r="ADL69" s="15"/>
      <c r="ADM69" s="15"/>
      <c r="ADN69" s="15"/>
      <c r="ADO69" s="15"/>
      <c r="ADP69" s="15"/>
      <c r="ADQ69" s="15"/>
      <c r="ADR69" s="15"/>
      <c r="ADS69" s="15"/>
      <c r="ADT69" s="15"/>
      <c r="ADU69" s="15"/>
      <c r="ADV69" s="15"/>
      <c r="ADW69" s="15"/>
      <c r="ADX69" s="15"/>
      <c r="ADY69" s="15"/>
      <c r="ADZ69" s="15"/>
      <c r="AEA69" s="15"/>
      <c r="AEB69" s="15"/>
      <c r="AEC69" s="15"/>
      <c r="AED69" s="15"/>
      <c r="AEE69" s="15"/>
      <c r="AEF69" s="15"/>
      <c r="AEG69" s="15"/>
      <c r="AEH69" s="15"/>
      <c r="AEI69" s="15"/>
      <c r="AEJ69" s="15"/>
      <c r="AEK69" s="15"/>
      <c r="AEL69" s="15"/>
      <c r="AEM69" s="15"/>
      <c r="AEN69" s="15"/>
      <c r="AEO69" s="15"/>
      <c r="AEP69" s="15"/>
      <c r="AEQ69" s="15"/>
      <c r="AER69" s="15"/>
      <c r="AES69" s="15"/>
      <c r="AET69" s="15"/>
      <c r="AEU69" s="15"/>
      <c r="AEV69" s="15"/>
      <c r="AEW69" s="15"/>
      <c r="AEX69" s="15"/>
      <c r="AEY69" s="15"/>
      <c r="AEZ69" s="15"/>
      <c r="AFA69" s="15"/>
      <c r="AFB69" s="15"/>
      <c r="AFC69" s="15"/>
      <c r="AFD69" s="15"/>
      <c r="AFE69" s="15"/>
      <c r="AFF69" s="15"/>
      <c r="AFG69" s="15"/>
      <c r="AFH69" s="15"/>
      <c r="AFI69" s="15"/>
      <c r="AFJ69" s="15"/>
      <c r="AFK69" s="15"/>
      <c r="AFL69" s="15"/>
      <c r="AFM69" s="15"/>
      <c r="AFN69" s="15"/>
      <c r="AFO69" s="15"/>
      <c r="AFP69" s="15"/>
      <c r="AFQ69" s="15"/>
      <c r="AFR69" s="15"/>
      <c r="AFS69" s="15"/>
      <c r="AFT69" s="15"/>
      <c r="AFU69" s="15"/>
      <c r="AFV69" s="15"/>
      <c r="AFW69" s="15"/>
      <c r="AFX69" s="15"/>
      <c r="AFY69" s="15"/>
      <c r="AFZ69" s="15"/>
      <c r="AGA69" s="15"/>
      <c r="AGB69" s="15"/>
      <c r="AGC69" s="15"/>
      <c r="AGD69" s="15"/>
      <c r="AGE69" s="15"/>
      <c r="AGF69" s="15"/>
      <c r="AGG69" s="15"/>
      <c r="AGH69" s="15"/>
      <c r="AGI69" s="15"/>
      <c r="AGJ69" s="15"/>
      <c r="AGK69" s="15"/>
      <c r="AGL69" s="15"/>
      <c r="AGM69" s="15"/>
      <c r="AGN69" s="15"/>
      <c r="AGO69" s="15"/>
      <c r="AGP69" s="15"/>
      <c r="AGQ69" s="15"/>
      <c r="AGR69" s="15"/>
      <c r="AGS69" s="15"/>
      <c r="AGT69" s="15"/>
      <c r="AGU69" s="15"/>
      <c r="AGV69" s="15"/>
      <c r="AGW69" s="15"/>
      <c r="AGX69" s="15"/>
      <c r="AGY69" s="15"/>
      <c r="AGZ69" s="15"/>
      <c r="AHA69" s="15"/>
      <c r="AHB69" s="15"/>
      <c r="AHC69" s="15"/>
      <c r="AHD69" s="15"/>
      <c r="AHE69" s="15"/>
      <c r="AHF69" s="15"/>
      <c r="AHG69" s="15"/>
      <c r="AHH69" s="15"/>
      <c r="AHI69" s="15"/>
      <c r="AHJ69" s="15"/>
      <c r="AHK69" s="15"/>
      <c r="AHL69" s="15"/>
      <c r="AHM69" s="15"/>
      <c r="AHN69" s="15"/>
      <c r="AHO69" s="15"/>
      <c r="AHP69" s="15"/>
      <c r="AHQ69" s="15"/>
      <c r="AHR69" s="15"/>
      <c r="AHS69" s="15"/>
      <c r="AHT69" s="15"/>
      <c r="AHU69" s="15"/>
      <c r="AHV69" s="15"/>
      <c r="AHW69" s="15"/>
      <c r="AHX69" s="15"/>
      <c r="AHY69" s="15"/>
      <c r="AHZ69" s="15"/>
      <c r="AIA69" s="15"/>
      <c r="AIB69" s="15"/>
      <c r="AIC69" s="15"/>
      <c r="AID69" s="15"/>
      <c r="AIE69" s="15"/>
      <c r="AIF69" s="15"/>
      <c r="AIG69" s="15"/>
      <c r="AIH69" s="15"/>
      <c r="AII69" s="15"/>
      <c r="AIJ69" s="15"/>
      <c r="AIK69" s="15"/>
      <c r="AIL69" s="15"/>
      <c r="AIM69" s="15"/>
      <c r="AIN69" s="15"/>
      <c r="AIO69" s="15"/>
      <c r="AIP69" s="15"/>
      <c r="AIQ69" s="15"/>
      <c r="AIR69" s="15"/>
      <c r="AIS69" s="15"/>
      <c r="AIT69" s="15"/>
      <c r="AIU69" s="15"/>
      <c r="AIV69" s="15"/>
      <c r="AIW69" s="15"/>
      <c r="AIX69" s="15"/>
      <c r="AIY69" s="15"/>
      <c r="AIZ69" s="15"/>
      <c r="AJA69" s="15"/>
      <c r="AJB69" s="15"/>
      <c r="AJC69" s="15"/>
      <c r="AJD69" s="15"/>
      <c r="AJE69" s="15"/>
      <c r="AJF69" s="15"/>
      <c r="AJG69" s="15"/>
      <c r="AJH69" s="15"/>
      <c r="AJI69" s="15"/>
      <c r="AJJ69" s="15"/>
      <c r="AJK69" s="15"/>
      <c r="AJL69" s="15"/>
      <c r="AJM69" s="15"/>
      <c r="AJN69" s="15"/>
      <c r="AJO69" s="15"/>
      <c r="AJP69" s="15"/>
      <c r="AJQ69" s="15"/>
      <c r="AJR69" s="15"/>
      <c r="AJS69" s="15"/>
      <c r="AJT69" s="15"/>
      <c r="AJU69" s="15"/>
      <c r="AJV69" s="15"/>
      <c r="AJW69" s="15"/>
      <c r="AJX69" s="15"/>
      <c r="AJY69" s="15"/>
      <c r="AJZ69" s="15"/>
      <c r="AKA69" s="15"/>
      <c r="AKB69" s="15"/>
      <c r="AKC69" s="15"/>
      <c r="AKD69" s="15"/>
      <c r="AKE69" s="15"/>
      <c r="AKF69" s="15"/>
      <c r="AKG69" s="15"/>
      <c r="AKH69" s="15"/>
      <c r="AKI69" s="15"/>
      <c r="AKJ69" s="15"/>
      <c r="AKK69" s="15"/>
      <c r="AKL69" s="15"/>
      <c r="AKM69" s="15"/>
      <c r="AKN69" s="15"/>
      <c r="AKO69" s="15"/>
      <c r="AKP69" s="15"/>
      <c r="AKQ69" s="15"/>
      <c r="AKR69" s="15"/>
      <c r="AKS69" s="15"/>
      <c r="AKT69" s="15"/>
      <c r="AKU69" s="15"/>
      <c r="AKV69" s="15"/>
      <c r="AKW69" s="15"/>
      <c r="AKX69" s="15"/>
      <c r="AKY69" s="15"/>
      <c r="AKZ69" s="15"/>
      <c r="ALA69" s="15"/>
      <c r="ALB69" s="15"/>
      <c r="ALC69" s="15"/>
      <c r="ALD69" s="15"/>
      <c r="ALE69" s="15"/>
      <c r="ALF69" s="15"/>
      <c r="ALG69" s="15"/>
      <c r="ALH69" s="15"/>
      <c r="ALI69" s="15"/>
      <c r="ALJ69" s="15"/>
      <c r="ALK69" s="15"/>
      <c r="ALL69" s="15"/>
      <c r="ALM69" s="15"/>
      <c r="ALN69" s="15"/>
      <c r="ALO69" s="15"/>
      <c r="ALP69" s="15"/>
      <c r="ALQ69" s="15"/>
      <c r="ALR69" s="15"/>
      <c r="ALS69" s="15"/>
      <c r="ALT69" s="15"/>
      <c r="ALU69" s="15"/>
      <c r="ALV69" s="15"/>
      <c r="ALW69" s="15"/>
      <c r="ALX69" s="15"/>
      <c r="ALY69" s="15"/>
      <c r="ALZ69" s="15"/>
      <c r="AMA69" s="15"/>
      <c r="AMB69" s="15"/>
      <c r="AMC69" s="15"/>
      <c r="AMD69" s="15"/>
      <c r="AME69" s="15"/>
      <c r="AMF69" s="15"/>
      <c r="AMG69" s="15"/>
      <c r="AMH69" s="15"/>
      <c r="AMI69" s="15"/>
      <c r="AMJ69" s="15"/>
      <c r="AMK69" s="15"/>
      <c r="AML69" s="15"/>
      <c r="AMM69" s="15"/>
      <c r="AMN69" s="15"/>
      <c r="AMO69" s="15"/>
      <c r="AMP69" s="15"/>
      <c r="AMQ69" s="15"/>
      <c r="AMR69" s="15"/>
      <c r="AMS69" s="15"/>
      <c r="AMT69" s="15"/>
      <c r="AMU69" s="15"/>
      <c r="AMV69" s="15"/>
      <c r="AMW69" s="15"/>
      <c r="AMX69" s="15"/>
      <c r="AMY69" s="15"/>
      <c r="AMZ69" s="15"/>
      <c r="ANA69" s="15"/>
      <c r="ANB69" s="15"/>
      <c r="ANC69" s="15"/>
      <c r="AND69" s="15"/>
      <c r="ANE69" s="15"/>
      <c r="ANF69" s="15"/>
      <c r="ANG69" s="15"/>
      <c r="ANH69" s="15"/>
      <c r="ANI69" s="15"/>
      <c r="ANJ69" s="15"/>
      <c r="ANK69" s="15"/>
      <c r="ANL69" s="15"/>
      <c r="ANM69" s="15"/>
      <c r="ANN69" s="15"/>
      <c r="ANO69" s="15"/>
      <c r="ANP69" s="15"/>
      <c r="ANQ69" s="15"/>
      <c r="ANR69" s="15"/>
      <c r="ANS69" s="15"/>
      <c r="ANT69" s="15"/>
      <c r="ANU69" s="15"/>
      <c r="ANV69" s="15"/>
      <c r="ANW69" s="15"/>
      <c r="ANX69" s="15"/>
      <c r="ANY69" s="15"/>
      <c r="ANZ69" s="15"/>
      <c r="AOA69" s="15"/>
      <c r="AOB69" s="15"/>
      <c r="AOC69" s="15"/>
      <c r="AOD69" s="15"/>
      <c r="AOE69" s="15"/>
      <c r="AOF69" s="15"/>
      <c r="AOG69" s="15"/>
      <c r="AOH69" s="15"/>
      <c r="AOI69" s="15"/>
      <c r="AOJ69" s="15"/>
      <c r="AOK69" s="15"/>
      <c r="AOL69" s="15"/>
      <c r="AOM69" s="15"/>
      <c r="AON69" s="15"/>
      <c r="AOO69" s="15"/>
      <c r="AOP69" s="15"/>
      <c r="AOQ69" s="15"/>
      <c r="AOR69" s="15"/>
      <c r="AOS69" s="15"/>
      <c r="AOT69" s="15"/>
      <c r="AOU69" s="15"/>
      <c r="AOV69" s="15"/>
      <c r="AOW69" s="15"/>
      <c r="AOX69" s="15"/>
      <c r="AOY69" s="15"/>
      <c r="AOZ69" s="15"/>
      <c r="APA69" s="15"/>
      <c r="APB69" s="15"/>
      <c r="APC69" s="15"/>
      <c r="APD69" s="15"/>
      <c r="APE69" s="15"/>
      <c r="APF69" s="15"/>
      <c r="APG69" s="15"/>
      <c r="APH69" s="15"/>
      <c r="API69" s="15"/>
      <c r="APJ69" s="15"/>
      <c r="APK69" s="15"/>
      <c r="APL69" s="15"/>
      <c r="APM69" s="15"/>
      <c r="APN69" s="15"/>
      <c r="APO69" s="15"/>
      <c r="APP69" s="15"/>
      <c r="APQ69" s="15"/>
      <c r="APR69" s="15"/>
      <c r="APS69" s="15"/>
      <c r="APT69" s="15"/>
      <c r="APU69" s="15"/>
      <c r="APV69" s="15"/>
      <c r="APW69" s="15"/>
      <c r="APX69" s="15"/>
      <c r="APY69" s="15"/>
      <c r="APZ69" s="15"/>
      <c r="AQA69" s="15"/>
      <c r="AQB69" s="15"/>
      <c r="AQC69" s="15"/>
      <c r="AQD69" s="15"/>
      <c r="AQE69" s="15"/>
      <c r="AQF69" s="15"/>
      <c r="AQG69" s="15"/>
      <c r="AQH69" s="15"/>
      <c r="AQI69" s="15"/>
      <c r="AQJ69" s="15"/>
      <c r="AQK69" s="15"/>
      <c r="AQL69" s="15"/>
      <c r="AQM69" s="15"/>
      <c r="AQN69" s="15"/>
      <c r="AQO69" s="15"/>
      <c r="AQP69" s="15"/>
      <c r="AQQ69" s="15"/>
      <c r="AQR69" s="15"/>
      <c r="AQS69" s="15"/>
      <c r="AQT69" s="15"/>
      <c r="AQU69" s="15"/>
      <c r="AQV69" s="15"/>
      <c r="AQW69" s="15"/>
      <c r="AQX69" s="15"/>
      <c r="AQY69" s="15"/>
      <c r="AQZ69" s="15"/>
      <c r="ARA69" s="15"/>
      <c r="ARB69" s="15"/>
      <c r="ARC69" s="15"/>
      <c r="ARD69" s="15"/>
      <c r="ARE69" s="15"/>
      <c r="ARF69" s="15"/>
      <c r="ARG69" s="15"/>
      <c r="ARH69" s="15"/>
      <c r="ARI69" s="15"/>
      <c r="ARJ69" s="15"/>
      <c r="ARK69" s="15"/>
      <c r="ARL69" s="15"/>
      <c r="ARM69" s="15"/>
      <c r="ARN69" s="15"/>
      <c r="ARO69" s="15"/>
      <c r="ARP69" s="15"/>
      <c r="ARQ69" s="15"/>
      <c r="ARR69" s="15"/>
      <c r="ARS69" s="15"/>
      <c r="ART69" s="15"/>
      <c r="ARU69" s="15"/>
      <c r="ARV69" s="15"/>
      <c r="ARW69" s="15"/>
      <c r="ARX69" s="15"/>
      <c r="ARY69" s="15"/>
      <c r="ARZ69" s="15"/>
      <c r="ASA69" s="15"/>
      <c r="ASB69" s="15"/>
      <c r="ASC69" s="15"/>
      <c r="ASD69" s="15"/>
      <c r="ASE69" s="15"/>
      <c r="ASF69" s="15"/>
      <c r="ASG69" s="15"/>
      <c r="ASH69" s="15"/>
      <c r="ASI69" s="15"/>
      <c r="ASJ69" s="15"/>
      <c r="ASK69" s="15"/>
      <c r="ASL69" s="15"/>
      <c r="ASM69" s="15"/>
      <c r="ASN69" s="15"/>
      <c r="ASO69" s="15"/>
      <c r="ASP69" s="15"/>
      <c r="ASQ69" s="15"/>
      <c r="ASR69" s="15"/>
      <c r="ASS69" s="15"/>
      <c r="AST69" s="15"/>
      <c r="ASU69" s="15"/>
      <c r="ASV69" s="15"/>
      <c r="ASW69" s="15"/>
      <c r="ASX69" s="15"/>
      <c r="ASY69" s="15"/>
      <c r="ASZ69" s="15"/>
      <c r="ATA69" s="15"/>
      <c r="ATB69" s="15"/>
      <c r="ATC69" s="15"/>
      <c r="ATD69" s="15"/>
      <c r="ATE69" s="15"/>
      <c r="ATF69" s="15"/>
      <c r="ATG69" s="15"/>
      <c r="ATH69" s="15"/>
      <c r="ATI69" s="15"/>
      <c r="ATJ69" s="15"/>
      <c r="ATK69" s="15"/>
      <c r="ATL69" s="15"/>
      <c r="ATM69" s="15"/>
      <c r="ATN69" s="15"/>
      <c r="ATO69" s="15"/>
      <c r="ATP69" s="15"/>
      <c r="ATQ69" s="15"/>
      <c r="ATR69" s="15"/>
      <c r="ATS69" s="15"/>
      <c r="ATT69" s="15"/>
      <c r="ATU69" s="15"/>
      <c r="ATV69" s="15"/>
      <c r="ATW69" s="15"/>
      <c r="ATX69" s="15"/>
      <c r="ATY69" s="15"/>
      <c r="ATZ69" s="15"/>
      <c r="AUA69" s="15"/>
      <c r="AUB69" s="15"/>
      <c r="AUC69" s="15"/>
      <c r="AUD69" s="15"/>
      <c r="AUE69" s="15"/>
      <c r="AUF69" s="15"/>
      <c r="AUG69" s="15"/>
      <c r="AUH69" s="15"/>
      <c r="AUI69" s="15"/>
      <c r="AUJ69" s="15"/>
      <c r="AUK69" s="15"/>
      <c r="AUL69" s="15"/>
      <c r="AUM69" s="15"/>
      <c r="AUN69" s="15"/>
      <c r="AUO69" s="15"/>
      <c r="AUP69" s="15"/>
      <c r="AUQ69" s="15"/>
      <c r="AUR69" s="15"/>
      <c r="AUS69" s="15"/>
      <c r="AUT69" s="15"/>
      <c r="AUU69" s="15"/>
      <c r="AUV69" s="15"/>
      <c r="AUW69" s="15"/>
      <c r="AUX69" s="15"/>
      <c r="AUY69" s="15"/>
      <c r="AUZ69" s="15"/>
      <c r="AVA69" s="15"/>
      <c r="AVB69" s="15"/>
      <c r="AVC69" s="15"/>
      <c r="AVD69" s="15"/>
      <c r="AVE69" s="15"/>
      <c r="AVF69" s="15"/>
      <c r="AVG69" s="15"/>
      <c r="AVH69" s="15"/>
      <c r="AVI69" s="15"/>
      <c r="AVJ69" s="15"/>
      <c r="AVK69" s="15"/>
      <c r="AVL69" s="15"/>
      <c r="AVM69" s="15"/>
      <c r="AVN69" s="15"/>
      <c r="AVO69" s="15"/>
      <c r="AVP69" s="15"/>
      <c r="AVQ69" s="15"/>
      <c r="AVR69" s="15"/>
      <c r="AVS69" s="15"/>
      <c r="AVT69" s="15"/>
      <c r="AVU69" s="15"/>
      <c r="AVV69" s="15"/>
      <c r="AVW69" s="15"/>
      <c r="AVX69" s="15"/>
      <c r="AVY69" s="15"/>
      <c r="AVZ69" s="15"/>
      <c r="AWA69" s="15"/>
      <c r="AWB69" s="15"/>
      <c r="AWC69" s="15"/>
      <c r="AWD69" s="15"/>
      <c r="AWE69" s="15"/>
      <c r="AWF69" s="15"/>
      <c r="AWG69" s="15"/>
      <c r="AWH69" s="15"/>
      <c r="AWI69" s="15"/>
      <c r="AWJ69" s="15"/>
      <c r="AWK69" s="15"/>
      <c r="AWL69" s="15"/>
      <c r="AWM69" s="15"/>
      <c r="AWN69" s="15"/>
      <c r="AWO69" s="15"/>
      <c r="AWP69" s="15"/>
      <c r="AWQ69" s="15"/>
      <c r="AWR69" s="15"/>
      <c r="AWS69" s="15"/>
      <c r="AWT69" s="15"/>
      <c r="AWU69" s="15"/>
      <c r="AWV69" s="15"/>
      <c r="AWW69" s="15"/>
      <c r="AWX69" s="15"/>
      <c r="AWY69" s="15"/>
      <c r="AWZ69" s="15"/>
      <c r="AXA69" s="15"/>
      <c r="AXB69" s="15"/>
      <c r="AXC69" s="15"/>
      <c r="AXD69" s="15"/>
      <c r="AXE69" s="15"/>
      <c r="AXF69" s="15"/>
      <c r="AXG69" s="15"/>
      <c r="AXH69" s="15"/>
      <c r="AXI69" s="15"/>
      <c r="AXJ69" s="15"/>
      <c r="AXK69" s="15"/>
      <c r="AXL69" s="15"/>
      <c r="AXM69" s="15"/>
      <c r="AXN69" s="15"/>
      <c r="AXO69" s="15"/>
      <c r="AXP69" s="15"/>
      <c r="AXQ69" s="15"/>
      <c r="AXR69" s="15"/>
      <c r="AXS69" s="15"/>
      <c r="AXT69" s="15"/>
      <c r="AXU69" s="15"/>
      <c r="AXV69" s="15"/>
      <c r="AXW69" s="15"/>
      <c r="AXX69" s="15"/>
      <c r="AXY69" s="15"/>
      <c r="AXZ69" s="15"/>
      <c r="AYA69" s="15"/>
      <c r="AYB69" s="15"/>
      <c r="AYC69" s="15"/>
      <c r="AYD69" s="15"/>
      <c r="AYE69" s="15"/>
      <c r="AYF69" s="15"/>
      <c r="AYG69" s="15"/>
      <c r="AYH69" s="15"/>
      <c r="AYI69" s="15"/>
      <c r="AYJ69" s="15"/>
      <c r="AYK69" s="15"/>
      <c r="AYL69" s="15"/>
      <c r="AYM69" s="15"/>
      <c r="AYN69" s="15"/>
      <c r="AYO69" s="15"/>
      <c r="AYP69" s="15"/>
      <c r="AYQ69" s="15"/>
      <c r="AYR69" s="15"/>
      <c r="AYS69" s="15"/>
      <c r="AYT69" s="15"/>
      <c r="AYU69" s="15"/>
      <c r="AYV69" s="15"/>
      <c r="AYW69" s="15"/>
      <c r="AYX69" s="15"/>
      <c r="AYY69" s="15"/>
      <c r="AYZ69" s="15"/>
      <c r="AZA69" s="15"/>
      <c r="AZB69" s="15"/>
      <c r="AZC69" s="15"/>
      <c r="AZD69" s="15"/>
      <c r="AZE69" s="15"/>
      <c r="AZF69" s="15"/>
      <c r="AZG69" s="15"/>
      <c r="AZH69" s="15"/>
      <c r="AZI69" s="15"/>
      <c r="AZJ69" s="15"/>
      <c r="AZK69" s="15"/>
      <c r="AZL69" s="15"/>
      <c r="AZM69" s="15"/>
      <c r="AZN69" s="15"/>
      <c r="AZO69" s="15"/>
      <c r="AZP69" s="15"/>
      <c r="AZQ69" s="15"/>
      <c r="AZR69" s="15"/>
      <c r="AZS69" s="15"/>
      <c r="AZT69" s="15"/>
      <c r="AZU69" s="15"/>
      <c r="AZV69" s="15"/>
      <c r="AZW69" s="15"/>
      <c r="AZX69" s="15"/>
      <c r="AZY69" s="15"/>
      <c r="AZZ69" s="15"/>
      <c r="BAA69" s="15"/>
      <c r="BAB69" s="15"/>
      <c r="BAC69" s="15"/>
      <c r="BAD69" s="15"/>
      <c r="BAE69" s="15"/>
      <c r="BAF69" s="15"/>
      <c r="BAG69" s="15"/>
      <c r="BAH69" s="15"/>
      <c r="BAI69" s="15"/>
      <c r="BAJ69" s="15"/>
      <c r="BAK69" s="15"/>
      <c r="BAL69" s="15"/>
      <c r="BAM69" s="15"/>
      <c r="BAN69" s="15"/>
      <c r="BAO69" s="15"/>
      <c r="BAP69" s="15"/>
      <c r="BAQ69" s="15"/>
      <c r="BAR69" s="15"/>
      <c r="BAS69" s="15"/>
      <c r="BAT69" s="15"/>
      <c r="BAU69" s="15"/>
      <c r="BAV69" s="15"/>
      <c r="BAW69" s="15"/>
      <c r="BAX69" s="15"/>
      <c r="BAY69" s="15"/>
      <c r="BAZ69" s="15"/>
      <c r="BBA69" s="15"/>
      <c r="BBB69" s="15"/>
      <c r="BBC69" s="15"/>
      <c r="BBD69" s="15"/>
      <c r="BBE69" s="15"/>
      <c r="BBF69" s="15"/>
      <c r="BBG69" s="15"/>
      <c r="BBH69" s="15"/>
      <c r="BBI69" s="15"/>
      <c r="BBJ69" s="15"/>
      <c r="BBK69" s="15"/>
      <c r="BBL69" s="15"/>
      <c r="BBM69" s="15"/>
      <c r="BBN69" s="15"/>
      <c r="BBO69" s="15"/>
      <c r="BBP69" s="15"/>
      <c r="BBQ69" s="15"/>
      <c r="BBR69" s="15"/>
      <c r="BBS69" s="15"/>
      <c r="BBT69" s="15"/>
      <c r="BBU69" s="15"/>
      <c r="BBV69" s="15"/>
      <c r="BBW69" s="15"/>
      <c r="BBX69" s="15"/>
      <c r="BBY69" s="15"/>
      <c r="BBZ69" s="15"/>
      <c r="BCA69" s="15"/>
      <c r="BCB69" s="15"/>
      <c r="BCC69" s="15"/>
      <c r="BCD69" s="15"/>
      <c r="BCE69" s="15"/>
      <c r="BCF69" s="15"/>
      <c r="BCG69" s="15"/>
      <c r="BCH69" s="15"/>
      <c r="BCI69" s="15"/>
      <c r="BCJ69" s="15"/>
      <c r="BCK69" s="15"/>
      <c r="BCL69" s="15"/>
      <c r="BCM69" s="15"/>
      <c r="BCN69" s="15"/>
      <c r="BCO69" s="15"/>
      <c r="BCP69" s="15"/>
      <c r="BCQ69" s="15"/>
      <c r="BCR69" s="15"/>
      <c r="BCS69" s="15"/>
      <c r="BCT69" s="15"/>
      <c r="BCU69" s="15"/>
      <c r="BCV69" s="15"/>
      <c r="BCW69" s="15"/>
      <c r="BCX69" s="15"/>
      <c r="BCY69" s="15"/>
      <c r="BCZ69" s="15"/>
      <c r="BDA69" s="15"/>
      <c r="BDB69" s="15"/>
      <c r="BDC69" s="15"/>
      <c r="BDD69" s="15"/>
      <c r="BDE69" s="15"/>
      <c r="BDF69" s="15"/>
      <c r="BDG69" s="15"/>
      <c r="BDH69" s="15"/>
      <c r="BDI69" s="15"/>
      <c r="BDJ69" s="15"/>
      <c r="BDK69" s="15"/>
      <c r="BDL69" s="15"/>
      <c r="BDM69" s="15"/>
      <c r="BDN69" s="15"/>
      <c r="BDO69" s="15"/>
      <c r="BDP69" s="15"/>
      <c r="BDQ69" s="15"/>
      <c r="BDR69" s="15"/>
      <c r="BDS69" s="15"/>
      <c r="BDT69" s="15"/>
      <c r="BDU69" s="15"/>
      <c r="BDV69" s="15"/>
      <c r="BDW69" s="15"/>
      <c r="BDX69" s="15"/>
      <c r="BDY69" s="15"/>
      <c r="BDZ69" s="15"/>
      <c r="BEA69" s="15"/>
      <c r="BEB69" s="15"/>
      <c r="BEC69" s="15"/>
      <c r="BED69" s="15"/>
      <c r="BEE69" s="15"/>
      <c r="BEF69" s="15"/>
      <c r="BEG69" s="15"/>
      <c r="BEH69" s="15"/>
      <c r="BEI69" s="15"/>
      <c r="BEJ69" s="15"/>
      <c r="BEK69" s="15"/>
      <c r="BEL69" s="15"/>
      <c r="BEM69" s="15"/>
      <c r="BEN69" s="15"/>
      <c r="BEO69" s="15"/>
      <c r="BEP69" s="15"/>
      <c r="BEQ69" s="15"/>
      <c r="BER69" s="15"/>
      <c r="BES69" s="15"/>
      <c r="BET69" s="15"/>
      <c r="BEU69" s="15"/>
      <c r="BEV69" s="15"/>
      <c r="BEW69" s="15"/>
      <c r="BEX69" s="15"/>
      <c r="BEY69" s="15"/>
      <c r="BEZ69" s="15"/>
      <c r="BFA69" s="15"/>
      <c r="BFB69" s="15"/>
      <c r="BFC69" s="15"/>
      <c r="BFD69" s="15"/>
      <c r="BFE69" s="15"/>
      <c r="BFF69" s="15"/>
      <c r="BFG69" s="15"/>
      <c r="BFH69" s="15"/>
      <c r="BFI69" s="15"/>
      <c r="BFJ69" s="15"/>
      <c r="BFK69" s="15"/>
      <c r="BFL69" s="15"/>
      <c r="BFM69" s="15"/>
      <c r="BFN69" s="15"/>
      <c r="BFO69" s="15"/>
      <c r="BFP69" s="15"/>
      <c r="BFQ69" s="15"/>
      <c r="BFR69" s="15"/>
      <c r="BFS69" s="15"/>
      <c r="BFT69" s="15"/>
      <c r="BFU69" s="15"/>
      <c r="BFV69" s="15"/>
      <c r="BFW69" s="15"/>
      <c r="BFX69" s="15"/>
      <c r="BFY69" s="15"/>
      <c r="BFZ69" s="15"/>
      <c r="BGA69" s="15"/>
      <c r="BGB69" s="15"/>
      <c r="BGC69" s="15"/>
      <c r="BGD69" s="15"/>
      <c r="BGE69" s="15"/>
      <c r="BGF69" s="15"/>
      <c r="BGG69" s="15"/>
      <c r="BGH69" s="15"/>
      <c r="BGI69" s="15"/>
      <c r="BGJ69" s="15"/>
      <c r="BGK69" s="15"/>
      <c r="BGL69" s="15"/>
      <c r="BGM69" s="15"/>
      <c r="BGN69" s="15"/>
      <c r="BGO69" s="15"/>
      <c r="BGP69" s="15"/>
      <c r="BGQ69" s="15"/>
      <c r="BGR69" s="15"/>
      <c r="BGS69" s="15"/>
      <c r="BGT69" s="15"/>
      <c r="BGU69" s="15"/>
      <c r="BGV69" s="15"/>
      <c r="BGW69" s="15"/>
      <c r="BGX69" s="15"/>
      <c r="BGY69" s="15"/>
      <c r="BGZ69" s="15"/>
      <c r="BHA69" s="15"/>
      <c r="BHB69" s="15"/>
      <c r="BHC69" s="15"/>
      <c r="BHD69" s="15"/>
      <c r="BHE69" s="15"/>
      <c r="BHF69" s="15"/>
      <c r="BHG69" s="15"/>
      <c r="BHH69" s="15"/>
      <c r="BHI69" s="15"/>
      <c r="BHJ69" s="15"/>
      <c r="BHK69" s="15"/>
      <c r="BHL69" s="15"/>
      <c r="BHM69" s="15"/>
      <c r="BHN69" s="15"/>
      <c r="BHO69" s="15"/>
      <c r="BHP69" s="15"/>
      <c r="BHQ69" s="15"/>
      <c r="BHR69" s="15"/>
      <c r="BHS69" s="15"/>
      <c r="BHT69" s="15"/>
      <c r="BHU69" s="15"/>
      <c r="BHV69" s="15"/>
      <c r="BHW69" s="15"/>
      <c r="BHX69" s="15"/>
      <c r="BHY69" s="15"/>
      <c r="BHZ69" s="15"/>
      <c r="BIA69" s="15"/>
      <c r="BIB69" s="15"/>
      <c r="BIC69" s="15"/>
      <c r="BID69" s="15"/>
      <c r="BIE69" s="15"/>
      <c r="BIF69" s="15"/>
      <c r="BIG69" s="15"/>
      <c r="BIH69" s="15"/>
      <c r="BII69" s="15"/>
      <c r="BIJ69" s="15"/>
      <c r="BIK69" s="15"/>
      <c r="BIL69" s="15"/>
      <c r="BIM69" s="15"/>
      <c r="BIN69" s="15"/>
      <c r="BIO69" s="15"/>
      <c r="BIP69" s="15"/>
      <c r="BIQ69" s="15"/>
      <c r="BIR69" s="15"/>
      <c r="BIS69" s="15"/>
      <c r="BIT69" s="15"/>
      <c r="BIU69" s="15"/>
      <c r="BIV69" s="15"/>
      <c r="BIW69" s="15"/>
      <c r="BIX69" s="15"/>
      <c r="BIY69" s="15"/>
      <c r="BIZ69" s="15"/>
      <c r="BJA69" s="15"/>
      <c r="BJB69" s="15"/>
      <c r="BJC69" s="15"/>
      <c r="BJD69" s="15"/>
      <c r="BJE69" s="15"/>
      <c r="BJF69" s="15"/>
      <c r="BJG69" s="15"/>
      <c r="BJH69" s="15"/>
      <c r="BJI69" s="15"/>
      <c r="BJJ69" s="15"/>
      <c r="BJK69" s="15"/>
      <c r="BJL69" s="15"/>
      <c r="BJM69" s="15"/>
      <c r="BJN69" s="15"/>
      <c r="BJO69" s="15"/>
      <c r="BJP69" s="15"/>
      <c r="BJQ69" s="15"/>
      <c r="BJR69" s="15"/>
      <c r="BJS69" s="15"/>
      <c r="BJT69" s="15"/>
      <c r="BJU69" s="15"/>
      <c r="BJV69" s="15"/>
      <c r="BJW69" s="15"/>
      <c r="BJX69" s="15"/>
      <c r="BJY69" s="15"/>
      <c r="BJZ69" s="15"/>
      <c r="BKA69" s="15"/>
      <c r="BKB69" s="15"/>
      <c r="BKC69" s="15"/>
      <c r="BKD69" s="15"/>
      <c r="BKE69" s="15"/>
      <c r="BKF69" s="15"/>
      <c r="BKG69" s="15"/>
      <c r="BKH69" s="15"/>
      <c r="BKI69" s="15"/>
      <c r="BKJ69" s="15"/>
      <c r="BKK69" s="15"/>
      <c r="BKL69" s="15"/>
      <c r="BKM69" s="15"/>
      <c r="BKN69" s="15"/>
      <c r="BKO69" s="15"/>
      <c r="BKP69" s="15"/>
      <c r="BKQ69" s="15"/>
      <c r="BKR69" s="15"/>
      <c r="BKS69" s="15"/>
      <c r="BKT69" s="15"/>
      <c r="BKU69" s="15"/>
      <c r="BKV69" s="15"/>
      <c r="BKW69" s="15"/>
      <c r="BKX69" s="15"/>
      <c r="BKY69" s="15"/>
      <c r="BKZ69" s="15"/>
      <c r="BLA69" s="15"/>
      <c r="BLB69" s="15"/>
      <c r="BLC69" s="15"/>
      <c r="BLD69" s="15"/>
      <c r="BLE69" s="15"/>
      <c r="BLF69" s="15"/>
      <c r="BLG69" s="15"/>
      <c r="BLH69" s="15"/>
      <c r="BLI69" s="15"/>
      <c r="BLJ69" s="15"/>
      <c r="BLK69" s="15"/>
      <c r="BLL69" s="15"/>
      <c r="BLM69" s="15"/>
      <c r="BLN69" s="15"/>
      <c r="BLO69" s="15"/>
      <c r="BLP69" s="15"/>
      <c r="BLQ69" s="15"/>
      <c r="BLR69" s="15"/>
      <c r="BLS69" s="15"/>
      <c r="BLT69" s="15"/>
      <c r="BLU69" s="15"/>
      <c r="BLV69" s="15"/>
      <c r="BLW69" s="15"/>
      <c r="BLX69" s="15"/>
      <c r="BLY69" s="15"/>
      <c r="BLZ69" s="15"/>
      <c r="BMA69" s="15"/>
      <c r="BMB69" s="15"/>
      <c r="BMC69" s="15"/>
      <c r="BMD69" s="15"/>
      <c r="BME69" s="15"/>
      <c r="BMF69" s="15"/>
      <c r="BMG69" s="15"/>
      <c r="BMH69" s="15"/>
      <c r="BMI69" s="15"/>
      <c r="BMJ69" s="15"/>
      <c r="BMK69" s="15"/>
      <c r="BML69" s="15"/>
      <c r="BMM69" s="15"/>
      <c r="BMN69" s="15"/>
      <c r="BMO69" s="15"/>
      <c r="BMP69" s="15"/>
      <c r="BMQ69" s="15"/>
      <c r="BMR69" s="15"/>
      <c r="BMS69" s="15"/>
      <c r="BMT69" s="15"/>
      <c r="BMU69" s="15"/>
      <c r="BMV69" s="15"/>
      <c r="BMW69" s="15"/>
      <c r="BMX69" s="15"/>
      <c r="BMY69" s="15"/>
      <c r="BMZ69" s="15"/>
      <c r="BNA69" s="15"/>
      <c r="BNB69" s="15"/>
      <c r="BNC69" s="15"/>
      <c r="BND69" s="15"/>
      <c r="BNE69" s="15"/>
      <c r="BNF69" s="15"/>
      <c r="BNG69" s="15"/>
      <c r="BNH69" s="15"/>
      <c r="BNI69" s="15"/>
      <c r="BNJ69" s="15"/>
      <c r="BNK69" s="15"/>
      <c r="BNL69" s="15"/>
      <c r="BNM69" s="15"/>
      <c r="BNN69" s="15"/>
      <c r="BNO69" s="15"/>
      <c r="BNP69" s="15"/>
      <c r="BNQ69" s="15"/>
      <c r="BNR69" s="15"/>
      <c r="BNS69" s="15"/>
      <c r="BNT69" s="15"/>
      <c r="BNU69" s="15"/>
      <c r="BNV69" s="15"/>
      <c r="BNW69" s="15"/>
      <c r="BNX69" s="15"/>
      <c r="BNY69" s="15"/>
      <c r="BNZ69" s="15"/>
      <c r="BOA69" s="15"/>
      <c r="BOB69" s="15"/>
      <c r="BOC69" s="15"/>
      <c r="BOD69" s="15"/>
      <c r="BOE69" s="15"/>
      <c r="BOF69" s="15"/>
      <c r="BOG69" s="15"/>
      <c r="BOH69" s="15"/>
      <c r="BOI69" s="15"/>
      <c r="BOJ69" s="15"/>
      <c r="BOK69" s="15"/>
      <c r="BOL69" s="15"/>
      <c r="BOM69" s="15"/>
      <c r="BON69" s="15"/>
      <c r="BOO69" s="15"/>
      <c r="BOP69" s="15"/>
      <c r="BOQ69" s="15"/>
      <c r="BOR69" s="15"/>
      <c r="BOS69" s="15"/>
      <c r="BOT69" s="15"/>
      <c r="BOU69" s="15"/>
      <c r="BOV69" s="15"/>
      <c r="BOW69" s="15"/>
      <c r="BOX69" s="15"/>
      <c r="BOY69" s="15"/>
      <c r="BOZ69" s="15"/>
      <c r="BPA69" s="15"/>
      <c r="BPB69" s="15"/>
      <c r="BPC69" s="15"/>
      <c r="BPD69" s="15"/>
      <c r="BPE69" s="15"/>
      <c r="BPF69" s="15"/>
      <c r="BPG69" s="15"/>
      <c r="BPH69" s="15"/>
      <c r="BPI69" s="15"/>
      <c r="BPJ69" s="15"/>
      <c r="BPK69" s="15"/>
      <c r="BPL69" s="15"/>
      <c r="BPM69" s="15"/>
      <c r="BPN69" s="15"/>
      <c r="BPO69" s="15"/>
      <c r="BPP69" s="15"/>
      <c r="BPQ69" s="15"/>
      <c r="BPR69" s="15"/>
      <c r="BPS69" s="15"/>
      <c r="BPT69" s="15"/>
      <c r="BPU69" s="15"/>
      <c r="BPV69" s="15"/>
      <c r="BPW69" s="15"/>
      <c r="BPX69" s="15"/>
      <c r="BPY69" s="15"/>
      <c r="BPZ69" s="15"/>
      <c r="BQA69" s="15"/>
      <c r="BQB69" s="15"/>
      <c r="BQC69" s="15"/>
      <c r="BQD69" s="15"/>
      <c r="BQE69" s="15"/>
      <c r="BQF69" s="15"/>
      <c r="BQG69" s="15"/>
      <c r="BQH69" s="15"/>
      <c r="BQI69" s="15"/>
      <c r="BQJ69" s="15"/>
      <c r="BQK69" s="15"/>
      <c r="BQL69" s="15"/>
      <c r="BQM69" s="15"/>
      <c r="BQN69" s="15"/>
      <c r="BQO69" s="15"/>
      <c r="BQP69" s="15"/>
      <c r="BQQ69" s="15"/>
      <c r="BQR69" s="15"/>
      <c r="BQS69" s="15"/>
      <c r="BQT69" s="15"/>
      <c r="BQU69" s="15"/>
      <c r="BQV69" s="15"/>
      <c r="BQW69" s="15"/>
      <c r="BQX69" s="15"/>
      <c r="BQY69" s="15"/>
      <c r="BQZ69" s="15"/>
      <c r="BRA69" s="15"/>
      <c r="BRB69" s="15"/>
      <c r="BRC69" s="15"/>
      <c r="BRD69" s="15"/>
      <c r="BRE69" s="15"/>
      <c r="BRF69" s="15"/>
      <c r="BRG69" s="15"/>
      <c r="BRH69" s="15"/>
      <c r="BRI69" s="15"/>
      <c r="BRJ69" s="15"/>
      <c r="BRK69" s="15"/>
      <c r="BRL69" s="15"/>
      <c r="BRM69" s="15"/>
      <c r="BRN69" s="15"/>
      <c r="BRO69" s="15"/>
      <c r="BRP69" s="15"/>
      <c r="BRQ69" s="15"/>
      <c r="BRR69" s="15"/>
      <c r="BRS69" s="15"/>
      <c r="BRT69" s="15"/>
      <c r="BRU69" s="15"/>
      <c r="BRV69" s="15"/>
      <c r="BRW69" s="15"/>
      <c r="BRX69" s="15"/>
      <c r="BRY69" s="15"/>
      <c r="BRZ69" s="15"/>
      <c r="BSA69" s="15"/>
      <c r="BSB69" s="15"/>
      <c r="BSC69" s="15"/>
      <c r="BSD69" s="15"/>
      <c r="BSE69" s="15"/>
      <c r="BSF69" s="15"/>
      <c r="BSG69" s="15"/>
      <c r="BSH69" s="15"/>
      <c r="BSI69" s="15"/>
      <c r="BSJ69" s="15"/>
      <c r="BSK69" s="15"/>
      <c r="BSL69" s="15"/>
      <c r="BSM69" s="15"/>
      <c r="BSN69" s="15"/>
      <c r="BSO69" s="15"/>
      <c r="BSP69" s="15"/>
      <c r="BSQ69" s="15"/>
      <c r="BSR69" s="15"/>
      <c r="BSS69" s="15"/>
      <c r="BST69" s="15"/>
      <c r="BSU69" s="15"/>
      <c r="BSV69" s="15"/>
      <c r="BSW69" s="15"/>
      <c r="BSX69" s="15"/>
      <c r="BSY69" s="15"/>
      <c r="BSZ69" s="15"/>
      <c r="BTA69" s="15"/>
      <c r="BTB69" s="15"/>
      <c r="BTC69" s="15"/>
      <c r="BTD69" s="15"/>
      <c r="BTE69" s="15"/>
      <c r="BTF69" s="15"/>
      <c r="BTG69" s="15"/>
      <c r="BTH69" s="15"/>
      <c r="BTI69" s="15"/>
      <c r="BTJ69" s="15"/>
      <c r="BTK69" s="15"/>
      <c r="BTL69" s="15"/>
      <c r="BTM69" s="15"/>
      <c r="BTN69" s="15"/>
      <c r="BTO69" s="15"/>
      <c r="BTP69" s="15"/>
      <c r="BTQ69" s="15"/>
      <c r="BTR69" s="15"/>
      <c r="BTS69" s="15"/>
      <c r="BTT69" s="15"/>
      <c r="BTU69" s="15"/>
      <c r="BTV69" s="15"/>
      <c r="BTW69" s="15"/>
      <c r="BTX69" s="15"/>
      <c r="BTY69" s="15"/>
      <c r="BTZ69" s="15"/>
      <c r="BUA69" s="15"/>
      <c r="BUB69" s="15"/>
      <c r="BUC69" s="15"/>
      <c r="BUD69" s="15"/>
      <c r="BUE69" s="15"/>
      <c r="BUF69" s="15"/>
      <c r="BUG69" s="15"/>
      <c r="BUH69" s="15"/>
      <c r="BUI69" s="15"/>
      <c r="BUJ69" s="15"/>
      <c r="BUK69" s="15"/>
      <c r="BUL69" s="15"/>
      <c r="BUM69" s="15"/>
      <c r="BUN69" s="15"/>
      <c r="BUO69" s="15"/>
      <c r="BUP69" s="15"/>
      <c r="BUQ69" s="15"/>
      <c r="BUR69" s="15"/>
      <c r="BUS69" s="15"/>
      <c r="BUT69" s="15"/>
      <c r="BUU69" s="15"/>
      <c r="BUV69" s="15"/>
      <c r="BUW69" s="15"/>
      <c r="BUX69" s="15"/>
      <c r="BUY69" s="15"/>
      <c r="BUZ69" s="15"/>
      <c r="BVA69" s="15"/>
      <c r="BVB69" s="15"/>
      <c r="BVC69" s="15"/>
      <c r="BVD69" s="15"/>
      <c r="BVE69" s="15"/>
      <c r="BVF69" s="15"/>
      <c r="BVG69" s="15"/>
      <c r="BVH69" s="15"/>
      <c r="BVI69" s="15"/>
      <c r="BVJ69" s="15"/>
      <c r="BVK69" s="15"/>
      <c r="BVL69" s="15"/>
      <c r="BVM69" s="15"/>
      <c r="BVN69" s="15"/>
      <c r="BVO69" s="15"/>
      <c r="BVP69" s="15"/>
      <c r="BVQ69" s="15"/>
      <c r="BVR69" s="15"/>
      <c r="BVS69" s="15"/>
      <c r="BVT69" s="15"/>
      <c r="BVU69" s="15"/>
      <c r="BVV69" s="15"/>
      <c r="BVW69" s="15"/>
      <c r="BVX69" s="15"/>
      <c r="BVY69" s="15"/>
      <c r="BVZ69" s="15"/>
      <c r="BWA69" s="15"/>
      <c r="BWB69" s="15"/>
      <c r="BWC69" s="15"/>
      <c r="BWD69" s="15"/>
      <c r="BWE69" s="15"/>
      <c r="BWF69" s="15"/>
      <c r="BWG69" s="15"/>
      <c r="BWH69" s="15"/>
      <c r="BWI69" s="15"/>
      <c r="BWJ69" s="15"/>
      <c r="BWK69" s="15"/>
      <c r="BWL69" s="15"/>
      <c r="BWM69" s="15"/>
      <c r="BWN69" s="15"/>
      <c r="BWO69" s="15"/>
      <c r="BWP69" s="15"/>
      <c r="BWQ69" s="15"/>
      <c r="BWR69" s="15"/>
      <c r="BWS69" s="15"/>
      <c r="BWT69" s="15"/>
      <c r="BWU69" s="15"/>
      <c r="BWV69" s="15"/>
      <c r="BWW69" s="15"/>
      <c r="BWX69" s="15"/>
      <c r="BWY69" s="15"/>
      <c r="BWZ69" s="15"/>
      <c r="BXA69" s="15"/>
      <c r="BXB69" s="15"/>
      <c r="BXC69" s="15"/>
      <c r="BXD69" s="15"/>
      <c r="BXE69" s="15"/>
      <c r="BXF69" s="15"/>
      <c r="BXG69" s="15"/>
      <c r="BXH69" s="15"/>
      <c r="BXI69" s="15"/>
      <c r="BXJ69" s="15"/>
      <c r="BXK69" s="15"/>
      <c r="BXL69" s="15"/>
      <c r="BXM69" s="15"/>
      <c r="BXN69" s="15"/>
      <c r="BXO69" s="15"/>
      <c r="BXP69" s="15"/>
      <c r="BXQ69" s="15"/>
      <c r="BXR69" s="15"/>
      <c r="BXS69" s="15"/>
      <c r="BXT69" s="15"/>
      <c r="BXU69" s="15"/>
      <c r="BXV69" s="15"/>
      <c r="BXW69" s="15"/>
      <c r="BXX69" s="15"/>
      <c r="BXY69" s="15"/>
      <c r="BXZ69" s="15"/>
      <c r="BYA69" s="15"/>
      <c r="BYB69" s="15"/>
      <c r="BYC69" s="15"/>
      <c r="BYD69" s="15"/>
      <c r="BYE69" s="15"/>
      <c r="BYF69" s="15"/>
      <c r="BYG69" s="15"/>
      <c r="BYH69" s="15"/>
      <c r="BYI69" s="15"/>
      <c r="BYJ69" s="15"/>
      <c r="BYK69" s="15"/>
      <c r="BYL69" s="15"/>
      <c r="BYM69" s="15"/>
      <c r="BYN69" s="15"/>
      <c r="BYO69" s="15"/>
      <c r="BYP69" s="15"/>
      <c r="BYQ69" s="15"/>
      <c r="BYR69" s="15"/>
      <c r="BYS69" s="15"/>
      <c r="BYT69" s="15"/>
      <c r="BYU69" s="15"/>
      <c r="BYV69" s="15"/>
      <c r="BYW69" s="15"/>
      <c r="BYX69" s="15"/>
      <c r="BYY69" s="15"/>
      <c r="BYZ69" s="15"/>
      <c r="BZA69" s="15"/>
      <c r="BZB69" s="15"/>
      <c r="BZC69" s="15"/>
      <c r="BZD69" s="15"/>
      <c r="BZE69" s="15"/>
      <c r="BZF69" s="15"/>
      <c r="BZG69" s="15"/>
      <c r="BZH69" s="15"/>
      <c r="BZI69" s="15"/>
      <c r="BZJ69" s="15"/>
      <c r="BZK69" s="15"/>
      <c r="BZL69" s="15"/>
      <c r="BZM69" s="15"/>
      <c r="BZN69" s="15"/>
      <c r="BZO69" s="15"/>
      <c r="BZP69" s="15"/>
      <c r="BZQ69" s="15"/>
      <c r="BZR69" s="15"/>
      <c r="BZS69" s="15"/>
      <c r="BZT69" s="15"/>
      <c r="BZU69" s="15"/>
      <c r="BZV69" s="15"/>
      <c r="BZW69" s="15"/>
      <c r="BZX69" s="15"/>
      <c r="BZY69" s="15"/>
      <c r="BZZ69" s="15"/>
      <c r="CAA69" s="15"/>
      <c r="CAB69" s="15"/>
      <c r="CAC69" s="15"/>
      <c r="CAD69" s="15"/>
      <c r="CAE69" s="15"/>
      <c r="CAF69" s="15"/>
      <c r="CAG69" s="15"/>
      <c r="CAH69" s="15"/>
      <c r="CAI69" s="15"/>
      <c r="CAJ69" s="15"/>
      <c r="CAK69" s="15"/>
      <c r="CAL69" s="15"/>
      <c r="CAM69" s="15"/>
      <c r="CAN69" s="15"/>
      <c r="CAO69" s="15"/>
      <c r="CAP69" s="15"/>
      <c r="CAQ69" s="15"/>
      <c r="CAR69" s="15"/>
      <c r="CAS69" s="15"/>
      <c r="CAT69" s="15"/>
      <c r="CAU69" s="15"/>
      <c r="CAV69" s="15"/>
      <c r="CAW69" s="15"/>
      <c r="CAX69" s="15"/>
      <c r="CAY69" s="15"/>
      <c r="CAZ69" s="15"/>
      <c r="CBA69" s="15"/>
      <c r="CBB69" s="15"/>
      <c r="CBC69" s="15"/>
      <c r="CBD69" s="15"/>
      <c r="CBE69" s="15"/>
      <c r="CBF69" s="15"/>
      <c r="CBG69" s="15"/>
      <c r="CBH69" s="15"/>
    </row>
    <row r="70" spans="1:2088" customFormat="1" x14ac:dyDescent="0.2">
      <c r="A70" s="1" t="s">
        <v>158</v>
      </c>
      <c r="B70" s="26" t="str">
        <f t="shared" ref="B70" si="1">IF(B69="", "error:missing input", IF(B69&lt;=0.71, "&lt;5%", IF(B69&lt;=0.87, "~20%", IF(B69&lt;=0.92, "~50%", IF(B69&lt;=1, "&gt;75%", "error: invalid input")))))</f>
        <v>error:missing input</v>
      </c>
      <c r="E70" s="62"/>
    </row>
    <row r="71" spans="1:2088" customFormat="1" x14ac:dyDescent="0.2">
      <c r="A71" s="1" t="s">
        <v>196</v>
      </c>
      <c r="B71" s="49"/>
      <c r="LZ71" s="15"/>
      <c r="MA71" s="15"/>
      <c r="MB71" s="15"/>
      <c r="MC71" s="15"/>
      <c r="MD71" s="15"/>
      <c r="ME71" s="15"/>
      <c r="MF71" s="15"/>
      <c r="MG71" s="15"/>
      <c r="MH71" s="15"/>
      <c r="MI71" s="15"/>
      <c r="MJ71" s="15"/>
      <c r="MK71" s="15"/>
      <c r="ML71" s="15"/>
      <c r="MM71" s="15"/>
      <c r="MN71" s="15"/>
      <c r="MO71" s="42"/>
      <c r="MP71" s="42"/>
      <c r="MQ71" s="42"/>
      <c r="MR71" s="42"/>
      <c r="MS71" s="42"/>
      <c r="MT71" s="42"/>
      <c r="MU71" s="42"/>
      <c r="MV71" s="42"/>
      <c r="MW71" s="42"/>
      <c r="MX71" s="42"/>
      <c r="MY71" s="42"/>
      <c r="MZ71" s="42"/>
      <c r="NA71" s="42"/>
      <c r="NB71" s="42"/>
      <c r="NC71" s="42"/>
      <c r="ND71" s="42"/>
      <c r="NE71" s="42"/>
      <c r="NF71" s="42"/>
      <c r="NG71" s="42"/>
      <c r="NH71" s="42"/>
      <c r="NI71" s="42"/>
      <c r="NJ71" s="42"/>
      <c r="NK71" s="42"/>
      <c r="NL71" s="42"/>
      <c r="NM71" s="42"/>
      <c r="NN71" s="42"/>
      <c r="NO71" s="42"/>
      <c r="NP71" s="42"/>
      <c r="NQ71" s="42"/>
      <c r="NR71" s="42"/>
      <c r="NS71" s="42"/>
      <c r="NT71" s="42"/>
      <c r="NU71" s="42"/>
      <c r="NV71" s="42"/>
      <c r="NW71" s="42"/>
      <c r="NX71" s="42"/>
      <c r="NY71" s="42"/>
      <c r="NZ71" s="42"/>
      <c r="OA71" s="42"/>
      <c r="OB71" s="42"/>
      <c r="OC71" s="42"/>
      <c r="OD71" s="42"/>
      <c r="OE71" s="42"/>
      <c r="OF71" s="42"/>
      <c r="OG71" s="42"/>
      <c r="OH71" s="42"/>
      <c r="OI71" s="42"/>
      <c r="OJ71" s="42"/>
      <c r="OK71" s="42"/>
      <c r="OL71" s="42"/>
      <c r="OM71" s="42"/>
      <c r="ON71" s="42"/>
      <c r="OO71" s="42"/>
      <c r="OP71" s="42"/>
      <c r="OQ71" s="42"/>
      <c r="OR71" s="42"/>
      <c r="OS71" s="42"/>
      <c r="OT71" s="42"/>
      <c r="OU71" s="42"/>
      <c r="OV71" s="42"/>
      <c r="OW71" s="42"/>
      <c r="OX71" s="42"/>
      <c r="OY71" s="42"/>
      <c r="OZ71" s="42"/>
      <c r="PA71" s="42"/>
      <c r="PB71" s="42"/>
      <c r="PC71" s="42"/>
      <c r="PD71" s="42"/>
      <c r="PE71" s="42"/>
      <c r="PF71" s="42"/>
      <c r="PG71" s="42"/>
      <c r="PH71" s="42"/>
      <c r="PI71" s="42"/>
      <c r="PJ71" s="42"/>
      <c r="PK71" s="42"/>
      <c r="PL71" s="42"/>
      <c r="PM71" s="42"/>
      <c r="PN71" s="42"/>
      <c r="PO71" s="42"/>
      <c r="PP71" s="42"/>
      <c r="PQ71" s="42"/>
      <c r="PR71" s="42"/>
      <c r="PS71" s="42"/>
      <c r="PT71" s="42"/>
      <c r="PU71" s="42"/>
      <c r="PV71" s="42"/>
      <c r="PW71" s="42"/>
      <c r="PX71" s="42"/>
      <c r="PY71" s="42"/>
      <c r="PZ71" s="42"/>
      <c r="QA71" s="42"/>
      <c r="QB71" s="42"/>
      <c r="QC71" s="42"/>
      <c r="QD71" s="42"/>
      <c r="QE71" s="42"/>
      <c r="QF71" s="42"/>
      <c r="QG71" s="42"/>
      <c r="QH71" s="42"/>
      <c r="QI71" s="42"/>
      <c r="QJ71" s="42"/>
      <c r="QK71" s="42"/>
      <c r="QL71" s="42"/>
      <c r="QM71" s="42"/>
      <c r="QN71" s="42"/>
      <c r="QO71" s="42"/>
      <c r="QP71" s="42"/>
      <c r="QQ71" s="42"/>
      <c r="QR71" s="42"/>
      <c r="QS71" s="42"/>
      <c r="QT71" s="42"/>
      <c r="QU71" s="42"/>
      <c r="QV71" s="42"/>
      <c r="QW71" s="42"/>
      <c r="QX71" s="42"/>
      <c r="QY71" s="42"/>
      <c r="QZ71" s="42"/>
      <c r="RA71" s="42"/>
      <c r="RB71" s="42"/>
      <c r="RC71" s="42"/>
      <c r="RD71" s="42"/>
      <c r="RE71" s="42"/>
      <c r="RF71" s="42"/>
      <c r="RG71" s="42"/>
      <c r="RH71" s="42"/>
      <c r="RI71" s="42"/>
      <c r="RJ71" s="42"/>
      <c r="RK71" s="42"/>
      <c r="RL71" s="42"/>
      <c r="RM71" s="42"/>
      <c r="RN71" s="42"/>
      <c r="RO71" s="42"/>
      <c r="RP71" s="42"/>
      <c r="RQ71" s="42"/>
      <c r="RR71" s="42"/>
      <c r="RS71" s="42"/>
      <c r="RT71" s="42"/>
      <c r="RU71" s="42"/>
      <c r="RV71" s="42"/>
      <c r="RW71" s="42"/>
      <c r="RX71" s="42"/>
      <c r="RY71" s="42"/>
      <c r="RZ71" s="42"/>
      <c r="SA71" s="42"/>
      <c r="SB71" s="42"/>
      <c r="SC71" s="42"/>
      <c r="SD71" s="42"/>
      <c r="SE71" s="42"/>
      <c r="SF71" s="42"/>
      <c r="SG71" s="42"/>
      <c r="SH71" s="42"/>
      <c r="SI71" s="42"/>
      <c r="SJ71" s="42"/>
      <c r="SK71" s="42"/>
      <c r="SL71" s="42"/>
      <c r="SM71" s="42"/>
      <c r="SN71" s="42"/>
      <c r="SO71" s="42"/>
      <c r="SP71" s="42"/>
      <c r="SQ71" s="42"/>
      <c r="SR71" s="42"/>
      <c r="SS71" s="42"/>
      <c r="ST71" s="42"/>
      <c r="SU71" s="42"/>
      <c r="SV71" s="42"/>
      <c r="SW71" s="42"/>
      <c r="SX71" s="42"/>
      <c r="SY71" s="42"/>
      <c r="SZ71" s="42"/>
      <c r="TA71" s="42"/>
      <c r="TB71" s="42"/>
      <c r="TC71" s="42"/>
      <c r="TD71" s="42"/>
      <c r="TE71" s="42"/>
      <c r="TF71" s="42"/>
      <c r="TG71" s="42"/>
      <c r="TH71" s="42"/>
      <c r="TI71" s="42"/>
      <c r="TJ71" s="42"/>
      <c r="TK71" s="42"/>
      <c r="TL71" s="42"/>
      <c r="TM71" s="42"/>
      <c r="TN71" s="42"/>
      <c r="TO71" s="42"/>
      <c r="TP71" s="42"/>
      <c r="TQ71" s="42"/>
      <c r="TR71" s="42"/>
      <c r="TS71" s="42"/>
      <c r="TT71" s="42"/>
      <c r="TU71" s="42"/>
      <c r="TV71" s="42"/>
      <c r="TW71" s="42"/>
      <c r="TX71" s="42"/>
      <c r="TY71" s="42"/>
      <c r="TZ71" s="42"/>
      <c r="UA71" s="42"/>
      <c r="UB71" s="42"/>
      <c r="UC71" s="42"/>
      <c r="UD71" s="42"/>
      <c r="UE71" s="42"/>
      <c r="UF71" s="42"/>
      <c r="UG71" s="42"/>
      <c r="UH71" s="42"/>
      <c r="UI71" s="42"/>
      <c r="UJ71" s="42"/>
      <c r="UK71" s="42"/>
      <c r="UL71" s="42"/>
      <c r="UM71" s="42"/>
      <c r="UN71" s="42"/>
      <c r="UO71" s="42"/>
      <c r="UP71" s="42"/>
      <c r="UQ71" s="42"/>
      <c r="UR71" s="42"/>
      <c r="US71" s="42"/>
      <c r="UT71" s="42"/>
      <c r="UU71" s="42"/>
      <c r="UV71" s="42"/>
      <c r="UW71" s="42"/>
      <c r="UX71" s="42"/>
      <c r="UY71" s="42"/>
      <c r="UZ71" s="42"/>
      <c r="VA71" s="42"/>
      <c r="VB71" s="42"/>
      <c r="VC71" s="42"/>
      <c r="VD71" s="42"/>
      <c r="VE71" s="42"/>
      <c r="VF71" s="42"/>
      <c r="VG71" s="42"/>
      <c r="VH71" s="42"/>
      <c r="VI71" s="42"/>
      <c r="VJ71" s="42"/>
      <c r="VK71" s="42"/>
      <c r="VL71" s="42"/>
      <c r="VM71" s="42"/>
      <c r="VN71" s="42"/>
      <c r="VO71" s="42"/>
      <c r="VP71" s="42"/>
      <c r="VQ71" s="42"/>
      <c r="VR71" s="42"/>
      <c r="VS71" s="42"/>
      <c r="VT71" s="42"/>
      <c r="VU71" s="42"/>
      <c r="VV71" s="42"/>
      <c r="VW71" s="42"/>
      <c r="VX71" s="42"/>
      <c r="VY71" s="42"/>
      <c r="VZ71" s="42"/>
      <c r="WA71" s="42"/>
      <c r="WB71" s="42"/>
      <c r="WC71" s="42"/>
      <c r="WD71" s="42"/>
      <c r="WE71" s="42"/>
      <c r="WF71" s="42"/>
      <c r="WG71" s="42"/>
      <c r="WH71" s="42"/>
      <c r="WI71" s="42"/>
      <c r="WJ71" s="42"/>
      <c r="WK71" s="42"/>
      <c r="WL71" s="42"/>
      <c r="WM71" s="42"/>
      <c r="WN71" s="42"/>
      <c r="WO71" s="42"/>
      <c r="WP71" s="42"/>
      <c r="WQ71" s="42"/>
      <c r="WR71" s="42"/>
      <c r="WS71" s="42"/>
      <c r="WT71" s="42"/>
      <c r="WU71" s="42"/>
      <c r="WV71" s="42"/>
      <c r="WW71" s="42"/>
      <c r="WX71" s="42"/>
      <c r="WY71" s="42"/>
      <c r="WZ71" s="42"/>
      <c r="XA71" s="42"/>
      <c r="XB71" s="42"/>
      <c r="XC71" s="42"/>
      <c r="XD71" s="42"/>
      <c r="XE71" s="42"/>
      <c r="XF71" s="42"/>
      <c r="XG71" s="42"/>
      <c r="XH71" s="42"/>
      <c r="XI71" s="42"/>
      <c r="XJ71" s="42"/>
      <c r="XK71" s="42"/>
      <c r="XL71" s="42"/>
      <c r="XM71" s="42"/>
      <c r="XN71" s="42"/>
      <c r="XO71" s="42"/>
      <c r="XP71" s="42"/>
      <c r="XQ71" s="42"/>
      <c r="XR71" s="42"/>
      <c r="XS71" s="42"/>
      <c r="XT71" s="42"/>
      <c r="XU71" s="42"/>
      <c r="XV71" s="42"/>
      <c r="XW71" s="42"/>
      <c r="XX71" s="42"/>
      <c r="XY71" s="42"/>
      <c r="XZ71" s="42"/>
      <c r="YA71" s="42"/>
      <c r="YB71" s="42"/>
      <c r="YC71" s="42"/>
      <c r="YD71" s="42"/>
      <c r="YE71" s="42"/>
      <c r="YF71" s="42"/>
      <c r="YG71" s="42"/>
      <c r="YH71" s="42"/>
      <c r="YI71" s="42"/>
      <c r="YJ71" s="42"/>
      <c r="YK71" s="42"/>
      <c r="YL71" s="42"/>
      <c r="YM71" s="42"/>
      <c r="YN71" s="42"/>
      <c r="YO71" s="42"/>
      <c r="YP71" s="42"/>
      <c r="YQ71" s="42"/>
      <c r="YR71" s="42"/>
      <c r="YS71" s="42"/>
      <c r="YT71" s="42"/>
      <c r="YU71" s="42"/>
      <c r="YV71" s="42"/>
      <c r="YW71" s="42"/>
      <c r="YX71" s="42"/>
      <c r="YY71" s="42"/>
      <c r="YZ71" s="42"/>
      <c r="ZA71" s="42"/>
      <c r="ZB71" s="42"/>
      <c r="ZC71" s="42"/>
      <c r="ZD71" s="42"/>
      <c r="ZE71" s="42"/>
      <c r="ZF71" s="42"/>
      <c r="ZG71" s="42"/>
      <c r="ZH71" s="42"/>
      <c r="ZI71" s="42"/>
      <c r="ZJ71" s="42"/>
      <c r="ZK71" s="42"/>
      <c r="ZL71" s="42"/>
      <c r="ZM71" s="42"/>
      <c r="ZN71" s="42"/>
      <c r="ZO71" s="42"/>
      <c r="ZP71" s="42"/>
      <c r="ZQ71" s="42"/>
      <c r="ZR71" s="42"/>
      <c r="ZS71" s="42"/>
      <c r="ZT71" s="42"/>
      <c r="ZU71" s="42"/>
      <c r="ZV71" s="42"/>
      <c r="ZW71" s="42"/>
      <c r="ZX71" s="42"/>
      <c r="ZY71" s="42"/>
      <c r="ZZ71" s="42"/>
      <c r="AAA71" s="42"/>
      <c r="AAB71" s="42"/>
      <c r="AAC71" s="42"/>
      <c r="AAD71" s="42"/>
      <c r="AAE71" s="42"/>
      <c r="AAF71" s="42"/>
      <c r="AAG71" s="42"/>
      <c r="AAH71" s="42"/>
      <c r="AAI71" s="42"/>
      <c r="AAJ71" s="42"/>
      <c r="AAK71" s="42"/>
      <c r="AAL71" s="42"/>
      <c r="AAM71" s="42"/>
      <c r="AAN71" s="42"/>
      <c r="AAO71" s="42"/>
      <c r="AAP71" s="42"/>
      <c r="AAQ71" s="42"/>
      <c r="AAR71" s="42"/>
      <c r="AAS71" s="42"/>
      <c r="AAT71" s="42"/>
      <c r="AAU71" s="42"/>
      <c r="AAV71" s="42"/>
      <c r="AAW71" s="42"/>
      <c r="AAX71" s="42"/>
      <c r="AAY71" s="42"/>
      <c r="AAZ71" s="42"/>
      <c r="ABA71" s="42"/>
      <c r="ABB71" s="42"/>
      <c r="ABC71" s="42"/>
      <c r="ABD71" s="42"/>
      <c r="ABE71" s="42"/>
      <c r="ABF71" s="42"/>
      <c r="ABG71" s="42"/>
      <c r="ABH71" s="42"/>
      <c r="ABI71" s="42"/>
      <c r="ABJ71" s="42"/>
      <c r="ABK71" s="42"/>
      <c r="ABL71" s="42"/>
      <c r="ABM71" s="42"/>
      <c r="ABN71" s="42"/>
      <c r="ABO71" s="42"/>
      <c r="ABP71" s="42"/>
      <c r="ABQ71" s="42"/>
      <c r="ABR71" s="42"/>
      <c r="ABS71" s="42"/>
      <c r="ABT71" s="42"/>
      <c r="ABU71" s="42"/>
      <c r="ABV71" s="42"/>
      <c r="ABW71" s="42"/>
      <c r="ABX71" s="42"/>
      <c r="ABY71" s="42"/>
      <c r="ABZ71" s="42"/>
      <c r="ACA71" s="42"/>
      <c r="ACB71" s="42"/>
      <c r="ACC71" s="42"/>
      <c r="ACD71" s="42"/>
      <c r="ACE71" s="42"/>
      <c r="ACF71" s="42"/>
      <c r="ACG71" s="42"/>
      <c r="ACH71" s="42"/>
      <c r="ACI71" s="42"/>
      <c r="ACJ71" s="42"/>
      <c r="ACK71" s="42"/>
      <c r="ACL71" s="42"/>
      <c r="ACM71" s="42"/>
      <c r="ACN71" s="42"/>
      <c r="ACO71" s="42"/>
      <c r="ACP71" s="42"/>
      <c r="ACQ71" s="42"/>
      <c r="ACR71" s="42"/>
      <c r="ACS71" s="42"/>
      <c r="ACT71" s="42"/>
      <c r="ACU71" s="42"/>
      <c r="ACV71" s="42"/>
      <c r="ACW71" s="42"/>
      <c r="ACX71" s="42"/>
      <c r="ACY71" s="42"/>
      <c r="ACZ71" s="42"/>
      <c r="ADA71" s="42"/>
      <c r="ADB71" s="42"/>
      <c r="ADC71" s="42"/>
      <c r="ADD71" s="42"/>
      <c r="ADE71" s="42"/>
      <c r="ADF71" s="42"/>
      <c r="ADG71" s="42"/>
      <c r="ADH71" s="42"/>
      <c r="ADI71" s="42"/>
      <c r="ADJ71" s="42"/>
      <c r="ADK71" s="42"/>
      <c r="ADL71" s="42"/>
      <c r="ADM71" s="42"/>
      <c r="ADN71" s="42"/>
      <c r="ADO71" s="42"/>
      <c r="ADP71" s="42"/>
      <c r="ADQ71" s="42"/>
      <c r="ADR71" s="42"/>
      <c r="ADS71" s="42"/>
      <c r="ADT71" s="42"/>
      <c r="ADU71" s="42"/>
      <c r="ADV71" s="42"/>
      <c r="ADW71" s="42"/>
      <c r="ADX71" s="42"/>
      <c r="ADY71" s="42"/>
      <c r="ADZ71" s="42"/>
      <c r="AEA71" s="42"/>
      <c r="AEB71" s="42"/>
      <c r="AEC71" s="42"/>
      <c r="AED71" s="42"/>
      <c r="AEE71" s="42"/>
      <c r="AEF71" s="42"/>
      <c r="AEG71" s="42"/>
      <c r="AEH71" s="42"/>
      <c r="AEI71" s="42"/>
      <c r="AEJ71" s="42"/>
      <c r="AEK71" s="42"/>
      <c r="AEL71" s="42"/>
      <c r="AEM71" s="42"/>
      <c r="AEN71" s="42"/>
      <c r="AEO71" s="42"/>
      <c r="AEP71" s="42"/>
      <c r="AEQ71" s="42"/>
      <c r="AER71" s="42"/>
      <c r="AES71" s="42"/>
      <c r="AET71" s="42"/>
      <c r="AEU71" s="42"/>
      <c r="AEV71" s="42"/>
      <c r="AEW71" s="42"/>
      <c r="AEX71" s="42"/>
      <c r="AEY71" s="42"/>
      <c r="AEZ71" s="42"/>
      <c r="AFA71" s="42"/>
      <c r="AFB71" s="42"/>
      <c r="AFC71" s="42"/>
      <c r="AFD71" s="42"/>
      <c r="AFE71" s="42"/>
      <c r="AFF71" s="42"/>
      <c r="AFG71" s="42"/>
      <c r="AFH71" s="42"/>
      <c r="AFI71" s="42"/>
      <c r="AFJ71" s="42"/>
      <c r="AFK71" s="42"/>
      <c r="AFL71" s="42"/>
      <c r="AFM71" s="42"/>
      <c r="AFN71" s="42"/>
      <c r="AFO71" s="42"/>
      <c r="AFP71" s="42"/>
      <c r="AFQ71" s="42"/>
      <c r="AFR71" s="42"/>
      <c r="AFS71" s="42"/>
      <c r="AFT71" s="42"/>
      <c r="AFU71" s="42"/>
      <c r="AFV71" s="42"/>
      <c r="AFW71" s="42"/>
      <c r="AFX71" s="42"/>
      <c r="AFY71" s="42"/>
      <c r="AFZ71" s="42"/>
      <c r="AGA71" s="42"/>
      <c r="AGB71" s="42"/>
      <c r="AGC71" s="42"/>
      <c r="AGD71" s="42"/>
      <c r="AGE71" s="42"/>
      <c r="AGF71" s="42"/>
      <c r="AGG71" s="42"/>
      <c r="AGH71" s="42"/>
      <c r="AGI71" s="42"/>
      <c r="AGJ71" s="42"/>
      <c r="AGK71" s="42"/>
      <c r="AGL71" s="42"/>
      <c r="AGM71" s="42"/>
      <c r="AGN71" s="42"/>
      <c r="AGO71" s="42"/>
      <c r="AGP71" s="42"/>
      <c r="AGQ71" s="42"/>
      <c r="AGR71" s="42"/>
      <c r="AGS71" s="42"/>
      <c r="AGT71" s="42"/>
      <c r="AGU71" s="42"/>
      <c r="AGV71" s="42"/>
      <c r="AGW71" s="42"/>
      <c r="AGX71" s="42"/>
      <c r="AGY71" s="42"/>
      <c r="AGZ71" s="42"/>
      <c r="AHA71" s="42"/>
      <c r="AHB71" s="42"/>
      <c r="AHC71" s="42"/>
      <c r="AHD71" s="42"/>
      <c r="AHE71" s="42"/>
      <c r="AHF71" s="42"/>
      <c r="AHG71" s="42"/>
      <c r="AHH71" s="42"/>
      <c r="AHI71" s="42"/>
      <c r="AHJ71" s="42"/>
      <c r="AHK71" s="42"/>
      <c r="AHL71" s="42"/>
      <c r="AHM71" s="42"/>
      <c r="AHN71" s="42"/>
      <c r="AHO71" s="42"/>
      <c r="AHP71" s="42"/>
      <c r="AHQ71" s="42"/>
      <c r="AHR71" s="42"/>
      <c r="AHS71" s="42"/>
      <c r="AHT71" s="42"/>
      <c r="AHU71" s="42"/>
      <c r="AHV71" s="42"/>
      <c r="AHW71" s="42"/>
      <c r="AHX71" s="42"/>
      <c r="AHY71" s="42"/>
      <c r="AHZ71" s="42"/>
      <c r="AIA71" s="42"/>
      <c r="AIB71" s="42"/>
      <c r="AIC71" s="42"/>
      <c r="AID71" s="42"/>
      <c r="AIE71" s="42"/>
      <c r="AIF71" s="42"/>
      <c r="AIG71" s="42"/>
      <c r="AIH71" s="42"/>
      <c r="AII71" s="42"/>
      <c r="AIJ71" s="42"/>
      <c r="AIK71" s="42"/>
      <c r="AIL71" s="42"/>
      <c r="AIM71" s="42"/>
      <c r="AIN71" s="42"/>
      <c r="AIO71" s="42"/>
      <c r="AIP71" s="42"/>
      <c r="AIQ71" s="42"/>
      <c r="AIR71" s="42"/>
      <c r="AIS71" s="42"/>
      <c r="AIT71" s="42"/>
      <c r="AIU71" s="42"/>
      <c r="AIV71" s="42"/>
      <c r="AIW71" s="42"/>
      <c r="AIX71" s="42"/>
      <c r="AIY71" s="42"/>
      <c r="AIZ71" s="42"/>
      <c r="AJA71" s="42"/>
      <c r="AJB71" s="42"/>
      <c r="AJC71" s="42"/>
      <c r="AJD71" s="42"/>
      <c r="AJE71" s="42"/>
      <c r="AJF71" s="42"/>
      <c r="AJG71" s="42"/>
      <c r="AJH71" s="42"/>
      <c r="AJI71" s="42"/>
      <c r="AJJ71" s="42"/>
      <c r="AJK71" s="42"/>
      <c r="AJL71" s="42"/>
      <c r="AJM71" s="42"/>
      <c r="AJN71" s="42"/>
      <c r="AJO71" s="42"/>
      <c r="AJP71" s="42"/>
      <c r="AJQ71" s="42"/>
      <c r="AJR71" s="42"/>
      <c r="AJS71" s="42"/>
      <c r="AJT71" s="42"/>
      <c r="AJU71" s="42"/>
      <c r="AJV71" s="42"/>
      <c r="AJW71" s="42"/>
      <c r="AJX71" s="42"/>
      <c r="AJY71" s="42"/>
      <c r="AJZ71" s="42"/>
      <c r="AKA71" s="42"/>
      <c r="AKB71" s="42"/>
      <c r="AKC71" s="42"/>
      <c r="AKD71" s="42"/>
      <c r="AKE71" s="42"/>
      <c r="AKF71" s="42"/>
      <c r="AKG71" s="42"/>
      <c r="AKH71" s="42"/>
      <c r="AKI71" s="42"/>
      <c r="AKJ71" s="42"/>
      <c r="AKK71" s="42"/>
      <c r="AKL71" s="42"/>
      <c r="AKM71" s="42"/>
      <c r="AKN71" s="42"/>
      <c r="AKO71" s="42"/>
      <c r="AKP71" s="42"/>
      <c r="AKQ71" s="42"/>
      <c r="AKR71" s="42"/>
      <c r="AKS71" s="42"/>
      <c r="AKT71" s="42"/>
      <c r="AKU71" s="42"/>
      <c r="AKV71" s="42"/>
      <c r="AKW71" s="42"/>
      <c r="AKX71" s="42"/>
      <c r="AKY71" s="42"/>
      <c r="AKZ71" s="42"/>
      <c r="ALA71" s="42"/>
      <c r="ALB71" s="42"/>
      <c r="ALC71" s="42"/>
      <c r="ALD71" s="42"/>
      <c r="ALE71" s="42"/>
      <c r="ALF71" s="42"/>
      <c r="ALG71" s="42"/>
      <c r="ALH71" s="42"/>
      <c r="ALI71" s="42"/>
      <c r="ALJ71" s="42"/>
      <c r="ALK71" s="42"/>
      <c r="ALL71" s="42"/>
      <c r="ALM71" s="42"/>
      <c r="ALN71" s="42"/>
      <c r="ALO71" s="42"/>
      <c r="ALP71" s="42"/>
      <c r="ALQ71" s="42"/>
      <c r="ALR71" s="42"/>
      <c r="ALS71" s="42"/>
      <c r="ALT71" s="42"/>
      <c r="ALU71" s="42"/>
      <c r="ALV71" s="42"/>
      <c r="ALW71" s="42"/>
      <c r="ALX71" s="42"/>
      <c r="ALY71" s="42"/>
      <c r="ALZ71" s="42"/>
      <c r="AMA71" s="42"/>
      <c r="AMB71" s="42"/>
      <c r="AMC71" s="42"/>
      <c r="AMD71" s="42"/>
      <c r="AME71" s="42"/>
      <c r="AMF71" s="42"/>
      <c r="AMG71" s="42"/>
      <c r="AMH71" s="42"/>
      <c r="AMI71" s="42"/>
      <c r="AMJ71" s="42"/>
      <c r="AMK71" s="42"/>
      <c r="AML71" s="42"/>
      <c r="AMM71" s="42"/>
      <c r="AMN71" s="42"/>
      <c r="AMO71" s="42"/>
      <c r="AMP71" s="42"/>
      <c r="AMQ71" s="42"/>
      <c r="AMR71" s="42"/>
      <c r="AMS71" s="42"/>
      <c r="AMT71" s="42"/>
      <c r="AMU71" s="42"/>
      <c r="AMV71" s="42"/>
      <c r="AMW71" s="42"/>
      <c r="AMX71" s="42"/>
      <c r="AMY71" s="42"/>
      <c r="AMZ71" s="42"/>
      <c r="ANA71" s="42"/>
      <c r="ANB71" s="42"/>
      <c r="ANC71" s="42"/>
      <c r="AND71" s="42"/>
      <c r="ANE71" s="42"/>
      <c r="ANF71" s="42"/>
      <c r="ANG71" s="42"/>
      <c r="ANH71" s="42"/>
      <c r="ANI71" s="42"/>
      <c r="ANJ71" s="42"/>
      <c r="ANK71" s="42"/>
      <c r="ANL71" s="42"/>
      <c r="ANM71" s="42"/>
      <c r="ANN71" s="42"/>
      <c r="ANO71" s="42"/>
      <c r="ANP71" s="42"/>
      <c r="ANQ71" s="42"/>
      <c r="ANR71" s="42"/>
      <c r="ANS71" s="42"/>
      <c r="ANT71" s="42"/>
      <c r="ANU71" s="42"/>
      <c r="ANV71" s="42"/>
      <c r="ANW71" s="42"/>
      <c r="ANX71" s="42"/>
      <c r="ANY71" s="42"/>
      <c r="ANZ71" s="42"/>
      <c r="AOA71" s="42"/>
      <c r="AOB71" s="42"/>
      <c r="AOC71" s="42"/>
      <c r="AOD71" s="42"/>
      <c r="AOE71" s="42"/>
      <c r="AOF71" s="42"/>
      <c r="AOG71" s="42"/>
      <c r="AOH71" s="42"/>
      <c r="AOI71" s="42"/>
      <c r="AOJ71" s="42"/>
      <c r="AOK71" s="42"/>
      <c r="AOL71" s="42"/>
      <c r="AOM71" s="42"/>
      <c r="AON71" s="42"/>
      <c r="AOO71" s="42"/>
      <c r="AOP71" s="42"/>
      <c r="AOQ71" s="42"/>
      <c r="AOR71" s="42"/>
      <c r="AOS71" s="42"/>
      <c r="AOT71" s="42"/>
      <c r="AOU71" s="42"/>
      <c r="AOV71" s="42"/>
      <c r="AOW71" s="42"/>
      <c r="AOX71" s="42"/>
      <c r="AOY71" s="42"/>
      <c r="AOZ71" s="42"/>
      <c r="APA71" s="42"/>
      <c r="APB71" s="42"/>
      <c r="APC71" s="42"/>
      <c r="APD71" s="42"/>
      <c r="APE71" s="42"/>
      <c r="APF71" s="42"/>
      <c r="APG71" s="42"/>
      <c r="APH71" s="42"/>
      <c r="API71" s="42"/>
      <c r="APJ71" s="42"/>
      <c r="APK71" s="42"/>
      <c r="APL71" s="42"/>
      <c r="APM71" s="42"/>
      <c r="APN71" s="42"/>
      <c r="APO71" s="42"/>
      <c r="APP71" s="42"/>
      <c r="APQ71" s="42"/>
      <c r="APR71" s="42"/>
      <c r="APS71" s="42"/>
      <c r="APT71" s="42"/>
      <c r="APU71" s="42"/>
      <c r="APV71" s="42"/>
      <c r="APW71" s="42"/>
      <c r="APX71" s="42"/>
      <c r="APY71" s="42"/>
      <c r="APZ71" s="42"/>
      <c r="AQA71" s="42"/>
      <c r="AQB71" s="42"/>
      <c r="AQC71" s="42"/>
      <c r="AQD71" s="42"/>
      <c r="AQE71" s="42"/>
      <c r="AQF71" s="42"/>
      <c r="AQG71" s="42"/>
      <c r="AQH71" s="42"/>
      <c r="AQI71" s="42"/>
      <c r="AQJ71" s="42"/>
      <c r="AQK71" s="42"/>
      <c r="AQL71" s="42"/>
      <c r="AQM71" s="42"/>
      <c r="AQN71" s="42"/>
      <c r="AQO71" s="42"/>
      <c r="AQP71" s="42"/>
      <c r="AQQ71" s="42"/>
      <c r="AQR71" s="42"/>
      <c r="AQS71" s="42"/>
      <c r="AQT71" s="42"/>
      <c r="AQU71" s="42"/>
      <c r="AQV71" s="42"/>
      <c r="AQW71" s="42"/>
      <c r="AQX71" s="42"/>
      <c r="AQY71" s="42"/>
      <c r="AQZ71" s="42"/>
      <c r="ARA71" s="42"/>
      <c r="ARB71" s="42"/>
      <c r="ARC71" s="42"/>
      <c r="ARD71" s="42"/>
      <c r="ARE71" s="42"/>
      <c r="ARF71" s="42"/>
      <c r="ARG71" s="42"/>
      <c r="ARH71" s="42"/>
      <c r="ARI71" s="42"/>
      <c r="ARJ71" s="42"/>
      <c r="ARK71" s="42"/>
      <c r="ARL71" s="42"/>
      <c r="ARM71" s="42"/>
      <c r="ARN71" s="42"/>
      <c r="ARO71" s="42"/>
      <c r="ARP71" s="42"/>
      <c r="ARQ71" s="42"/>
      <c r="ARR71" s="42"/>
      <c r="ARS71" s="42"/>
      <c r="ART71" s="42"/>
      <c r="ARU71" s="42"/>
      <c r="ARV71" s="42"/>
      <c r="ARW71" s="42"/>
      <c r="ARX71" s="42"/>
      <c r="ARY71" s="42"/>
      <c r="ARZ71" s="42"/>
      <c r="ASA71" s="42"/>
      <c r="ASB71" s="42"/>
      <c r="ASC71" s="42"/>
      <c r="ASD71" s="42"/>
      <c r="ASE71" s="42"/>
      <c r="ASF71" s="42"/>
      <c r="ASG71" s="42"/>
      <c r="ASH71" s="42"/>
      <c r="ASI71" s="42"/>
      <c r="ASJ71" s="42"/>
      <c r="ASK71" s="42"/>
      <c r="ASL71" s="42"/>
      <c r="ASM71" s="42"/>
      <c r="ASN71" s="42"/>
      <c r="ASO71" s="42"/>
      <c r="ASP71" s="42"/>
      <c r="ASQ71" s="42"/>
      <c r="ASR71" s="42"/>
      <c r="ASS71" s="42"/>
      <c r="AST71" s="42"/>
      <c r="ASU71" s="42"/>
      <c r="ASV71" s="42"/>
      <c r="ASW71" s="42"/>
      <c r="ASX71" s="42"/>
      <c r="ASY71" s="42"/>
      <c r="ASZ71" s="42"/>
      <c r="ATA71" s="42"/>
      <c r="ATB71" s="42"/>
      <c r="ATC71" s="42"/>
      <c r="ATD71" s="42"/>
      <c r="ATE71" s="42"/>
      <c r="ATF71" s="42"/>
      <c r="ATG71" s="42"/>
      <c r="ATH71" s="42"/>
      <c r="ATI71" s="42"/>
      <c r="ATJ71" s="42"/>
      <c r="ATK71" s="42"/>
      <c r="ATL71" s="42"/>
      <c r="ATM71" s="42"/>
      <c r="ATN71" s="42"/>
      <c r="ATO71" s="42"/>
      <c r="ATP71" s="42"/>
      <c r="ATQ71" s="42"/>
      <c r="ATR71" s="42"/>
      <c r="ATS71" s="42"/>
      <c r="ATT71" s="42"/>
      <c r="ATU71" s="42"/>
      <c r="ATV71" s="42"/>
      <c r="ATW71" s="42"/>
      <c r="ATX71" s="42"/>
      <c r="ATY71" s="42"/>
      <c r="ATZ71" s="42"/>
      <c r="AUA71" s="42"/>
      <c r="AUB71" s="42"/>
      <c r="AUC71" s="42"/>
      <c r="AUD71" s="42"/>
      <c r="AUE71" s="42"/>
      <c r="AUF71" s="42"/>
      <c r="AUG71" s="42"/>
      <c r="AUH71" s="42"/>
      <c r="AUI71" s="42"/>
      <c r="AUJ71" s="42"/>
      <c r="AUK71" s="42"/>
      <c r="AUL71" s="42"/>
      <c r="AUM71" s="42"/>
      <c r="AUN71" s="42"/>
      <c r="AUO71" s="42"/>
      <c r="AUP71" s="42"/>
      <c r="AUQ71" s="42"/>
      <c r="AUR71" s="42"/>
      <c r="AUS71" s="42"/>
      <c r="AUT71" s="42"/>
      <c r="AUU71" s="42"/>
      <c r="AUV71" s="42"/>
      <c r="AUW71" s="42"/>
      <c r="AUX71" s="42"/>
      <c r="AUY71" s="42"/>
      <c r="AUZ71" s="42"/>
      <c r="AVA71" s="42"/>
      <c r="AVB71" s="42"/>
      <c r="AVC71" s="42"/>
      <c r="AVD71" s="42"/>
      <c r="AVE71" s="42"/>
      <c r="AVF71" s="42"/>
      <c r="AVG71" s="42"/>
      <c r="AVH71" s="42"/>
      <c r="AVI71" s="42"/>
      <c r="AVJ71" s="42"/>
      <c r="AVK71" s="42"/>
      <c r="AVL71" s="42"/>
      <c r="AVM71" s="42"/>
      <c r="AVN71" s="42"/>
      <c r="AVO71" s="42"/>
      <c r="AVP71" s="42"/>
      <c r="AVQ71" s="42"/>
      <c r="AVR71" s="42"/>
      <c r="AVS71" s="42"/>
      <c r="AVT71" s="42"/>
      <c r="AVU71" s="42"/>
      <c r="AVV71" s="42"/>
      <c r="AVW71" s="42"/>
      <c r="AVX71" s="42"/>
      <c r="AVY71" s="42"/>
      <c r="AVZ71" s="42"/>
      <c r="AWA71" s="42"/>
      <c r="AWB71" s="42"/>
      <c r="AWC71" s="42"/>
      <c r="AWD71" s="42"/>
      <c r="AWE71" s="42"/>
      <c r="AWF71" s="42"/>
      <c r="AWG71" s="42"/>
      <c r="AWH71" s="42"/>
      <c r="AWI71" s="42"/>
      <c r="AWJ71" s="42"/>
      <c r="AWK71" s="42"/>
      <c r="AWL71" s="42"/>
      <c r="AWM71" s="42"/>
      <c r="AWN71" s="42"/>
      <c r="AWO71" s="42"/>
      <c r="AWP71" s="42"/>
      <c r="AWQ71" s="42"/>
      <c r="AWR71" s="42"/>
      <c r="AWS71" s="42"/>
      <c r="AWT71" s="42"/>
      <c r="AWU71" s="42"/>
      <c r="AWV71" s="42"/>
      <c r="AWW71" s="42"/>
      <c r="AWX71" s="42"/>
      <c r="AWY71" s="42"/>
      <c r="AWZ71" s="42"/>
      <c r="AXA71" s="42"/>
      <c r="AXB71" s="42"/>
      <c r="AXC71" s="42"/>
      <c r="AXD71" s="42"/>
      <c r="AXE71" s="42"/>
      <c r="AXF71" s="42"/>
      <c r="AXG71" s="42"/>
      <c r="AXH71" s="42"/>
      <c r="AXI71" s="42"/>
      <c r="AXJ71" s="42"/>
      <c r="AXK71" s="42"/>
      <c r="AXL71" s="42"/>
      <c r="AXM71" s="42"/>
      <c r="AXN71" s="42"/>
      <c r="AXO71" s="42"/>
      <c r="AXP71" s="42"/>
      <c r="AXQ71" s="42"/>
      <c r="AXR71" s="42"/>
      <c r="AXS71" s="42"/>
      <c r="AXT71" s="42"/>
      <c r="AXU71" s="42"/>
      <c r="AXV71" s="42"/>
      <c r="AXW71" s="42"/>
      <c r="AXX71" s="42"/>
      <c r="AXY71" s="42"/>
      <c r="AXZ71" s="42"/>
      <c r="AYA71" s="42"/>
      <c r="AYB71" s="42"/>
      <c r="AYC71" s="42"/>
      <c r="AYD71" s="42"/>
      <c r="AYE71" s="42"/>
      <c r="AYF71" s="42"/>
      <c r="AYG71" s="42"/>
      <c r="AYH71" s="42"/>
      <c r="AYI71" s="42"/>
      <c r="AYJ71" s="42"/>
      <c r="AYK71" s="42"/>
      <c r="AYL71" s="42"/>
      <c r="AYM71" s="42"/>
      <c r="AYN71" s="42"/>
      <c r="AYO71" s="42"/>
      <c r="AYP71" s="42"/>
      <c r="AYQ71" s="42"/>
      <c r="AYR71" s="42"/>
      <c r="AYS71" s="42"/>
      <c r="AYT71" s="42"/>
      <c r="AYU71" s="42"/>
      <c r="AYV71" s="42"/>
      <c r="AYW71" s="42"/>
      <c r="AYX71" s="42"/>
      <c r="AYY71" s="42"/>
      <c r="AYZ71" s="42"/>
      <c r="AZA71" s="42"/>
      <c r="AZB71" s="42"/>
      <c r="AZC71" s="42"/>
      <c r="AZD71" s="42"/>
      <c r="AZE71" s="42"/>
      <c r="AZF71" s="42"/>
      <c r="AZG71" s="42"/>
      <c r="AZH71" s="42"/>
      <c r="AZI71" s="42"/>
      <c r="AZJ71" s="42"/>
      <c r="AZK71" s="42"/>
      <c r="AZL71" s="42"/>
      <c r="AZM71" s="42"/>
      <c r="AZN71" s="42"/>
      <c r="AZO71" s="42"/>
      <c r="AZP71" s="42"/>
      <c r="AZQ71" s="42"/>
      <c r="AZR71" s="42"/>
      <c r="AZS71" s="42"/>
      <c r="AZT71" s="42"/>
      <c r="AZU71" s="42"/>
      <c r="AZV71" s="42"/>
      <c r="AZW71" s="42"/>
      <c r="AZX71" s="42"/>
      <c r="AZY71" s="42"/>
      <c r="AZZ71" s="42"/>
      <c r="BAA71" s="42"/>
      <c r="BAB71" s="42"/>
      <c r="BAC71" s="42"/>
      <c r="BAD71" s="42"/>
      <c r="BAE71" s="42"/>
      <c r="BAF71" s="42"/>
      <c r="BAG71" s="42"/>
      <c r="BAH71" s="42"/>
      <c r="BAI71" s="42"/>
      <c r="BAJ71" s="42"/>
      <c r="BAK71" s="42"/>
      <c r="BAL71" s="42"/>
      <c r="BAM71" s="42"/>
      <c r="BAN71" s="42"/>
      <c r="BAO71" s="42"/>
      <c r="BAP71" s="42"/>
      <c r="BAQ71" s="42"/>
      <c r="BAR71" s="42"/>
      <c r="BAS71" s="42"/>
      <c r="BAT71" s="42"/>
      <c r="BAU71" s="42"/>
      <c r="BAV71" s="42"/>
      <c r="BAW71" s="42"/>
      <c r="BAX71" s="42"/>
      <c r="BAY71" s="42"/>
      <c r="BAZ71" s="42"/>
      <c r="BBA71" s="42"/>
      <c r="BBB71" s="42"/>
      <c r="BBC71" s="42"/>
      <c r="BBD71" s="42"/>
      <c r="BBE71" s="42"/>
      <c r="BBF71" s="42"/>
      <c r="BBG71" s="42"/>
      <c r="BBH71" s="42"/>
      <c r="BBI71" s="42"/>
      <c r="BBJ71" s="42"/>
      <c r="BBK71" s="42"/>
      <c r="BBL71" s="42"/>
      <c r="BBM71" s="42"/>
      <c r="BBN71" s="42"/>
      <c r="BBO71" s="42"/>
      <c r="BBP71" s="42"/>
      <c r="BBQ71" s="42"/>
      <c r="BBR71" s="42"/>
      <c r="BBS71" s="42"/>
      <c r="BBT71" s="42"/>
      <c r="BBU71" s="42"/>
      <c r="BBV71" s="42"/>
      <c r="BBW71" s="42"/>
      <c r="BBX71" s="42"/>
      <c r="BBY71" s="42"/>
      <c r="BBZ71" s="42"/>
      <c r="BCA71" s="42"/>
      <c r="BCB71" s="42"/>
      <c r="BCC71" s="42"/>
      <c r="BCD71" s="42"/>
      <c r="BCE71" s="42"/>
      <c r="BCF71" s="42"/>
      <c r="BCG71" s="42"/>
      <c r="BCH71" s="42"/>
      <c r="BCI71" s="42"/>
      <c r="BCJ71" s="42"/>
      <c r="BCK71" s="42"/>
      <c r="BCL71" s="42"/>
      <c r="BCM71" s="42"/>
      <c r="BCN71" s="42"/>
      <c r="BCO71" s="42"/>
      <c r="BCP71" s="42"/>
      <c r="BCQ71" s="42"/>
      <c r="BCR71" s="42"/>
      <c r="BCS71" s="42"/>
      <c r="BCT71" s="42"/>
      <c r="BCU71" s="42"/>
      <c r="BCV71" s="42"/>
      <c r="BCW71" s="42"/>
      <c r="BCX71" s="42"/>
      <c r="BCY71" s="42"/>
      <c r="BCZ71" s="42"/>
      <c r="BDA71" s="42"/>
      <c r="BDB71" s="42"/>
      <c r="BDC71" s="42"/>
      <c r="BDD71" s="42"/>
      <c r="BDE71" s="42"/>
      <c r="BDF71" s="42"/>
      <c r="BDG71" s="42"/>
      <c r="BDH71" s="42"/>
      <c r="BDI71" s="42"/>
      <c r="BDJ71" s="42"/>
      <c r="BDK71" s="42"/>
      <c r="BDL71" s="42"/>
      <c r="BDM71" s="42"/>
      <c r="BDN71" s="42"/>
      <c r="BDO71" s="42"/>
      <c r="BDP71" s="42"/>
      <c r="BDQ71" s="42"/>
      <c r="BDR71" s="42"/>
      <c r="BDS71" s="42"/>
      <c r="BDT71" s="42"/>
      <c r="BDU71" s="42"/>
      <c r="BDV71" s="42"/>
      <c r="BDW71" s="42"/>
      <c r="BDX71" s="42"/>
      <c r="BDY71" s="42"/>
      <c r="BDZ71" s="42"/>
      <c r="BEA71" s="42"/>
      <c r="BEB71" s="42"/>
      <c r="BEC71" s="42"/>
      <c r="BED71" s="42"/>
      <c r="BEE71" s="42"/>
      <c r="BEF71" s="42"/>
      <c r="BEG71" s="42"/>
      <c r="BEH71" s="42"/>
      <c r="BEI71" s="42"/>
      <c r="BEJ71" s="42"/>
      <c r="BEK71" s="42"/>
      <c r="BEL71" s="42"/>
      <c r="BEM71" s="42"/>
      <c r="BEN71" s="42"/>
      <c r="BEO71" s="42"/>
      <c r="BEP71" s="42"/>
      <c r="BEQ71" s="42"/>
      <c r="BER71" s="42"/>
      <c r="BES71" s="42"/>
      <c r="BET71" s="42"/>
      <c r="BEU71" s="42"/>
      <c r="BEV71" s="42"/>
      <c r="BEW71" s="42"/>
      <c r="BEX71" s="42"/>
      <c r="BEY71" s="42"/>
      <c r="BEZ71" s="42"/>
      <c r="BFA71" s="42"/>
      <c r="BFB71" s="42"/>
      <c r="BFC71" s="42"/>
      <c r="BFD71" s="42"/>
      <c r="BFE71" s="42"/>
      <c r="BFF71" s="42"/>
      <c r="BFG71" s="42"/>
      <c r="BFH71" s="42"/>
      <c r="BFI71" s="42"/>
      <c r="BFJ71" s="42"/>
      <c r="BFK71" s="42"/>
      <c r="BFL71" s="42"/>
      <c r="BFM71" s="42"/>
      <c r="BFN71" s="42"/>
      <c r="BFO71" s="42"/>
      <c r="BFP71" s="42"/>
      <c r="BFQ71" s="42"/>
      <c r="BFR71" s="42"/>
      <c r="BFS71" s="42"/>
      <c r="BFT71" s="42"/>
      <c r="BFU71" s="42"/>
      <c r="BFV71" s="42"/>
      <c r="BFW71" s="42"/>
      <c r="BFX71" s="42"/>
      <c r="BFY71" s="42"/>
      <c r="BFZ71" s="42"/>
      <c r="BGA71" s="42"/>
      <c r="BGB71" s="42"/>
      <c r="BGC71" s="42"/>
      <c r="BGD71" s="42"/>
      <c r="BGE71" s="42"/>
      <c r="BGF71" s="42"/>
      <c r="BGG71" s="42"/>
      <c r="BGH71" s="42"/>
      <c r="BGI71" s="42"/>
      <c r="BGJ71" s="42"/>
      <c r="BGK71" s="42"/>
      <c r="BGL71" s="42"/>
      <c r="BGM71" s="42"/>
      <c r="BGN71" s="42"/>
      <c r="BGO71" s="42"/>
      <c r="BGP71" s="42"/>
      <c r="BGQ71" s="42"/>
      <c r="BGR71" s="42"/>
      <c r="BGS71" s="42"/>
      <c r="BGT71" s="42"/>
      <c r="BGU71" s="42"/>
      <c r="BGV71" s="42"/>
      <c r="BGW71" s="42"/>
      <c r="BGX71" s="42"/>
      <c r="BGY71" s="42"/>
      <c r="BGZ71" s="42"/>
      <c r="BHA71" s="42"/>
      <c r="BHB71" s="42"/>
      <c r="BHC71" s="42"/>
      <c r="BHD71" s="42"/>
      <c r="BHE71" s="42"/>
      <c r="BHF71" s="42"/>
      <c r="BHG71" s="42"/>
      <c r="BHH71" s="42"/>
      <c r="BHI71" s="42"/>
      <c r="BHJ71" s="42"/>
      <c r="BHK71" s="42"/>
      <c r="BHL71" s="42"/>
      <c r="BHM71" s="42"/>
      <c r="BHN71" s="42"/>
      <c r="BHO71" s="42"/>
      <c r="BHP71" s="42"/>
      <c r="BHQ71" s="42"/>
      <c r="BHR71" s="42"/>
      <c r="BHS71" s="42"/>
      <c r="BHT71" s="42"/>
      <c r="BHU71" s="42"/>
      <c r="BHV71" s="42"/>
      <c r="BHW71" s="42"/>
      <c r="BHX71" s="42"/>
      <c r="BHY71" s="42"/>
      <c r="BHZ71" s="42"/>
      <c r="BIA71" s="42"/>
      <c r="BIB71" s="42"/>
      <c r="BIC71" s="42"/>
      <c r="BID71" s="42"/>
      <c r="BIE71" s="42"/>
      <c r="BIF71" s="42"/>
      <c r="BIG71" s="42"/>
      <c r="BIH71" s="42"/>
      <c r="BII71" s="42"/>
      <c r="BIJ71" s="42"/>
      <c r="BIK71" s="42"/>
      <c r="BIL71" s="42"/>
      <c r="BIM71" s="42"/>
      <c r="BIN71" s="42"/>
      <c r="BIO71" s="42"/>
      <c r="BIP71" s="42"/>
      <c r="BIQ71" s="42"/>
      <c r="BIR71" s="42"/>
      <c r="BIS71" s="42"/>
      <c r="BIT71" s="42"/>
      <c r="BIU71" s="42"/>
      <c r="BIV71" s="42"/>
      <c r="BIW71" s="42"/>
      <c r="BIX71" s="42"/>
      <c r="BIY71" s="42"/>
      <c r="BIZ71" s="42"/>
      <c r="BJA71" s="42"/>
      <c r="BJB71" s="42"/>
      <c r="BJC71" s="42"/>
      <c r="BJD71" s="42"/>
      <c r="BJE71" s="42"/>
      <c r="BJF71" s="42"/>
      <c r="BJG71" s="42"/>
      <c r="BJH71" s="42"/>
      <c r="BJI71" s="42"/>
      <c r="BJJ71" s="42"/>
      <c r="BJK71" s="42"/>
      <c r="BJL71" s="42"/>
      <c r="BJM71" s="42"/>
      <c r="BJN71" s="42"/>
      <c r="BJO71" s="42"/>
      <c r="BJP71" s="42"/>
      <c r="BJQ71" s="42"/>
      <c r="BJR71" s="42"/>
      <c r="BJS71" s="42"/>
      <c r="BJT71" s="42"/>
      <c r="BJU71" s="42"/>
      <c r="BJV71" s="42"/>
      <c r="BJW71" s="42"/>
      <c r="BJX71" s="42"/>
      <c r="BJY71" s="42"/>
      <c r="BJZ71" s="42"/>
      <c r="BKA71" s="42"/>
      <c r="BKB71" s="42"/>
      <c r="BKC71" s="42"/>
      <c r="BKD71" s="42"/>
      <c r="BKE71" s="42"/>
      <c r="BKF71" s="42"/>
      <c r="BKG71" s="42"/>
      <c r="BKH71" s="42"/>
      <c r="BKI71" s="42"/>
      <c r="BKJ71" s="42"/>
      <c r="BKK71" s="42"/>
      <c r="BKL71" s="42"/>
      <c r="BKM71" s="42"/>
      <c r="BKN71" s="42"/>
      <c r="BKO71" s="42"/>
      <c r="BKP71" s="42"/>
      <c r="BKQ71" s="42"/>
      <c r="BKR71" s="42"/>
      <c r="BKS71" s="42"/>
      <c r="BKT71" s="42"/>
      <c r="BKU71" s="42"/>
      <c r="BKV71" s="42"/>
      <c r="BKW71" s="42"/>
      <c r="BKX71" s="42"/>
      <c r="BKY71" s="42"/>
      <c r="BKZ71" s="42"/>
      <c r="BLA71" s="42"/>
      <c r="BLB71" s="42"/>
      <c r="BLC71" s="42"/>
      <c r="BLD71" s="42"/>
      <c r="BLE71" s="42"/>
      <c r="BLF71" s="42"/>
      <c r="BLG71" s="42"/>
      <c r="BLH71" s="42"/>
      <c r="BLI71" s="42"/>
      <c r="BLJ71" s="42"/>
      <c r="BLK71" s="42"/>
      <c r="BLL71" s="42"/>
      <c r="BLM71" s="42"/>
      <c r="BLN71" s="42"/>
      <c r="BLO71" s="42"/>
      <c r="BLP71" s="42"/>
      <c r="BLQ71" s="42"/>
      <c r="BLR71" s="42"/>
      <c r="BLS71" s="42"/>
      <c r="BLT71" s="42"/>
      <c r="BLU71" s="42"/>
      <c r="BLV71" s="42"/>
      <c r="BLW71" s="42"/>
      <c r="BLX71" s="42"/>
      <c r="BLY71" s="42"/>
      <c r="BLZ71" s="42"/>
      <c r="BMA71" s="42"/>
      <c r="BMB71" s="42"/>
      <c r="BMC71" s="42"/>
      <c r="BMD71" s="42"/>
      <c r="BME71" s="42"/>
      <c r="BMF71" s="42"/>
      <c r="BMG71" s="42"/>
      <c r="BMH71" s="42"/>
      <c r="BMI71" s="42"/>
      <c r="BMJ71" s="42"/>
      <c r="BMK71" s="42"/>
      <c r="BML71" s="42"/>
      <c r="BMM71" s="42"/>
      <c r="BMN71" s="42"/>
      <c r="BMO71" s="42"/>
      <c r="BMP71" s="42"/>
      <c r="BMQ71" s="42"/>
      <c r="BMR71" s="42"/>
      <c r="BMS71" s="42"/>
      <c r="BMT71" s="42"/>
      <c r="BMU71" s="42"/>
      <c r="BMV71" s="42"/>
      <c r="BMW71" s="42"/>
      <c r="BMX71" s="42"/>
      <c r="BMY71" s="42"/>
      <c r="BMZ71" s="42"/>
      <c r="BNA71" s="42"/>
      <c r="BNB71" s="42"/>
      <c r="BNC71" s="42"/>
      <c r="BND71" s="42"/>
      <c r="BNE71" s="42"/>
      <c r="BNF71" s="42"/>
      <c r="BNG71" s="42"/>
      <c r="BNH71" s="42"/>
      <c r="BNI71" s="42"/>
      <c r="BNJ71" s="42"/>
      <c r="BNK71" s="42"/>
      <c r="BNL71" s="42"/>
      <c r="BNM71" s="42"/>
      <c r="BNN71" s="42"/>
      <c r="BNO71" s="42"/>
      <c r="BNP71" s="42"/>
      <c r="BNQ71" s="42"/>
      <c r="BNR71" s="42"/>
      <c r="BNS71" s="42"/>
      <c r="BNT71" s="42"/>
      <c r="BNU71" s="42"/>
      <c r="BNV71" s="42"/>
      <c r="BNW71" s="42"/>
      <c r="BNX71" s="42"/>
      <c r="BNY71" s="42"/>
      <c r="BNZ71" s="42"/>
      <c r="BOA71" s="42"/>
      <c r="BOB71" s="42"/>
      <c r="BOC71" s="42"/>
      <c r="BOD71" s="42"/>
      <c r="BOE71" s="42"/>
      <c r="BOF71" s="42"/>
      <c r="BOG71" s="42"/>
      <c r="BOH71" s="42"/>
      <c r="BOI71" s="42"/>
      <c r="BOJ71" s="42"/>
      <c r="BOK71" s="42"/>
      <c r="BOL71" s="42"/>
      <c r="BOM71" s="42"/>
      <c r="BON71" s="42"/>
      <c r="BOO71" s="42"/>
      <c r="BOP71" s="42"/>
      <c r="BOQ71" s="42"/>
      <c r="BOR71" s="42"/>
      <c r="BOS71" s="42"/>
      <c r="BOT71" s="42"/>
      <c r="BOU71" s="42"/>
      <c r="BOV71" s="42"/>
      <c r="BOW71" s="42"/>
      <c r="BOX71" s="42"/>
      <c r="BOY71" s="42"/>
      <c r="BOZ71" s="42"/>
      <c r="BPA71" s="42"/>
      <c r="BPB71" s="42"/>
      <c r="BPC71" s="42"/>
      <c r="BPD71" s="42"/>
      <c r="BPE71" s="42"/>
      <c r="BPF71" s="42"/>
      <c r="BPG71" s="42"/>
      <c r="BPH71" s="42"/>
      <c r="BPI71" s="42"/>
      <c r="BPJ71" s="42"/>
      <c r="BPK71" s="42"/>
      <c r="BPL71" s="42"/>
      <c r="BPM71" s="42"/>
      <c r="BPN71" s="42"/>
      <c r="BPO71" s="42"/>
      <c r="BPP71" s="42"/>
      <c r="BPQ71" s="42"/>
      <c r="BPR71" s="42"/>
      <c r="BPS71" s="42"/>
      <c r="BPT71" s="42"/>
      <c r="BPU71" s="42"/>
      <c r="BPV71" s="42"/>
      <c r="BPW71" s="42"/>
      <c r="BPX71" s="42"/>
      <c r="BPY71" s="42"/>
      <c r="BPZ71" s="42"/>
      <c r="BQA71" s="42"/>
      <c r="BQB71" s="42"/>
      <c r="BQC71" s="42"/>
      <c r="BQD71" s="42"/>
      <c r="BQE71" s="42"/>
      <c r="BQF71" s="42"/>
      <c r="BQG71" s="42"/>
      <c r="BQH71" s="42"/>
      <c r="BQI71" s="42"/>
      <c r="BQJ71" s="42"/>
      <c r="BQK71" s="42"/>
      <c r="BQL71" s="42"/>
      <c r="BQM71" s="42"/>
      <c r="BQN71" s="42"/>
      <c r="BQO71" s="42"/>
      <c r="BQP71" s="42"/>
      <c r="BQQ71" s="42"/>
      <c r="BQR71" s="42"/>
      <c r="BQS71" s="42"/>
      <c r="BQT71" s="42"/>
      <c r="BQU71" s="42"/>
      <c r="BQV71" s="42"/>
      <c r="BQW71" s="42"/>
      <c r="BQX71" s="42"/>
      <c r="BQY71" s="42"/>
      <c r="BQZ71" s="42"/>
      <c r="BRA71" s="42"/>
      <c r="BRB71" s="42"/>
      <c r="BRC71" s="42"/>
      <c r="BRD71" s="42"/>
      <c r="BRE71" s="42"/>
      <c r="BRF71" s="42"/>
      <c r="BRG71" s="42"/>
      <c r="BRH71" s="42"/>
      <c r="BRI71" s="42"/>
      <c r="BRJ71" s="42"/>
      <c r="BRK71" s="42"/>
      <c r="BRL71" s="42"/>
      <c r="BRM71" s="42"/>
      <c r="BRN71" s="42"/>
      <c r="BRO71" s="42"/>
      <c r="BRP71" s="42"/>
      <c r="BRQ71" s="42"/>
      <c r="BRR71" s="42"/>
      <c r="BRS71" s="42"/>
      <c r="BRT71" s="42"/>
      <c r="BRU71" s="42"/>
      <c r="BRV71" s="42"/>
      <c r="BRW71" s="42"/>
      <c r="BRX71" s="42"/>
      <c r="BRY71" s="42"/>
      <c r="BRZ71" s="42"/>
      <c r="BSA71" s="42"/>
      <c r="BSB71" s="42"/>
      <c r="BSC71" s="42"/>
      <c r="BSD71" s="42"/>
      <c r="BSE71" s="42"/>
      <c r="BSF71" s="42"/>
      <c r="BSG71" s="42"/>
      <c r="BSH71" s="42"/>
      <c r="BSI71" s="42"/>
      <c r="BSJ71" s="42"/>
      <c r="BSK71" s="42"/>
      <c r="BSL71" s="42"/>
      <c r="BSM71" s="42"/>
      <c r="BSN71" s="42"/>
      <c r="BSO71" s="42"/>
      <c r="BSP71" s="42"/>
      <c r="BSQ71" s="42"/>
      <c r="BSR71" s="42"/>
      <c r="BSS71" s="42"/>
      <c r="BST71" s="42"/>
      <c r="BSU71" s="42"/>
      <c r="BSV71" s="42"/>
      <c r="BSW71" s="42"/>
      <c r="BSX71" s="42"/>
      <c r="BSY71" s="42"/>
      <c r="BSZ71" s="42"/>
      <c r="BTA71" s="42"/>
      <c r="BTB71" s="42"/>
      <c r="BTC71" s="42"/>
      <c r="BTD71" s="42"/>
      <c r="BTE71" s="42"/>
      <c r="BTF71" s="42"/>
      <c r="BTG71" s="42"/>
      <c r="BTH71" s="42"/>
      <c r="BTI71" s="42"/>
      <c r="BTJ71" s="42"/>
      <c r="BTK71" s="42"/>
      <c r="BTL71" s="42"/>
      <c r="BTM71" s="42"/>
      <c r="BTN71" s="42"/>
      <c r="BTO71" s="42"/>
      <c r="BTP71" s="42"/>
      <c r="BTQ71" s="42"/>
      <c r="BTR71" s="42"/>
      <c r="BTS71" s="42"/>
      <c r="BTT71" s="42"/>
      <c r="BTU71" s="42"/>
      <c r="BTV71" s="42"/>
      <c r="BTW71" s="42"/>
      <c r="BTX71" s="42"/>
      <c r="BTY71" s="42"/>
      <c r="BTZ71" s="42"/>
      <c r="BUA71" s="42"/>
      <c r="BUB71" s="42"/>
      <c r="BUC71" s="42"/>
      <c r="BUD71" s="42"/>
      <c r="BUE71" s="42"/>
      <c r="BUF71" s="42"/>
      <c r="BUG71" s="42"/>
      <c r="BUH71" s="42"/>
      <c r="BUI71" s="42"/>
      <c r="BUJ71" s="42"/>
      <c r="BUK71" s="42"/>
      <c r="BUL71" s="42"/>
      <c r="BUM71" s="42"/>
      <c r="BUN71" s="42"/>
      <c r="BUO71" s="42"/>
      <c r="BUP71" s="42"/>
      <c r="BUQ71" s="42"/>
      <c r="BUR71" s="42"/>
      <c r="BUS71" s="42"/>
      <c r="BUT71" s="42"/>
      <c r="BUU71" s="42"/>
      <c r="BUV71" s="42"/>
      <c r="BUW71" s="42"/>
      <c r="BUX71" s="42"/>
      <c r="BUY71" s="42"/>
      <c r="BUZ71" s="42"/>
      <c r="BVA71" s="42"/>
      <c r="BVB71" s="42"/>
      <c r="BVC71" s="42"/>
      <c r="BVD71" s="42"/>
      <c r="BVE71" s="42"/>
      <c r="BVF71" s="42"/>
      <c r="BVG71" s="42"/>
      <c r="BVH71" s="42"/>
      <c r="BVI71" s="42"/>
      <c r="BVJ71" s="42"/>
      <c r="BVK71" s="42"/>
      <c r="BVL71" s="42"/>
      <c r="BVM71" s="42"/>
      <c r="BVN71" s="42"/>
      <c r="BVO71" s="42"/>
      <c r="BVP71" s="42"/>
      <c r="BVQ71" s="42"/>
      <c r="BVR71" s="42"/>
      <c r="BVS71" s="42"/>
      <c r="BVT71" s="42"/>
      <c r="BVU71" s="42"/>
      <c r="BVV71" s="42"/>
      <c r="BVW71" s="42"/>
      <c r="BVX71" s="42"/>
      <c r="BVY71" s="42"/>
      <c r="BVZ71" s="42"/>
      <c r="BWA71" s="42"/>
      <c r="BWB71" s="42"/>
      <c r="BWC71" s="42"/>
      <c r="BWD71" s="42"/>
      <c r="BWE71" s="42"/>
      <c r="BWF71" s="42"/>
      <c r="BWG71" s="42"/>
      <c r="BWH71" s="42"/>
      <c r="BWI71" s="42"/>
      <c r="BWJ71" s="42"/>
      <c r="BWK71" s="42"/>
      <c r="BWL71" s="42"/>
      <c r="BWM71" s="42"/>
      <c r="BWN71" s="42"/>
      <c r="BWO71" s="42"/>
      <c r="BWP71" s="42"/>
      <c r="BWQ71" s="42"/>
      <c r="BWR71" s="42"/>
      <c r="BWS71" s="42"/>
      <c r="BWT71" s="42"/>
      <c r="BWU71" s="42"/>
      <c r="BWV71" s="42"/>
      <c r="BWW71" s="42"/>
      <c r="BWX71" s="42"/>
      <c r="BWY71" s="42"/>
      <c r="BWZ71" s="42"/>
      <c r="BXA71" s="42"/>
      <c r="BXB71" s="42"/>
      <c r="BXC71" s="42"/>
      <c r="BXD71" s="42"/>
      <c r="BXE71" s="42"/>
      <c r="BXF71" s="42"/>
      <c r="BXG71" s="42"/>
      <c r="BXH71" s="42"/>
      <c r="BXI71" s="42"/>
      <c r="BXJ71" s="42"/>
      <c r="BXK71" s="42"/>
      <c r="BXL71" s="42"/>
      <c r="BXM71" s="42"/>
      <c r="BXN71" s="42"/>
      <c r="BXO71" s="42"/>
      <c r="BXP71" s="42"/>
      <c r="BXQ71" s="42"/>
      <c r="BXR71" s="42"/>
      <c r="BXS71" s="42"/>
      <c r="BXT71" s="42"/>
      <c r="BXU71" s="42"/>
      <c r="BXV71" s="42"/>
      <c r="BXW71" s="42"/>
      <c r="BXX71" s="42"/>
      <c r="BXY71" s="42"/>
      <c r="BXZ71" s="42"/>
      <c r="BYA71" s="42"/>
      <c r="BYB71" s="42"/>
      <c r="BYC71" s="42"/>
      <c r="BYD71" s="42"/>
      <c r="BYE71" s="42"/>
      <c r="BYF71" s="42"/>
      <c r="BYG71" s="42"/>
      <c r="BYH71" s="42"/>
      <c r="BYI71" s="42"/>
      <c r="BYJ71" s="42"/>
      <c r="BYK71" s="42"/>
      <c r="BYL71" s="42"/>
      <c r="BYM71" s="42"/>
      <c r="BYN71" s="42"/>
      <c r="BYO71" s="42"/>
      <c r="BYP71" s="42"/>
      <c r="BYQ71" s="42"/>
      <c r="BYR71" s="42"/>
      <c r="BYS71" s="42"/>
      <c r="BYT71" s="42"/>
      <c r="BYU71" s="42"/>
      <c r="BYV71" s="42"/>
      <c r="BYW71" s="42"/>
      <c r="BYX71" s="42"/>
      <c r="BYY71" s="42"/>
      <c r="BYZ71" s="42"/>
      <c r="BZA71" s="42"/>
      <c r="BZB71" s="42"/>
      <c r="BZC71" s="42"/>
      <c r="BZD71" s="42"/>
      <c r="BZE71" s="42"/>
      <c r="BZF71" s="42"/>
      <c r="BZG71" s="42"/>
      <c r="BZH71" s="42"/>
      <c r="BZI71" s="42"/>
      <c r="BZJ71" s="42"/>
      <c r="BZK71" s="42"/>
      <c r="BZL71" s="42"/>
      <c r="BZM71" s="42"/>
      <c r="BZN71" s="42"/>
      <c r="BZO71" s="42"/>
      <c r="BZP71" s="42"/>
      <c r="BZQ71" s="42"/>
      <c r="BZR71" s="42"/>
      <c r="BZS71" s="42"/>
      <c r="BZT71" s="42"/>
      <c r="BZU71" s="42"/>
      <c r="BZV71" s="42"/>
      <c r="BZW71" s="42"/>
      <c r="BZX71" s="42"/>
      <c r="BZY71" s="42"/>
      <c r="BZZ71" s="42"/>
      <c r="CAA71" s="42"/>
      <c r="CAB71" s="42"/>
      <c r="CAC71" s="42"/>
      <c r="CAD71" s="42"/>
      <c r="CAE71" s="42"/>
      <c r="CAF71" s="42"/>
      <c r="CAG71" s="42"/>
      <c r="CAH71" s="42"/>
      <c r="CAI71" s="42"/>
      <c r="CAJ71" s="42"/>
      <c r="CAK71" s="42"/>
      <c r="CAL71" s="42"/>
      <c r="CAM71" s="42"/>
      <c r="CAN71" s="42"/>
      <c r="CAO71" s="42"/>
      <c r="CAP71" s="42"/>
      <c r="CAQ71" s="42"/>
      <c r="CAR71" s="42"/>
      <c r="CAS71" s="42"/>
      <c r="CAT71" s="42"/>
      <c r="CAU71" s="42"/>
      <c r="CAV71" s="42"/>
      <c r="CAW71" s="42"/>
      <c r="CAX71" s="42"/>
      <c r="CAY71" s="42"/>
      <c r="CAZ71" s="42"/>
      <c r="CBA71" s="42"/>
      <c r="CBB71" s="42"/>
      <c r="CBC71" s="42"/>
      <c r="CBD71" s="42"/>
      <c r="CBE71" s="42"/>
      <c r="CBF71" s="42"/>
      <c r="CBG71" s="42"/>
      <c r="CBH71" s="42"/>
    </row>
    <row r="72" spans="1:2088" customFormat="1" x14ac:dyDescent="0.2">
      <c r="A72" s="1" t="s">
        <v>168</v>
      </c>
      <c r="B72" s="29" t="str" cm="1">
        <f t="array" ref="B72">IF(OR(B117="",B23="",B28=""),"error: missing input",LOOKUP(1,(B117={"age 30-39";"age 30-39";"age 40-49";"age 40-49";"age 50-59";"age 50-59";"age 60-69";"age 60-69";"age 30-39";"age 30-39";"age 40-49";"age 40-49";"age 50-59";"age 50-59";"age 60-69";"age 60-69";"age 30-39";"age 30-39";"age 40-49";"age 40-49";"age 50-59";"age 50-59";"age 60-69";"age 60-69"})*(B28={"typical";"typical";"typical";"typical";"typical";"typical";"typical";"typical";"atypical";"atypical";"atypical";"atypical";"atypical";"atypical";"atypical";"atypical";"nonanginal";"nonanginal";"nonanginal";"nonanginal";"nonanginal";"nonanginal";"nonanginal";"nonanginal"})*(B23={"male";"female";"male";"female";"male";"female";"male";"female";"male";"female";"male";"female";"male";"female";"male";"female";"male";"female";"male";"female";"male";"female";"male";"female"}),{69.7;25.8;87.3;55.2;92;79.4;94.3;90.6;21.8;4.2;46.1;13.3;58.9;32.4;67.1;54.4;5.2;0.8;14.1;2.8;21.5;8.4;28.1;18.6}))</f>
        <v>error: missing input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  <c r="FK72" s="42"/>
      <c r="FL72" s="42"/>
      <c r="FM72" s="42"/>
      <c r="FN72" s="42"/>
      <c r="FO72" s="42"/>
      <c r="FP72" s="42"/>
      <c r="FQ72" s="42"/>
      <c r="FR72" s="42"/>
      <c r="FS72" s="42"/>
      <c r="FT72" s="42"/>
      <c r="FU72" s="42"/>
      <c r="FV72" s="42"/>
      <c r="FW72" s="42"/>
      <c r="FX72" s="42"/>
      <c r="FY72" s="42"/>
      <c r="FZ72" s="42"/>
      <c r="GA72" s="42"/>
      <c r="GB72" s="42"/>
      <c r="GC72" s="42"/>
      <c r="GD72" s="42"/>
      <c r="GE72" s="42"/>
      <c r="GF72" s="42"/>
      <c r="GG72" s="42"/>
      <c r="GH72" s="42"/>
      <c r="GI72" s="42"/>
      <c r="GJ72" s="42"/>
      <c r="GK72" s="42"/>
      <c r="GL72" s="42"/>
      <c r="GM72" s="42"/>
      <c r="GN72" s="42"/>
      <c r="GO72" s="42"/>
      <c r="GP72" s="42"/>
      <c r="GQ72" s="42"/>
      <c r="GR72" s="42"/>
      <c r="GS72" s="42"/>
      <c r="GT72" s="42"/>
      <c r="GU72" s="42"/>
      <c r="GV72" s="42"/>
      <c r="GW72" s="42"/>
      <c r="GX72" s="42"/>
      <c r="GY72" s="42"/>
      <c r="GZ72" s="42"/>
      <c r="HA72" s="42"/>
      <c r="HB72" s="42"/>
      <c r="HC72" s="42"/>
      <c r="HD72" s="42"/>
      <c r="HE72" s="42"/>
      <c r="HF72" s="42"/>
      <c r="HG72" s="42"/>
      <c r="HH72" s="42"/>
      <c r="HI72" s="42"/>
      <c r="HJ72" s="42"/>
      <c r="HK72" s="42"/>
      <c r="HL72" s="42"/>
      <c r="HM72" s="42"/>
      <c r="HN72" s="42"/>
      <c r="HO72" s="42"/>
      <c r="HP72" s="42"/>
      <c r="HQ72" s="42"/>
      <c r="HR72" s="42"/>
      <c r="HS72" s="42"/>
      <c r="HT72" s="42"/>
      <c r="HU72" s="42"/>
      <c r="HV72" s="42"/>
      <c r="HW72" s="42"/>
      <c r="HX72" s="42"/>
      <c r="HY72" s="42"/>
      <c r="HZ72" s="42"/>
      <c r="IA72" s="42"/>
      <c r="IB72" s="42"/>
      <c r="IC72" s="42"/>
      <c r="ID72" s="42"/>
      <c r="IE72" s="42"/>
      <c r="IF72" s="42"/>
      <c r="IG72" s="42"/>
      <c r="IH72" s="42"/>
      <c r="II72" s="42"/>
      <c r="IJ72" s="42"/>
      <c r="IK72" s="42"/>
      <c r="IL72" s="42"/>
      <c r="IM72" s="42"/>
      <c r="IN72" s="42"/>
      <c r="IO72" s="42"/>
      <c r="IP72" s="42"/>
      <c r="IQ72" s="42"/>
      <c r="IR72" s="42"/>
      <c r="IS72" s="42"/>
      <c r="IT72" s="42"/>
      <c r="IU72" s="42"/>
      <c r="IV72" s="42"/>
      <c r="IW72" s="42"/>
      <c r="IX72" s="42"/>
      <c r="IY72" s="42"/>
      <c r="IZ72" s="42"/>
      <c r="JA72" s="42"/>
      <c r="JB72" s="42"/>
      <c r="JC72" s="42"/>
      <c r="JD72" s="42"/>
      <c r="JE72" s="42"/>
      <c r="JF72" s="42"/>
      <c r="JG72" s="42"/>
      <c r="JH72" s="42"/>
      <c r="JI72" s="42"/>
      <c r="JJ72" s="42"/>
      <c r="JK72" s="42"/>
      <c r="JL72" s="42"/>
      <c r="JM72" s="42"/>
      <c r="JN72" s="42"/>
      <c r="JO72" s="42"/>
      <c r="JP72" s="42"/>
      <c r="JQ72" s="42"/>
      <c r="JR72" s="42"/>
      <c r="JS72" s="42"/>
      <c r="JT72" s="42"/>
      <c r="JU72" s="42"/>
      <c r="JV72" s="42"/>
      <c r="JW72" s="42"/>
      <c r="JX72" s="42"/>
      <c r="JY72" s="42"/>
      <c r="JZ72" s="42"/>
      <c r="KA72" s="42"/>
      <c r="KB72" s="42"/>
      <c r="KC72" s="42"/>
      <c r="KD72" s="42"/>
      <c r="KE72" s="42"/>
      <c r="KF72" s="42"/>
      <c r="KG72" s="42"/>
      <c r="KH72" s="42"/>
      <c r="KI72" s="42"/>
      <c r="KJ72" s="42"/>
      <c r="KK72" s="42"/>
      <c r="KL72" s="42"/>
      <c r="KM72" s="42"/>
      <c r="KN72" s="42"/>
      <c r="KO72" s="42"/>
      <c r="KP72" s="42"/>
      <c r="KQ72" s="42"/>
      <c r="KR72" s="42"/>
      <c r="KS72" s="42"/>
      <c r="KT72" s="42"/>
      <c r="KU72" s="42"/>
      <c r="KV72" s="42"/>
      <c r="KW72" s="42"/>
      <c r="KX72" s="42"/>
      <c r="KY72" s="42"/>
      <c r="KZ72" s="42"/>
      <c r="LA72" s="42"/>
      <c r="LB72" s="42"/>
      <c r="LC72" s="42"/>
      <c r="LD72" s="42"/>
      <c r="LE72" s="42"/>
      <c r="LF72" s="42"/>
      <c r="LG72" s="42"/>
      <c r="LH72" s="42"/>
      <c r="LI72" s="42"/>
      <c r="LJ72" s="42"/>
      <c r="LK72" s="42"/>
      <c r="LL72" s="42"/>
      <c r="LM72" s="42"/>
      <c r="LN72" s="42"/>
      <c r="LO72" s="42"/>
      <c r="LP72" s="42"/>
      <c r="LQ72" s="42"/>
      <c r="LR72" s="42"/>
      <c r="LS72" s="42"/>
      <c r="LT72" s="42"/>
      <c r="LU72" s="42"/>
      <c r="LV72" s="42"/>
      <c r="LW72" s="42"/>
      <c r="LX72" s="42"/>
      <c r="LY72" s="42"/>
      <c r="LZ72" s="42"/>
      <c r="MA72" s="42"/>
      <c r="MB72" s="42"/>
      <c r="MC72" s="42"/>
      <c r="MD72" s="42"/>
      <c r="ME72" s="42"/>
      <c r="MF72" s="42"/>
      <c r="MG72" s="42"/>
      <c r="MH72" s="42"/>
      <c r="MI72" s="42"/>
      <c r="MJ72" s="42"/>
      <c r="MK72" s="42"/>
      <c r="ML72" s="42"/>
      <c r="MM72" s="42"/>
      <c r="MN72" s="42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3"/>
      <c r="NE72" s="43"/>
      <c r="NF72" s="43"/>
      <c r="NG72" s="43"/>
      <c r="NH72" s="43"/>
      <c r="NI72" s="43"/>
      <c r="NJ72" s="43"/>
      <c r="NK72" s="43"/>
      <c r="NL72" s="43"/>
      <c r="NM72" s="43"/>
      <c r="NN72" s="43"/>
      <c r="NO72" s="43"/>
      <c r="NP72" s="43"/>
      <c r="NQ72" s="43"/>
      <c r="NR72" s="43"/>
      <c r="NS72" s="43"/>
      <c r="NT72" s="43"/>
      <c r="NU72" s="43"/>
      <c r="NV72" s="43"/>
      <c r="NW72" s="43"/>
      <c r="NX72" s="43"/>
      <c r="NY72" s="43"/>
      <c r="NZ72" s="43"/>
      <c r="OA72" s="43"/>
      <c r="OB72" s="43"/>
      <c r="OC72" s="43"/>
      <c r="OD72" s="43"/>
      <c r="OE72" s="43"/>
      <c r="OF72" s="43"/>
      <c r="OG72" s="43"/>
      <c r="OH72" s="43"/>
      <c r="OI72" s="43"/>
      <c r="OJ72" s="43"/>
      <c r="OK72" s="43"/>
      <c r="OL72" s="43"/>
      <c r="OM72" s="43"/>
      <c r="ON72" s="43"/>
      <c r="OO72" s="43"/>
      <c r="OP72" s="43"/>
      <c r="OQ72" s="43"/>
      <c r="OR72" s="43"/>
      <c r="OS72" s="43"/>
      <c r="OT72" s="43"/>
      <c r="OU72" s="43"/>
      <c r="OV72" s="43"/>
      <c r="OW72" s="43"/>
      <c r="OX72" s="43"/>
      <c r="OY72" s="43"/>
      <c r="OZ72" s="43"/>
      <c r="PA72" s="43"/>
      <c r="PB72" s="43"/>
      <c r="PC72" s="43"/>
      <c r="PD72" s="43"/>
      <c r="PE72" s="43"/>
      <c r="PF72" s="43"/>
      <c r="PG72" s="43"/>
      <c r="PH72" s="43"/>
      <c r="PI72" s="43"/>
      <c r="PJ72" s="43"/>
      <c r="PK72" s="43"/>
      <c r="PL72" s="43"/>
      <c r="PM72" s="43"/>
      <c r="PN72" s="43"/>
      <c r="PO72" s="43"/>
      <c r="PP72" s="43"/>
      <c r="PQ72" s="43"/>
      <c r="PR72" s="43"/>
      <c r="PS72" s="43"/>
      <c r="PT72" s="43"/>
      <c r="PU72" s="43"/>
      <c r="PV72" s="43"/>
      <c r="PW72" s="43"/>
      <c r="PX72" s="43"/>
      <c r="PY72" s="43"/>
      <c r="PZ72" s="43"/>
      <c r="QA72" s="43"/>
      <c r="QB72" s="43"/>
      <c r="QC72" s="43"/>
      <c r="QD72" s="43"/>
      <c r="QE72" s="43"/>
      <c r="QF72" s="43"/>
      <c r="QG72" s="43"/>
      <c r="QH72" s="43"/>
      <c r="QI72" s="43"/>
      <c r="QJ72" s="43"/>
      <c r="QK72" s="43"/>
      <c r="QL72" s="43"/>
      <c r="QM72" s="43"/>
      <c r="QN72" s="43"/>
      <c r="QO72" s="43"/>
      <c r="QP72" s="43"/>
      <c r="QQ72" s="43"/>
      <c r="QR72" s="43"/>
      <c r="QS72" s="43"/>
      <c r="QT72" s="43"/>
      <c r="QU72" s="43"/>
      <c r="QV72" s="43"/>
      <c r="QW72" s="43"/>
      <c r="QX72" s="43"/>
      <c r="QY72" s="43"/>
      <c r="QZ72" s="43"/>
      <c r="RA72" s="43"/>
      <c r="RB72" s="43"/>
      <c r="RC72" s="43"/>
      <c r="RD72" s="43"/>
      <c r="RE72" s="43"/>
      <c r="RF72" s="43"/>
      <c r="RG72" s="43"/>
      <c r="RH72" s="43"/>
      <c r="RI72" s="43"/>
      <c r="RJ72" s="43"/>
      <c r="RK72" s="43"/>
      <c r="RL72" s="43"/>
      <c r="RM72" s="43"/>
      <c r="RN72" s="43"/>
      <c r="RO72" s="43"/>
      <c r="RP72" s="43"/>
      <c r="RQ72" s="43"/>
      <c r="RR72" s="43"/>
      <c r="RS72" s="43"/>
      <c r="RT72" s="43"/>
      <c r="RU72" s="43"/>
      <c r="RV72" s="43"/>
      <c r="RW72" s="43"/>
      <c r="RX72" s="43"/>
      <c r="RY72" s="43"/>
      <c r="RZ72" s="43"/>
      <c r="SA72" s="43"/>
      <c r="SB72" s="43"/>
      <c r="SC72" s="43"/>
      <c r="SD72" s="43"/>
      <c r="SE72" s="43"/>
      <c r="SF72" s="43"/>
      <c r="SG72" s="43"/>
      <c r="SH72" s="43"/>
      <c r="SI72" s="43"/>
      <c r="SJ72" s="43"/>
      <c r="SK72" s="43"/>
      <c r="SL72" s="43"/>
      <c r="SM72" s="43"/>
      <c r="SN72" s="43"/>
      <c r="SO72" s="43"/>
      <c r="SP72" s="43"/>
      <c r="SQ72" s="43"/>
      <c r="SR72" s="43"/>
      <c r="SS72" s="43"/>
      <c r="ST72" s="43"/>
      <c r="SU72" s="43"/>
      <c r="SV72" s="43"/>
      <c r="SW72" s="43"/>
      <c r="SX72" s="43"/>
      <c r="SY72" s="43"/>
      <c r="SZ72" s="43"/>
      <c r="TA72" s="43"/>
      <c r="TB72" s="43"/>
      <c r="TC72" s="43"/>
      <c r="TD72" s="43"/>
      <c r="TE72" s="43"/>
      <c r="TF72" s="43"/>
      <c r="TG72" s="43"/>
      <c r="TH72" s="43"/>
      <c r="TI72" s="43"/>
      <c r="TJ72" s="43"/>
      <c r="TK72" s="43"/>
      <c r="TL72" s="43"/>
      <c r="TM72" s="43"/>
      <c r="TN72" s="43"/>
      <c r="TO72" s="43"/>
      <c r="TP72" s="43"/>
      <c r="TQ72" s="43"/>
      <c r="TR72" s="43"/>
      <c r="TS72" s="43"/>
      <c r="TT72" s="43"/>
      <c r="TU72" s="43"/>
      <c r="TV72" s="43"/>
      <c r="TW72" s="43"/>
      <c r="TX72" s="43"/>
      <c r="TY72" s="43"/>
      <c r="TZ72" s="43"/>
      <c r="UA72" s="43"/>
      <c r="UB72" s="43"/>
      <c r="UC72" s="43"/>
      <c r="UD72" s="43"/>
      <c r="UE72" s="43"/>
      <c r="UF72" s="43"/>
      <c r="UG72" s="43"/>
      <c r="UH72" s="43"/>
      <c r="UI72" s="43"/>
      <c r="UJ72" s="43"/>
      <c r="UK72" s="43"/>
      <c r="UL72" s="43"/>
      <c r="UM72" s="43"/>
      <c r="UN72" s="43"/>
      <c r="UO72" s="43"/>
      <c r="UP72" s="43"/>
      <c r="UQ72" s="43"/>
      <c r="UR72" s="43"/>
      <c r="US72" s="43"/>
      <c r="UT72" s="43"/>
      <c r="UU72" s="43"/>
      <c r="UV72" s="43"/>
      <c r="UW72" s="43"/>
      <c r="UX72" s="43"/>
      <c r="UY72" s="43"/>
      <c r="UZ72" s="43"/>
      <c r="VA72" s="43"/>
      <c r="VB72" s="43"/>
      <c r="VC72" s="43"/>
      <c r="VD72" s="43"/>
      <c r="VE72" s="43"/>
      <c r="VF72" s="43"/>
      <c r="VG72" s="43"/>
      <c r="VH72" s="43"/>
      <c r="VI72" s="43"/>
      <c r="VJ72" s="43"/>
      <c r="VK72" s="43"/>
      <c r="VL72" s="43"/>
      <c r="VM72" s="43"/>
      <c r="VN72" s="43"/>
      <c r="VO72" s="43"/>
      <c r="VP72" s="43"/>
      <c r="VQ72" s="43"/>
      <c r="VR72" s="43"/>
      <c r="VS72" s="43"/>
      <c r="VT72" s="43"/>
      <c r="VU72" s="43"/>
      <c r="VV72" s="43"/>
      <c r="VW72" s="43"/>
      <c r="VX72" s="43"/>
      <c r="VY72" s="43"/>
      <c r="VZ72" s="43"/>
      <c r="WA72" s="43"/>
      <c r="WB72" s="43"/>
      <c r="WC72" s="43"/>
      <c r="WD72" s="43"/>
      <c r="WE72" s="43"/>
      <c r="WF72" s="43"/>
      <c r="WG72" s="43"/>
      <c r="WH72" s="43"/>
      <c r="WI72" s="43"/>
      <c r="WJ72" s="43"/>
      <c r="WK72" s="43"/>
      <c r="WL72" s="43"/>
      <c r="WM72" s="43"/>
      <c r="WN72" s="43"/>
      <c r="WO72" s="43"/>
      <c r="WP72" s="43"/>
      <c r="WQ72" s="43"/>
      <c r="WR72" s="43"/>
      <c r="WS72" s="43"/>
      <c r="WT72" s="43"/>
      <c r="WU72" s="43"/>
      <c r="WV72" s="43"/>
      <c r="WW72" s="43"/>
      <c r="WX72" s="43"/>
      <c r="WY72" s="43"/>
      <c r="WZ72" s="43"/>
      <c r="XA72" s="43"/>
      <c r="XB72" s="43"/>
      <c r="XC72" s="43"/>
      <c r="XD72" s="43"/>
      <c r="XE72" s="43"/>
      <c r="XF72" s="43"/>
      <c r="XG72" s="43"/>
      <c r="XH72" s="43"/>
      <c r="XI72" s="43"/>
      <c r="XJ72" s="43"/>
      <c r="XK72" s="43"/>
      <c r="XL72" s="43"/>
      <c r="XM72" s="43"/>
      <c r="XN72" s="43"/>
      <c r="XO72" s="43"/>
      <c r="XP72" s="43"/>
      <c r="XQ72" s="43"/>
      <c r="XR72" s="43"/>
      <c r="XS72" s="43"/>
      <c r="XT72" s="43"/>
      <c r="XU72" s="43"/>
      <c r="XV72" s="43"/>
      <c r="XW72" s="43"/>
      <c r="XX72" s="43"/>
      <c r="XY72" s="43"/>
      <c r="XZ72" s="43"/>
      <c r="YA72" s="43"/>
      <c r="YB72" s="43"/>
      <c r="YC72" s="43"/>
      <c r="YD72" s="43"/>
      <c r="YE72" s="43"/>
      <c r="YF72" s="43"/>
      <c r="YG72" s="43"/>
      <c r="YH72" s="43"/>
      <c r="YI72" s="43"/>
      <c r="YJ72" s="43"/>
      <c r="YK72" s="43"/>
      <c r="YL72" s="43"/>
      <c r="YM72" s="43"/>
      <c r="YN72" s="43"/>
      <c r="YO72" s="43"/>
      <c r="YP72" s="43"/>
      <c r="YQ72" s="43"/>
      <c r="YR72" s="43"/>
      <c r="YS72" s="43"/>
      <c r="YT72" s="43"/>
      <c r="YU72" s="43"/>
      <c r="YV72" s="43"/>
      <c r="YW72" s="43"/>
      <c r="YX72" s="43"/>
      <c r="YY72" s="43"/>
      <c r="YZ72" s="43"/>
      <c r="ZA72" s="43"/>
      <c r="ZB72" s="43"/>
      <c r="ZC72" s="43"/>
      <c r="ZD72" s="43"/>
      <c r="ZE72" s="43"/>
      <c r="ZF72" s="43"/>
      <c r="ZG72" s="43"/>
      <c r="ZH72" s="43"/>
      <c r="ZI72" s="43"/>
      <c r="ZJ72" s="43"/>
      <c r="ZK72" s="43"/>
      <c r="ZL72" s="43"/>
      <c r="ZM72" s="43"/>
      <c r="ZN72" s="43"/>
      <c r="ZO72" s="43"/>
      <c r="ZP72" s="43"/>
      <c r="ZQ72" s="43"/>
      <c r="ZR72" s="43"/>
      <c r="ZS72" s="43"/>
      <c r="ZT72" s="43"/>
      <c r="ZU72" s="43"/>
      <c r="ZV72" s="43"/>
      <c r="ZW72" s="43"/>
      <c r="ZX72" s="43"/>
      <c r="ZY72" s="43"/>
      <c r="ZZ72" s="43"/>
      <c r="AAA72" s="43"/>
      <c r="AAB72" s="43"/>
      <c r="AAC72" s="43"/>
      <c r="AAD72" s="43"/>
      <c r="AAE72" s="43"/>
      <c r="AAF72" s="43"/>
      <c r="AAG72" s="43"/>
      <c r="AAH72" s="43"/>
      <c r="AAI72" s="43"/>
      <c r="AAJ72" s="43"/>
      <c r="AAK72" s="43"/>
      <c r="AAL72" s="43"/>
      <c r="AAM72" s="43"/>
      <c r="AAN72" s="43"/>
      <c r="AAO72" s="43"/>
      <c r="AAP72" s="43"/>
      <c r="AAQ72" s="43"/>
      <c r="AAR72" s="43"/>
      <c r="AAS72" s="43"/>
      <c r="AAT72" s="43"/>
      <c r="AAU72" s="43"/>
      <c r="AAV72" s="43"/>
      <c r="AAW72" s="43"/>
      <c r="AAX72" s="43"/>
      <c r="AAY72" s="43"/>
      <c r="AAZ72" s="43"/>
      <c r="ABA72" s="43"/>
      <c r="ABB72" s="43"/>
      <c r="ABC72" s="43"/>
      <c r="ABD72" s="43"/>
      <c r="ABE72" s="43"/>
      <c r="ABF72" s="43"/>
      <c r="ABG72" s="43"/>
      <c r="ABH72" s="43"/>
      <c r="ABI72" s="43"/>
      <c r="ABJ72" s="43"/>
      <c r="ABK72" s="43"/>
      <c r="ABL72" s="43"/>
      <c r="ABM72" s="43"/>
      <c r="ABN72" s="43"/>
      <c r="ABO72" s="43"/>
      <c r="ABP72" s="43"/>
      <c r="ABQ72" s="43"/>
      <c r="ABR72" s="43"/>
      <c r="ABS72" s="43"/>
      <c r="ABT72" s="43"/>
      <c r="ABU72" s="43"/>
      <c r="ABV72" s="43"/>
      <c r="ABW72" s="43"/>
      <c r="ABX72" s="43"/>
      <c r="ABY72" s="43"/>
      <c r="ABZ72" s="43"/>
      <c r="ACA72" s="43"/>
      <c r="ACB72" s="43"/>
      <c r="ACC72" s="43"/>
      <c r="ACD72" s="43"/>
      <c r="ACE72" s="43"/>
      <c r="ACF72" s="43"/>
      <c r="ACG72" s="43"/>
      <c r="ACH72" s="43"/>
      <c r="ACI72" s="43"/>
      <c r="ACJ72" s="43"/>
      <c r="ACK72" s="43"/>
      <c r="ACL72" s="43"/>
      <c r="ACM72" s="43"/>
      <c r="ACN72" s="43"/>
      <c r="ACO72" s="43"/>
      <c r="ACP72" s="43"/>
      <c r="ACQ72" s="43"/>
      <c r="ACR72" s="43"/>
      <c r="ACS72" s="43"/>
      <c r="ACT72" s="43"/>
      <c r="ACU72" s="43"/>
      <c r="ACV72" s="43"/>
      <c r="ACW72" s="43"/>
      <c r="ACX72" s="43"/>
      <c r="ACY72" s="43"/>
      <c r="ACZ72" s="43"/>
      <c r="ADA72" s="43"/>
      <c r="ADB72" s="43"/>
      <c r="ADC72" s="43"/>
      <c r="ADD72" s="43"/>
      <c r="ADE72" s="43"/>
      <c r="ADF72" s="43"/>
      <c r="ADG72" s="43"/>
      <c r="ADH72" s="43"/>
      <c r="ADI72" s="43"/>
      <c r="ADJ72" s="43"/>
      <c r="ADK72" s="43"/>
      <c r="ADL72" s="43"/>
      <c r="ADM72" s="43"/>
      <c r="ADN72" s="43"/>
      <c r="ADO72" s="43"/>
      <c r="ADP72" s="43"/>
      <c r="ADQ72" s="43"/>
      <c r="ADR72" s="43"/>
      <c r="ADS72" s="43"/>
      <c r="ADT72" s="43"/>
      <c r="ADU72" s="43"/>
      <c r="ADV72" s="43"/>
      <c r="ADW72" s="43"/>
      <c r="ADX72" s="43"/>
      <c r="ADY72" s="43"/>
      <c r="ADZ72" s="43"/>
      <c r="AEA72" s="43"/>
      <c r="AEB72" s="43"/>
      <c r="AEC72" s="43"/>
      <c r="AED72" s="43"/>
      <c r="AEE72" s="43"/>
      <c r="AEF72" s="43"/>
      <c r="AEG72" s="43"/>
      <c r="AEH72" s="43"/>
      <c r="AEI72" s="43"/>
      <c r="AEJ72" s="43"/>
      <c r="AEK72" s="43"/>
      <c r="AEL72" s="43"/>
      <c r="AEM72" s="43"/>
      <c r="AEN72" s="43"/>
      <c r="AEO72" s="43"/>
      <c r="AEP72" s="43"/>
      <c r="AEQ72" s="43"/>
      <c r="AER72" s="43"/>
      <c r="AES72" s="43"/>
      <c r="AET72" s="43"/>
      <c r="AEU72" s="43"/>
      <c r="AEV72" s="43"/>
      <c r="AEW72" s="43"/>
      <c r="AEX72" s="43"/>
      <c r="AEY72" s="43"/>
      <c r="AEZ72" s="43"/>
      <c r="AFA72" s="43"/>
      <c r="AFB72" s="43"/>
      <c r="AFC72" s="43"/>
      <c r="AFD72" s="43"/>
      <c r="AFE72" s="43"/>
      <c r="AFF72" s="43"/>
      <c r="AFG72" s="43"/>
      <c r="AFH72" s="43"/>
      <c r="AFI72" s="43"/>
      <c r="AFJ72" s="43"/>
      <c r="AFK72" s="43"/>
      <c r="AFL72" s="43"/>
      <c r="AFM72" s="43"/>
      <c r="AFN72" s="43"/>
      <c r="AFO72" s="43"/>
      <c r="AFP72" s="43"/>
      <c r="AFQ72" s="43"/>
      <c r="AFR72" s="43"/>
      <c r="AFS72" s="43"/>
      <c r="AFT72" s="43"/>
      <c r="AFU72" s="43"/>
      <c r="AFV72" s="43"/>
      <c r="AFW72" s="43"/>
      <c r="AFX72" s="43"/>
      <c r="AFY72" s="43"/>
      <c r="AFZ72" s="43"/>
      <c r="AGA72" s="43"/>
      <c r="AGB72" s="43"/>
      <c r="AGC72" s="43"/>
      <c r="AGD72" s="43"/>
      <c r="AGE72" s="43"/>
      <c r="AGF72" s="43"/>
      <c r="AGG72" s="43"/>
      <c r="AGH72" s="43"/>
      <c r="AGI72" s="43"/>
      <c r="AGJ72" s="43"/>
      <c r="AGK72" s="43"/>
      <c r="AGL72" s="43"/>
      <c r="AGM72" s="43"/>
      <c r="AGN72" s="43"/>
      <c r="AGO72" s="43"/>
      <c r="AGP72" s="43"/>
      <c r="AGQ72" s="43"/>
      <c r="AGR72" s="43"/>
      <c r="AGS72" s="43"/>
      <c r="AGT72" s="43"/>
      <c r="AGU72" s="43"/>
      <c r="AGV72" s="43"/>
      <c r="AGW72" s="43"/>
      <c r="AGX72" s="43"/>
      <c r="AGY72" s="43"/>
      <c r="AGZ72" s="43"/>
      <c r="AHA72" s="43"/>
      <c r="AHB72" s="43"/>
      <c r="AHC72" s="43"/>
      <c r="AHD72" s="43"/>
      <c r="AHE72" s="43"/>
      <c r="AHF72" s="43"/>
      <c r="AHG72" s="43"/>
      <c r="AHH72" s="43"/>
      <c r="AHI72" s="43"/>
      <c r="AHJ72" s="43"/>
      <c r="AHK72" s="43"/>
      <c r="AHL72" s="43"/>
      <c r="AHM72" s="43"/>
      <c r="AHN72" s="43"/>
      <c r="AHO72" s="43"/>
      <c r="AHP72" s="43"/>
      <c r="AHQ72" s="43"/>
      <c r="AHR72" s="43"/>
      <c r="AHS72" s="43"/>
      <c r="AHT72" s="43"/>
      <c r="AHU72" s="43"/>
      <c r="AHV72" s="43"/>
      <c r="AHW72" s="43"/>
      <c r="AHX72" s="43"/>
      <c r="AHY72" s="43"/>
      <c r="AHZ72" s="43"/>
      <c r="AIA72" s="43"/>
      <c r="AIB72" s="43"/>
      <c r="AIC72" s="43"/>
      <c r="AID72" s="43"/>
      <c r="AIE72" s="43"/>
      <c r="AIF72" s="43"/>
      <c r="AIG72" s="43"/>
      <c r="AIH72" s="43"/>
      <c r="AII72" s="43"/>
      <c r="AIJ72" s="43"/>
      <c r="AIK72" s="43"/>
      <c r="AIL72" s="43"/>
      <c r="AIM72" s="43"/>
      <c r="AIN72" s="43"/>
      <c r="AIO72" s="43"/>
      <c r="AIP72" s="43"/>
      <c r="AIQ72" s="43"/>
      <c r="AIR72" s="43"/>
      <c r="AIS72" s="43"/>
      <c r="AIT72" s="43"/>
      <c r="AIU72" s="43"/>
      <c r="AIV72" s="43"/>
      <c r="AIW72" s="43"/>
      <c r="AIX72" s="43"/>
      <c r="AIY72" s="43"/>
      <c r="AIZ72" s="43"/>
      <c r="AJA72" s="43"/>
      <c r="AJB72" s="43"/>
      <c r="AJC72" s="43"/>
      <c r="AJD72" s="43"/>
      <c r="AJE72" s="43"/>
      <c r="AJF72" s="43"/>
      <c r="AJG72" s="43"/>
      <c r="AJH72" s="43"/>
      <c r="AJI72" s="43"/>
      <c r="AJJ72" s="43"/>
      <c r="AJK72" s="43"/>
      <c r="AJL72" s="43"/>
      <c r="AJM72" s="43"/>
      <c r="AJN72" s="43"/>
      <c r="AJO72" s="43"/>
      <c r="AJP72" s="43"/>
      <c r="AJQ72" s="43"/>
      <c r="AJR72" s="43"/>
      <c r="AJS72" s="43"/>
      <c r="AJT72" s="43"/>
      <c r="AJU72" s="43"/>
      <c r="AJV72" s="43"/>
      <c r="AJW72" s="43"/>
      <c r="AJX72" s="43"/>
      <c r="AJY72" s="43"/>
      <c r="AJZ72" s="43"/>
      <c r="AKA72" s="43"/>
      <c r="AKB72" s="43"/>
      <c r="AKC72" s="43"/>
      <c r="AKD72" s="43"/>
      <c r="AKE72" s="43"/>
      <c r="AKF72" s="43"/>
      <c r="AKG72" s="43"/>
      <c r="AKH72" s="43"/>
      <c r="AKI72" s="43"/>
      <c r="AKJ72" s="43"/>
      <c r="AKK72" s="43"/>
      <c r="AKL72" s="43"/>
      <c r="AKM72" s="43"/>
      <c r="AKN72" s="43"/>
      <c r="AKO72" s="43"/>
      <c r="AKP72" s="43"/>
      <c r="AKQ72" s="43"/>
      <c r="AKR72" s="43"/>
      <c r="AKS72" s="43"/>
      <c r="AKT72" s="43"/>
      <c r="AKU72" s="43"/>
      <c r="AKV72" s="43"/>
      <c r="AKW72" s="43"/>
      <c r="AKX72" s="43"/>
      <c r="AKY72" s="43"/>
      <c r="AKZ72" s="43"/>
      <c r="ALA72" s="43"/>
      <c r="ALB72" s="43"/>
      <c r="ALC72" s="43"/>
      <c r="ALD72" s="43"/>
      <c r="ALE72" s="43"/>
      <c r="ALF72" s="43"/>
      <c r="ALG72" s="43"/>
      <c r="ALH72" s="43"/>
      <c r="ALI72" s="43"/>
      <c r="ALJ72" s="43"/>
      <c r="ALK72" s="43"/>
      <c r="ALL72" s="43"/>
      <c r="ALM72" s="43"/>
      <c r="ALN72" s="43"/>
      <c r="ALO72" s="43"/>
      <c r="ALP72" s="43"/>
      <c r="ALQ72" s="43"/>
      <c r="ALR72" s="43"/>
      <c r="ALS72" s="43"/>
      <c r="ALT72" s="43"/>
      <c r="ALU72" s="43"/>
      <c r="ALV72" s="43"/>
      <c r="ALW72" s="43"/>
      <c r="ALX72" s="43"/>
      <c r="ALY72" s="43"/>
      <c r="ALZ72" s="43"/>
      <c r="AMA72" s="43"/>
      <c r="AMB72" s="43"/>
      <c r="AMC72" s="43"/>
      <c r="AMD72" s="43"/>
      <c r="AME72" s="43"/>
      <c r="AMF72" s="43"/>
      <c r="AMG72" s="43"/>
      <c r="AMH72" s="43"/>
      <c r="AMI72" s="43"/>
      <c r="AMJ72" s="43"/>
      <c r="AMK72" s="43"/>
      <c r="AML72" s="43"/>
      <c r="AMM72" s="43"/>
      <c r="AMN72" s="43"/>
      <c r="AMO72" s="43"/>
      <c r="AMP72" s="43"/>
      <c r="AMQ72" s="43"/>
      <c r="AMR72" s="43"/>
      <c r="AMS72" s="43"/>
      <c r="AMT72" s="43"/>
      <c r="AMU72" s="43"/>
      <c r="AMV72" s="43"/>
      <c r="AMW72" s="43"/>
      <c r="AMX72" s="43"/>
      <c r="AMY72" s="43"/>
      <c r="AMZ72" s="43"/>
      <c r="ANA72" s="43"/>
      <c r="ANB72" s="43"/>
      <c r="ANC72" s="43"/>
      <c r="AND72" s="43"/>
      <c r="ANE72" s="43"/>
      <c r="ANF72" s="43"/>
      <c r="ANG72" s="43"/>
      <c r="ANH72" s="43"/>
      <c r="ANI72" s="43"/>
      <c r="ANJ72" s="43"/>
      <c r="ANK72" s="43"/>
      <c r="ANL72" s="43"/>
      <c r="ANM72" s="43"/>
      <c r="ANN72" s="43"/>
      <c r="ANO72" s="43"/>
      <c r="ANP72" s="43"/>
      <c r="ANQ72" s="43"/>
      <c r="ANR72" s="43"/>
      <c r="ANS72" s="43"/>
      <c r="ANT72" s="43"/>
      <c r="ANU72" s="43"/>
      <c r="ANV72" s="43"/>
      <c r="ANW72" s="43"/>
      <c r="ANX72" s="43"/>
      <c r="ANY72" s="43"/>
      <c r="ANZ72" s="43"/>
      <c r="AOA72" s="43"/>
      <c r="AOB72" s="43"/>
      <c r="AOC72" s="43"/>
      <c r="AOD72" s="43"/>
      <c r="AOE72" s="43"/>
      <c r="AOF72" s="43"/>
      <c r="AOG72" s="43"/>
      <c r="AOH72" s="43"/>
      <c r="AOI72" s="43"/>
      <c r="AOJ72" s="43"/>
      <c r="AOK72" s="43"/>
      <c r="AOL72" s="43"/>
      <c r="AOM72" s="43"/>
      <c r="AON72" s="43"/>
      <c r="AOO72" s="43"/>
      <c r="AOP72" s="43"/>
      <c r="AOQ72" s="43"/>
      <c r="AOR72" s="43"/>
      <c r="AOS72" s="43"/>
      <c r="AOT72" s="43"/>
      <c r="AOU72" s="43"/>
      <c r="AOV72" s="43"/>
      <c r="AOW72" s="43"/>
      <c r="AOX72" s="43"/>
      <c r="AOY72" s="43"/>
      <c r="AOZ72" s="43"/>
      <c r="APA72" s="43"/>
      <c r="APB72" s="43"/>
      <c r="APC72" s="43"/>
      <c r="APD72" s="43"/>
      <c r="APE72" s="43"/>
      <c r="APF72" s="43"/>
      <c r="APG72" s="43"/>
      <c r="APH72" s="43"/>
      <c r="API72" s="43"/>
      <c r="APJ72" s="43"/>
      <c r="APK72" s="43"/>
      <c r="APL72" s="43"/>
      <c r="APM72" s="43"/>
      <c r="APN72" s="43"/>
      <c r="APO72" s="43"/>
      <c r="APP72" s="43"/>
      <c r="APQ72" s="43"/>
      <c r="APR72" s="43"/>
      <c r="APS72" s="43"/>
      <c r="APT72" s="43"/>
      <c r="APU72" s="43"/>
      <c r="APV72" s="43"/>
      <c r="APW72" s="43"/>
      <c r="APX72" s="43"/>
      <c r="APY72" s="43"/>
      <c r="APZ72" s="43"/>
      <c r="AQA72" s="43"/>
      <c r="AQB72" s="43"/>
      <c r="AQC72" s="43"/>
      <c r="AQD72" s="43"/>
      <c r="AQE72" s="43"/>
      <c r="AQF72" s="43"/>
      <c r="AQG72" s="43"/>
      <c r="AQH72" s="43"/>
      <c r="AQI72" s="43"/>
      <c r="AQJ72" s="43"/>
      <c r="AQK72" s="43"/>
      <c r="AQL72" s="43"/>
      <c r="AQM72" s="43"/>
      <c r="AQN72" s="43"/>
      <c r="AQO72" s="43"/>
      <c r="AQP72" s="43"/>
      <c r="AQQ72" s="43"/>
      <c r="AQR72" s="43"/>
      <c r="AQS72" s="43"/>
      <c r="AQT72" s="43"/>
      <c r="AQU72" s="43"/>
      <c r="AQV72" s="43"/>
      <c r="AQW72" s="43"/>
      <c r="AQX72" s="43"/>
      <c r="AQY72" s="43"/>
      <c r="AQZ72" s="43"/>
      <c r="ARA72" s="43"/>
      <c r="ARB72" s="43"/>
      <c r="ARC72" s="43"/>
      <c r="ARD72" s="43"/>
      <c r="ARE72" s="43"/>
      <c r="ARF72" s="43"/>
      <c r="ARG72" s="43"/>
      <c r="ARH72" s="43"/>
      <c r="ARI72" s="43"/>
      <c r="ARJ72" s="43"/>
      <c r="ARK72" s="43"/>
      <c r="ARL72" s="43"/>
      <c r="ARM72" s="43"/>
      <c r="ARN72" s="43"/>
      <c r="ARO72" s="43"/>
      <c r="ARP72" s="43"/>
      <c r="ARQ72" s="43"/>
      <c r="ARR72" s="43"/>
      <c r="ARS72" s="43"/>
      <c r="ART72" s="43"/>
      <c r="ARU72" s="43"/>
      <c r="ARV72" s="43"/>
      <c r="ARW72" s="43"/>
      <c r="ARX72" s="43"/>
      <c r="ARY72" s="43"/>
      <c r="ARZ72" s="43"/>
      <c r="ASA72" s="43"/>
      <c r="ASB72" s="43"/>
      <c r="ASC72" s="43"/>
      <c r="ASD72" s="43"/>
      <c r="ASE72" s="43"/>
      <c r="ASF72" s="43"/>
      <c r="ASG72" s="43"/>
      <c r="ASH72" s="43"/>
      <c r="ASI72" s="43"/>
      <c r="ASJ72" s="43"/>
      <c r="ASK72" s="43"/>
      <c r="ASL72" s="43"/>
      <c r="ASM72" s="43"/>
      <c r="ASN72" s="43"/>
      <c r="ASO72" s="43"/>
      <c r="ASP72" s="43"/>
      <c r="ASQ72" s="43"/>
      <c r="ASR72" s="43"/>
      <c r="ASS72" s="43"/>
      <c r="AST72" s="43"/>
      <c r="ASU72" s="43"/>
      <c r="ASV72" s="43"/>
      <c r="ASW72" s="43"/>
      <c r="ASX72" s="43"/>
      <c r="ASY72" s="43"/>
      <c r="ASZ72" s="43"/>
      <c r="ATA72" s="43"/>
      <c r="ATB72" s="43"/>
      <c r="ATC72" s="43"/>
      <c r="ATD72" s="43"/>
      <c r="ATE72" s="43"/>
      <c r="ATF72" s="43"/>
      <c r="ATG72" s="43"/>
      <c r="ATH72" s="43"/>
      <c r="ATI72" s="43"/>
      <c r="ATJ72" s="43"/>
      <c r="ATK72" s="43"/>
      <c r="ATL72" s="43"/>
      <c r="ATM72" s="43"/>
      <c r="ATN72" s="43"/>
      <c r="ATO72" s="43"/>
      <c r="ATP72" s="43"/>
      <c r="ATQ72" s="43"/>
      <c r="ATR72" s="43"/>
      <c r="ATS72" s="43"/>
      <c r="ATT72" s="43"/>
      <c r="ATU72" s="43"/>
      <c r="ATV72" s="43"/>
      <c r="ATW72" s="43"/>
      <c r="ATX72" s="43"/>
      <c r="ATY72" s="43"/>
      <c r="ATZ72" s="43"/>
      <c r="AUA72" s="43"/>
      <c r="AUB72" s="43"/>
      <c r="AUC72" s="43"/>
      <c r="AUD72" s="43"/>
      <c r="AUE72" s="43"/>
      <c r="AUF72" s="43"/>
      <c r="AUG72" s="43"/>
      <c r="AUH72" s="43"/>
      <c r="AUI72" s="43"/>
      <c r="AUJ72" s="43"/>
      <c r="AUK72" s="43"/>
      <c r="AUL72" s="43"/>
      <c r="AUM72" s="43"/>
      <c r="AUN72" s="43"/>
      <c r="AUO72" s="43"/>
      <c r="AUP72" s="43"/>
      <c r="AUQ72" s="43"/>
      <c r="AUR72" s="43"/>
      <c r="AUS72" s="43"/>
      <c r="AUT72" s="43"/>
      <c r="AUU72" s="43"/>
      <c r="AUV72" s="43"/>
      <c r="AUW72" s="43"/>
      <c r="AUX72" s="43"/>
      <c r="AUY72" s="43"/>
      <c r="AUZ72" s="43"/>
      <c r="AVA72" s="43"/>
      <c r="AVB72" s="43"/>
      <c r="AVC72" s="43"/>
      <c r="AVD72" s="43"/>
      <c r="AVE72" s="43"/>
      <c r="AVF72" s="43"/>
      <c r="AVG72" s="43"/>
      <c r="AVH72" s="43"/>
      <c r="AVI72" s="43"/>
      <c r="AVJ72" s="43"/>
      <c r="AVK72" s="43"/>
      <c r="AVL72" s="43"/>
      <c r="AVM72" s="43"/>
      <c r="AVN72" s="43"/>
      <c r="AVO72" s="43"/>
      <c r="AVP72" s="43"/>
      <c r="AVQ72" s="43"/>
      <c r="AVR72" s="43"/>
      <c r="AVS72" s="43"/>
      <c r="AVT72" s="43"/>
      <c r="AVU72" s="43"/>
      <c r="AVV72" s="43"/>
      <c r="AVW72" s="43"/>
      <c r="AVX72" s="43"/>
      <c r="AVY72" s="43"/>
      <c r="AVZ72" s="43"/>
      <c r="AWA72" s="43"/>
      <c r="AWB72" s="43"/>
      <c r="AWC72" s="43"/>
      <c r="AWD72" s="43"/>
      <c r="AWE72" s="43"/>
      <c r="AWF72" s="43"/>
      <c r="AWG72" s="43"/>
      <c r="AWH72" s="43"/>
      <c r="AWI72" s="43"/>
      <c r="AWJ72" s="43"/>
      <c r="AWK72" s="43"/>
      <c r="AWL72" s="43"/>
      <c r="AWM72" s="43"/>
      <c r="AWN72" s="43"/>
      <c r="AWO72" s="43"/>
      <c r="AWP72" s="43"/>
      <c r="AWQ72" s="43"/>
      <c r="AWR72" s="43"/>
      <c r="AWS72" s="43"/>
      <c r="AWT72" s="43"/>
      <c r="AWU72" s="43"/>
      <c r="AWV72" s="43"/>
      <c r="AWW72" s="43"/>
      <c r="AWX72" s="43"/>
      <c r="AWY72" s="43"/>
      <c r="AWZ72" s="43"/>
      <c r="AXA72" s="43"/>
      <c r="AXB72" s="43"/>
      <c r="AXC72" s="43"/>
      <c r="AXD72" s="43"/>
      <c r="AXE72" s="43"/>
      <c r="AXF72" s="43"/>
      <c r="AXG72" s="43"/>
      <c r="AXH72" s="43"/>
      <c r="AXI72" s="43"/>
      <c r="AXJ72" s="43"/>
      <c r="AXK72" s="43"/>
      <c r="AXL72" s="43"/>
      <c r="AXM72" s="43"/>
      <c r="AXN72" s="43"/>
      <c r="AXO72" s="43"/>
      <c r="AXP72" s="43"/>
      <c r="AXQ72" s="43"/>
      <c r="AXR72" s="43"/>
      <c r="AXS72" s="43"/>
      <c r="AXT72" s="43"/>
      <c r="AXU72" s="43"/>
      <c r="AXV72" s="43"/>
      <c r="AXW72" s="43"/>
      <c r="AXX72" s="43"/>
      <c r="AXY72" s="43"/>
      <c r="AXZ72" s="43"/>
      <c r="AYA72" s="43"/>
      <c r="AYB72" s="43"/>
      <c r="AYC72" s="43"/>
      <c r="AYD72" s="43"/>
      <c r="AYE72" s="43"/>
      <c r="AYF72" s="43"/>
      <c r="AYG72" s="43"/>
      <c r="AYH72" s="43"/>
      <c r="AYI72" s="43"/>
      <c r="AYJ72" s="43"/>
      <c r="AYK72" s="43"/>
      <c r="AYL72" s="43"/>
      <c r="AYM72" s="43"/>
      <c r="AYN72" s="43"/>
      <c r="AYO72" s="43"/>
      <c r="AYP72" s="43"/>
      <c r="AYQ72" s="43"/>
      <c r="AYR72" s="43"/>
      <c r="AYS72" s="43"/>
      <c r="AYT72" s="43"/>
      <c r="AYU72" s="43"/>
      <c r="AYV72" s="43"/>
      <c r="AYW72" s="43"/>
      <c r="AYX72" s="43"/>
      <c r="AYY72" s="43"/>
      <c r="AYZ72" s="43"/>
      <c r="AZA72" s="43"/>
      <c r="AZB72" s="43"/>
      <c r="AZC72" s="43"/>
      <c r="AZD72" s="43"/>
      <c r="AZE72" s="43"/>
      <c r="AZF72" s="43"/>
      <c r="AZG72" s="43"/>
      <c r="AZH72" s="43"/>
      <c r="AZI72" s="43"/>
      <c r="AZJ72" s="43"/>
      <c r="AZK72" s="43"/>
      <c r="AZL72" s="43"/>
      <c r="AZM72" s="43"/>
      <c r="AZN72" s="43"/>
      <c r="AZO72" s="43"/>
      <c r="AZP72" s="43"/>
      <c r="AZQ72" s="43"/>
      <c r="AZR72" s="43"/>
      <c r="AZS72" s="43"/>
      <c r="AZT72" s="43"/>
      <c r="AZU72" s="43"/>
      <c r="AZV72" s="43"/>
      <c r="AZW72" s="43"/>
      <c r="AZX72" s="43"/>
      <c r="AZY72" s="43"/>
      <c r="AZZ72" s="43"/>
      <c r="BAA72" s="43"/>
      <c r="BAB72" s="43"/>
      <c r="BAC72" s="43"/>
      <c r="BAD72" s="43"/>
      <c r="BAE72" s="43"/>
      <c r="BAF72" s="43"/>
      <c r="BAG72" s="43"/>
      <c r="BAH72" s="43"/>
      <c r="BAI72" s="43"/>
      <c r="BAJ72" s="43"/>
      <c r="BAK72" s="43"/>
      <c r="BAL72" s="43"/>
      <c r="BAM72" s="43"/>
      <c r="BAN72" s="43"/>
      <c r="BAO72" s="43"/>
      <c r="BAP72" s="43"/>
      <c r="BAQ72" s="43"/>
      <c r="BAR72" s="43"/>
      <c r="BAS72" s="43"/>
      <c r="BAT72" s="43"/>
      <c r="BAU72" s="43"/>
      <c r="BAV72" s="43"/>
      <c r="BAW72" s="43"/>
      <c r="BAX72" s="43"/>
      <c r="BAY72" s="43"/>
      <c r="BAZ72" s="43"/>
      <c r="BBA72" s="43"/>
      <c r="BBB72" s="43"/>
      <c r="BBC72" s="43"/>
      <c r="BBD72" s="43"/>
      <c r="BBE72" s="43"/>
      <c r="BBF72" s="43"/>
      <c r="BBG72" s="43"/>
      <c r="BBH72" s="43"/>
      <c r="BBI72" s="43"/>
      <c r="BBJ72" s="43"/>
      <c r="BBK72" s="43"/>
      <c r="BBL72" s="43"/>
      <c r="BBM72" s="43"/>
      <c r="BBN72" s="43"/>
      <c r="BBO72" s="43"/>
      <c r="BBP72" s="43"/>
      <c r="BBQ72" s="43"/>
      <c r="BBR72" s="43"/>
      <c r="BBS72" s="43"/>
      <c r="BBT72" s="43"/>
      <c r="BBU72" s="43"/>
      <c r="BBV72" s="43"/>
      <c r="BBW72" s="43"/>
      <c r="BBX72" s="43"/>
      <c r="BBY72" s="43"/>
      <c r="BBZ72" s="43"/>
      <c r="BCA72" s="43"/>
      <c r="BCB72" s="43"/>
      <c r="BCC72" s="43"/>
      <c r="BCD72" s="43"/>
      <c r="BCE72" s="43"/>
      <c r="BCF72" s="43"/>
      <c r="BCG72" s="43"/>
      <c r="BCH72" s="43"/>
      <c r="BCI72" s="43"/>
      <c r="BCJ72" s="43"/>
      <c r="BCK72" s="43"/>
      <c r="BCL72" s="43"/>
      <c r="BCM72" s="43"/>
      <c r="BCN72" s="43"/>
      <c r="BCO72" s="43"/>
      <c r="BCP72" s="43"/>
      <c r="BCQ72" s="43"/>
      <c r="BCR72" s="43"/>
      <c r="BCS72" s="43"/>
      <c r="BCT72" s="43"/>
      <c r="BCU72" s="43"/>
      <c r="BCV72" s="43"/>
      <c r="BCW72" s="43"/>
      <c r="BCX72" s="43"/>
      <c r="BCY72" s="43"/>
      <c r="BCZ72" s="43"/>
      <c r="BDA72" s="43"/>
      <c r="BDB72" s="43"/>
      <c r="BDC72" s="43"/>
      <c r="BDD72" s="43"/>
      <c r="BDE72" s="43"/>
      <c r="BDF72" s="43"/>
      <c r="BDG72" s="43"/>
      <c r="BDH72" s="43"/>
      <c r="BDI72" s="43"/>
      <c r="BDJ72" s="43"/>
      <c r="BDK72" s="43"/>
      <c r="BDL72" s="43"/>
      <c r="BDM72" s="43"/>
      <c r="BDN72" s="43"/>
      <c r="BDO72" s="43"/>
      <c r="BDP72" s="43"/>
      <c r="BDQ72" s="43"/>
      <c r="BDR72" s="43"/>
      <c r="BDS72" s="43"/>
      <c r="BDT72" s="43"/>
      <c r="BDU72" s="43"/>
      <c r="BDV72" s="43"/>
      <c r="BDW72" s="43"/>
      <c r="BDX72" s="43"/>
      <c r="BDY72" s="43"/>
      <c r="BDZ72" s="43"/>
      <c r="BEA72" s="43"/>
      <c r="BEB72" s="43"/>
      <c r="BEC72" s="43"/>
      <c r="BED72" s="43"/>
      <c r="BEE72" s="43"/>
      <c r="BEF72" s="43"/>
      <c r="BEG72" s="43"/>
      <c r="BEH72" s="43"/>
      <c r="BEI72" s="43"/>
      <c r="BEJ72" s="43"/>
      <c r="BEK72" s="43"/>
      <c r="BEL72" s="43"/>
      <c r="BEM72" s="43"/>
      <c r="BEN72" s="43"/>
      <c r="BEO72" s="43"/>
      <c r="BEP72" s="43"/>
      <c r="BEQ72" s="43"/>
      <c r="BER72" s="43"/>
      <c r="BES72" s="43"/>
      <c r="BET72" s="43"/>
      <c r="BEU72" s="43"/>
      <c r="BEV72" s="43"/>
      <c r="BEW72" s="43"/>
      <c r="BEX72" s="43"/>
      <c r="BEY72" s="43"/>
      <c r="BEZ72" s="43"/>
      <c r="BFA72" s="43"/>
      <c r="BFB72" s="43"/>
      <c r="BFC72" s="43"/>
      <c r="BFD72" s="43"/>
      <c r="BFE72" s="43"/>
      <c r="BFF72" s="43"/>
      <c r="BFG72" s="43"/>
      <c r="BFH72" s="43"/>
      <c r="BFI72" s="43"/>
      <c r="BFJ72" s="43"/>
      <c r="BFK72" s="43"/>
      <c r="BFL72" s="43"/>
      <c r="BFM72" s="43"/>
      <c r="BFN72" s="43"/>
      <c r="BFO72" s="43"/>
      <c r="BFP72" s="43"/>
      <c r="BFQ72" s="43"/>
      <c r="BFR72" s="43"/>
      <c r="BFS72" s="43"/>
      <c r="BFT72" s="43"/>
      <c r="BFU72" s="43"/>
      <c r="BFV72" s="43"/>
      <c r="BFW72" s="43"/>
      <c r="BFX72" s="43"/>
      <c r="BFY72" s="43"/>
      <c r="BFZ72" s="43"/>
      <c r="BGA72" s="43"/>
      <c r="BGB72" s="43"/>
      <c r="BGC72" s="43"/>
      <c r="BGD72" s="43"/>
      <c r="BGE72" s="43"/>
      <c r="BGF72" s="43"/>
      <c r="BGG72" s="43"/>
      <c r="BGH72" s="43"/>
      <c r="BGI72" s="43"/>
      <c r="BGJ72" s="43"/>
      <c r="BGK72" s="43"/>
      <c r="BGL72" s="43"/>
      <c r="BGM72" s="43"/>
      <c r="BGN72" s="43"/>
      <c r="BGO72" s="43"/>
      <c r="BGP72" s="43"/>
      <c r="BGQ72" s="43"/>
      <c r="BGR72" s="43"/>
      <c r="BGS72" s="43"/>
      <c r="BGT72" s="43"/>
      <c r="BGU72" s="43"/>
      <c r="BGV72" s="43"/>
      <c r="BGW72" s="43"/>
      <c r="BGX72" s="43"/>
      <c r="BGY72" s="43"/>
      <c r="BGZ72" s="43"/>
      <c r="BHA72" s="43"/>
      <c r="BHB72" s="43"/>
      <c r="BHC72" s="43"/>
      <c r="BHD72" s="43"/>
      <c r="BHE72" s="43"/>
      <c r="BHF72" s="43"/>
      <c r="BHG72" s="43"/>
      <c r="BHH72" s="43"/>
      <c r="BHI72" s="43"/>
      <c r="BHJ72" s="43"/>
      <c r="BHK72" s="43"/>
      <c r="BHL72" s="43"/>
      <c r="BHM72" s="43"/>
      <c r="BHN72" s="43"/>
      <c r="BHO72" s="43"/>
      <c r="BHP72" s="43"/>
      <c r="BHQ72" s="43"/>
      <c r="BHR72" s="43"/>
      <c r="BHS72" s="43"/>
      <c r="BHT72" s="43"/>
      <c r="BHU72" s="43"/>
      <c r="BHV72" s="43"/>
      <c r="BHW72" s="43"/>
      <c r="BHX72" s="43"/>
      <c r="BHY72" s="43"/>
      <c r="BHZ72" s="43"/>
      <c r="BIA72" s="43"/>
      <c r="BIB72" s="43"/>
      <c r="BIC72" s="43"/>
      <c r="BID72" s="43"/>
      <c r="BIE72" s="43"/>
      <c r="BIF72" s="43"/>
      <c r="BIG72" s="43"/>
      <c r="BIH72" s="43"/>
      <c r="BII72" s="43"/>
      <c r="BIJ72" s="43"/>
      <c r="BIK72" s="43"/>
      <c r="BIL72" s="43"/>
      <c r="BIM72" s="43"/>
      <c r="BIN72" s="43"/>
      <c r="BIO72" s="43"/>
      <c r="BIP72" s="43"/>
      <c r="BIQ72" s="43"/>
      <c r="BIR72" s="43"/>
      <c r="BIS72" s="43"/>
      <c r="BIT72" s="43"/>
      <c r="BIU72" s="43"/>
      <c r="BIV72" s="43"/>
      <c r="BIW72" s="43"/>
      <c r="BIX72" s="43"/>
      <c r="BIY72" s="43"/>
      <c r="BIZ72" s="43"/>
      <c r="BJA72" s="43"/>
      <c r="BJB72" s="43"/>
      <c r="BJC72" s="43"/>
      <c r="BJD72" s="43"/>
      <c r="BJE72" s="43"/>
      <c r="BJF72" s="43"/>
      <c r="BJG72" s="43"/>
      <c r="BJH72" s="43"/>
      <c r="BJI72" s="43"/>
      <c r="BJJ72" s="43"/>
      <c r="BJK72" s="43"/>
      <c r="BJL72" s="43"/>
      <c r="BJM72" s="43"/>
      <c r="BJN72" s="43"/>
      <c r="BJO72" s="43"/>
      <c r="BJP72" s="43"/>
      <c r="BJQ72" s="43"/>
      <c r="BJR72" s="43"/>
      <c r="BJS72" s="43"/>
      <c r="BJT72" s="43"/>
      <c r="BJU72" s="43"/>
      <c r="BJV72" s="43"/>
      <c r="BJW72" s="43"/>
      <c r="BJX72" s="43"/>
      <c r="BJY72" s="43"/>
      <c r="BJZ72" s="43"/>
      <c r="BKA72" s="43"/>
      <c r="BKB72" s="43"/>
      <c r="BKC72" s="43"/>
      <c r="BKD72" s="43"/>
      <c r="BKE72" s="43"/>
      <c r="BKF72" s="43"/>
      <c r="BKG72" s="43"/>
      <c r="BKH72" s="43"/>
      <c r="BKI72" s="43"/>
      <c r="BKJ72" s="43"/>
      <c r="BKK72" s="43"/>
      <c r="BKL72" s="43"/>
      <c r="BKM72" s="43"/>
      <c r="BKN72" s="43"/>
      <c r="BKO72" s="43"/>
      <c r="BKP72" s="43"/>
      <c r="BKQ72" s="43"/>
      <c r="BKR72" s="43"/>
      <c r="BKS72" s="43"/>
      <c r="BKT72" s="43"/>
      <c r="BKU72" s="43"/>
      <c r="BKV72" s="43"/>
      <c r="BKW72" s="43"/>
      <c r="BKX72" s="43"/>
      <c r="BKY72" s="43"/>
      <c r="BKZ72" s="43"/>
      <c r="BLA72" s="43"/>
      <c r="BLB72" s="43"/>
      <c r="BLC72" s="43"/>
      <c r="BLD72" s="43"/>
      <c r="BLE72" s="43"/>
      <c r="BLF72" s="43"/>
      <c r="BLG72" s="43"/>
      <c r="BLH72" s="43"/>
      <c r="BLI72" s="43"/>
      <c r="BLJ72" s="43"/>
      <c r="BLK72" s="43"/>
      <c r="BLL72" s="43"/>
      <c r="BLM72" s="43"/>
      <c r="BLN72" s="43"/>
      <c r="BLO72" s="43"/>
      <c r="BLP72" s="43"/>
      <c r="BLQ72" s="43"/>
      <c r="BLR72" s="43"/>
      <c r="BLS72" s="43"/>
      <c r="BLT72" s="43"/>
      <c r="BLU72" s="43"/>
      <c r="BLV72" s="43"/>
      <c r="BLW72" s="43"/>
      <c r="BLX72" s="43"/>
      <c r="BLY72" s="43"/>
      <c r="BLZ72" s="43"/>
      <c r="BMA72" s="43"/>
      <c r="BMB72" s="43"/>
      <c r="BMC72" s="43"/>
      <c r="BMD72" s="43"/>
      <c r="BME72" s="43"/>
      <c r="BMF72" s="43"/>
      <c r="BMG72" s="43"/>
      <c r="BMH72" s="43"/>
      <c r="BMI72" s="43"/>
      <c r="BMJ72" s="43"/>
      <c r="BMK72" s="43"/>
      <c r="BML72" s="43"/>
      <c r="BMM72" s="43"/>
      <c r="BMN72" s="43"/>
      <c r="BMO72" s="43"/>
      <c r="BMP72" s="43"/>
      <c r="BMQ72" s="43"/>
      <c r="BMR72" s="43"/>
      <c r="BMS72" s="43"/>
      <c r="BMT72" s="43"/>
      <c r="BMU72" s="43"/>
      <c r="BMV72" s="43"/>
      <c r="BMW72" s="43"/>
      <c r="BMX72" s="43"/>
      <c r="BMY72" s="43"/>
      <c r="BMZ72" s="43"/>
      <c r="BNA72" s="43"/>
      <c r="BNB72" s="43"/>
      <c r="BNC72" s="43"/>
      <c r="BND72" s="43"/>
      <c r="BNE72" s="43"/>
      <c r="BNF72" s="43"/>
      <c r="BNG72" s="43"/>
      <c r="BNH72" s="43"/>
      <c r="BNI72" s="43"/>
      <c r="BNJ72" s="43"/>
      <c r="BNK72" s="43"/>
      <c r="BNL72" s="43"/>
      <c r="BNM72" s="43"/>
      <c r="BNN72" s="43"/>
      <c r="BNO72" s="43"/>
      <c r="BNP72" s="43"/>
      <c r="BNQ72" s="43"/>
      <c r="BNR72" s="43"/>
      <c r="BNS72" s="43"/>
      <c r="BNT72" s="43"/>
      <c r="BNU72" s="43"/>
      <c r="BNV72" s="43"/>
      <c r="BNW72" s="43"/>
      <c r="BNX72" s="43"/>
      <c r="BNY72" s="43"/>
      <c r="BNZ72" s="43"/>
      <c r="BOA72" s="43"/>
      <c r="BOB72" s="43"/>
      <c r="BOC72" s="43"/>
      <c r="BOD72" s="43"/>
      <c r="BOE72" s="43"/>
      <c r="BOF72" s="43"/>
      <c r="BOG72" s="43"/>
      <c r="BOH72" s="43"/>
      <c r="BOI72" s="43"/>
      <c r="BOJ72" s="43"/>
      <c r="BOK72" s="43"/>
      <c r="BOL72" s="43"/>
      <c r="BOM72" s="43"/>
      <c r="BON72" s="43"/>
      <c r="BOO72" s="43"/>
      <c r="BOP72" s="43"/>
      <c r="BOQ72" s="43"/>
      <c r="BOR72" s="43"/>
      <c r="BOS72" s="43"/>
      <c r="BOT72" s="43"/>
      <c r="BOU72" s="43"/>
      <c r="BOV72" s="43"/>
      <c r="BOW72" s="43"/>
      <c r="BOX72" s="43"/>
      <c r="BOY72" s="43"/>
      <c r="BOZ72" s="43"/>
      <c r="BPA72" s="43"/>
      <c r="BPB72" s="43"/>
      <c r="BPC72" s="43"/>
      <c r="BPD72" s="43"/>
      <c r="BPE72" s="43"/>
      <c r="BPF72" s="43"/>
      <c r="BPG72" s="43"/>
      <c r="BPH72" s="43"/>
      <c r="BPI72" s="43"/>
      <c r="BPJ72" s="43"/>
      <c r="BPK72" s="43"/>
      <c r="BPL72" s="43"/>
      <c r="BPM72" s="43"/>
      <c r="BPN72" s="43"/>
      <c r="BPO72" s="43"/>
      <c r="BPP72" s="43"/>
      <c r="BPQ72" s="43"/>
      <c r="BPR72" s="43"/>
      <c r="BPS72" s="43"/>
      <c r="BPT72" s="43"/>
      <c r="BPU72" s="43"/>
      <c r="BPV72" s="43"/>
      <c r="BPW72" s="43"/>
      <c r="BPX72" s="43"/>
      <c r="BPY72" s="43"/>
      <c r="BPZ72" s="43"/>
      <c r="BQA72" s="43"/>
      <c r="BQB72" s="43"/>
      <c r="BQC72" s="43"/>
      <c r="BQD72" s="43"/>
      <c r="BQE72" s="43"/>
      <c r="BQF72" s="43"/>
      <c r="BQG72" s="43"/>
      <c r="BQH72" s="43"/>
      <c r="BQI72" s="43"/>
      <c r="BQJ72" s="43"/>
      <c r="BQK72" s="43"/>
      <c r="BQL72" s="43"/>
      <c r="BQM72" s="43"/>
      <c r="BQN72" s="43"/>
      <c r="BQO72" s="43"/>
      <c r="BQP72" s="43"/>
      <c r="BQQ72" s="43"/>
      <c r="BQR72" s="43"/>
      <c r="BQS72" s="43"/>
      <c r="BQT72" s="43"/>
      <c r="BQU72" s="43"/>
      <c r="BQV72" s="43"/>
      <c r="BQW72" s="43"/>
      <c r="BQX72" s="43"/>
      <c r="BQY72" s="43"/>
      <c r="BQZ72" s="43"/>
      <c r="BRA72" s="43"/>
      <c r="BRB72" s="43"/>
      <c r="BRC72" s="43"/>
      <c r="BRD72" s="43"/>
      <c r="BRE72" s="43"/>
      <c r="BRF72" s="43"/>
      <c r="BRG72" s="43"/>
      <c r="BRH72" s="43"/>
      <c r="BRI72" s="43"/>
      <c r="BRJ72" s="43"/>
      <c r="BRK72" s="43"/>
      <c r="BRL72" s="43"/>
      <c r="BRM72" s="43"/>
      <c r="BRN72" s="43"/>
      <c r="BRO72" s="43"/>
      <c r="BRP72" s="43"/>
      <c r="BRQ72" s="43"/>
      <c r="BRR72" s="43"/>
      <c r="BRS72" s="43"/>
      <c r="BRT72" s="43"/>
      <c r="BRU72" s="43"/>
      <c r="BRV72" s="43"/>
      <c r="BRW72" s="43"/>
      <c r="BRX72" s="43"/>
      <c r="BRY72" s="43"/>
      <c r="BRZ72" s="43"/>
      <c r="BSA72" s="43"/>
      <c r="BSB72" s="43"/>
      <c r="BSC72" s="43"/>
      <c r="BSD72" s="43"/>
      <c r="BSE72" s="43"/>
      <c r="BSF72" s="43"/>
      <c r="BSG72" s="43"/>
      <c r="BSH72" s="43"/>
      <c r="BSI72" s="43"/>
      <c r="BSJ72" s="43"/>
      <c r="BSK72" s="43"/>
      <c r="BSL72" s="43"/>
      <c r="BSM72" s="43"/>
      <c r="BSN72" s="43"/>
      <c r="BSO72" s="43"/>
      <c r="BSP72" s="43"/>
      <c r="BSQ72" s="43"/>
      <c r="BSR72" s="43"/>
      <c r="BSS72" s="43"/>
      <c r="BST72" s="43"/>
      <c r="BSU72" s="43"/>
      <c r="BSV72" s="43"/>
      <c r="BSW72" s="43"/>
      <c r="BSX72" s="43"/>
      <c r="BSY72" s="43"/>
      <c r="BSZ72" s="43"/>
      <c r="BTA72" s="43"/>
      <c r="BTB72" s="43"/>
      <c r="BTC72" s="43"/>
      <c r="BTD72" s="43"/>
      <c r="BTE72" s="43"/>
      <c r="BTF72" s="43"/>
      <c r="BTG72" s="43"/>
      <c r="BTH72" s="43"/>
      <c r="BTI72" s="43"/>
      <c r="BTJ72" s="43"/>
      <c r="BTK72" s="43"/>
      <c r="BTL72" s="43"/>
      <c r="BTM72" s="43"/>
      <c r="BTN72" s="43"/>
      <c r="BTO72" s="43"/>
      <c r="BTP72" s="43"/>
      <c r="BTQ72" s="43"/>
      <c r="BTR72" s="43"/>
      <c r="BTS72" s="43"/>
      <c r="BTT72" s="43"/>
      <c r="BTU72" s="43"/>
      <c r="BTV72" s="43"/>
      <c r="BTW72" s="43"/>
      <c r="BTX72" s="43"/>
      <c r="BTY72" s="43"/>
      <c r="BTZ72" s="43"/>
      <c r="BUA72" s="43"/>
      <c r="BUB72" s="43"/>
      <c r="BUC72" s="43"/>
      <c r="BUD72" s="43"/>
      <c r="BUE72" s="43"/>
      <c r="BUF72" s="43"/>
      <c r="BUG72" s="43"/>
      <c r="BUH72" s="43"/>
      <c r="BUI72" s="43"/>
      <c r="BUJ72" s="43"/>
      <c r="BUK72" s="43"/>
      <c r="BUL72" s="43"/>
      <c r="BUM72" s="43"/>
      <c r="BUN72" s="43"/>
      <c r="BUO72" s="43"/>
      <c r="BUP72" s="43"/>
      <c r="BUQ72" s="43"/>
      <c r="BUR72" s="43"/>
      <c r="BUS72" s="43"/>
      <c r="BUT72" s="43"/>
      <c r="BUU72" s="43"/>
      <c r="BUV72" s="43"/>
      <c r="BUW72" s="43"/>
      <c r="BUX72" s="43"/>
      <c r="BUY72" s="43"/>
      <c r="BUZ72" s="43"/>
      <c r="BVA72" s="43"/>
      <c r="BVB72" s="43"/>
      <c r="BVC72" s="43"/>
      <c r="BVD72" s="43"/>
      <c r="BVE72" s="43"/>
      <c r="BVF72" s="43"/>
      <c r="BVG72" s="43"/>
      <c r="BVH72" s="43"/>
      <c r="BVI72" s="43"/>
      <c r="BVJ72" s="43"/>
      <c r="BVK72" s="43"/>
      <c r="BVL72" s="43"/>
      <c r="BVM72" s="43"/>
      <c r="BVN72" s="43"/>
      <c r="BVO72" s="43"/>
      <c r="BVP72" s="43"/>
      <c r="BVQ72" s="43"/>
      <c r="BVR72" s="43"/>
      <c r="BVS72" s="43"/>
      <c r="BVT72" s="43"/>
      <c r="BVU72" s="43"/>
      <c r="BVV72" s="43"/>
      <c r="BVW72" s="43"/>
      <c r="BVX72" s="43"/>
      <c r="BVY72" s="43"/>
      <c r="BVZ72" s="43"/>
      <c r="BWA72" s="43"/>
      <c r="BWB72" s="43"/>
      <c r="BWC72" s="43"/>
      <c r="BWD72" s="43"/>
      <c r="BWE72" s="43"/>
      <c r="BWF72" s="43"/>
      <c r="BWG72" s="43"/>
      <c r="BWH72" s="43"/>
      <c r="BWI72" s="43"/>
      <c r="BWJ72" s="43"/>
      <c r="BWK72" s="43"/>
      <c r="BWL72" s="43"/>
      <c r="BWM72" s="43"/>
      <c r="BWN72" s="43"/>
      <c r="BWO72" s="43"/>
      <c r="BWP72" s="43"/>
      <c r="BWQ72" s="43"/>
      <c r="BWR72" s="43"/>
      <c r="BWS72" s="43"/>
      <c r="BWT72" s="43"/>
      <c r="BWU72" s="43"/>
      <c r="BWV72" s="43"/>
      <c r="BWW72" s="43"/>
      <c r="BWX72" s="43"/>
      <c r="BWY72" s="43"/>
      <c r="BWZ72" s="43"/>
      <c r="BXA72" s="43"/>
      <c r="BXB72" s="43"/>
      <c r="BXC72" s="43"/>
      <c r="BXD72" s="43"/>
      <c r="BXE72" s="43"/>
      <c r="BXF72" s="43"/>
      <c r="BXG72" s="43"/>
      <c r="BXH72" s="43"/>
      <c r="BXI72" s="43"/>
      <c r="BXJ72" s="43"/>
      <c r="BXK72" s="43"/>
      <c r="BXL72" s="43"/>
      <c r="BXM72" s="43"/>
      <c r="BXN72" s="43"/>
      <c r="BXO72" s="43"/>
      <c r="BXP72" s="43"/>
      <c r="BXQ72" s="43"/>
      <c r="BXR72" s="43"/>
      <c r="BXS72" s="43"/>
      <c r="BXT72" s="43"/>
      <c r="BXU72" s="43"/>
      <c r="BXV72" s="43"/>
      <c r="BXW72" s="43"/>
      <c r="BXX72" s="43"/>
      <c r="BXY72" s="43"/>
      <c r="BXZ72" s="43"/>
      <c r="BYA72" s="43"/>
      <c r="BYB72" s="43"/>
      <c r="BYC72" s="43"/>
      <c r="BYD72" s="43"/>
      <c r="BYE72" s="43"/>
      <c r="BYF72" s="43"/>
      <c r="BYG72" s="43"/>
      <c r="BYH72" s="43"/>
      <c r="BYI72" s="43"/>
      <c r="BYJ72" s="43"/>
      <c r="BYK72" s="43"/>
      <c r="BYL72" s="43"/>
      <c r="BYM72" s="43"/>
      <c r="BYN72" s="43"/>
      <c r="BYO72" s="43"/>
      <c r="BYP72" s="43"/>
      <c r="BYQ72" s="43"/>
      <c r="BYR72" s="43"/>
      <c r="BYS72" s="43"/>
      <c r="BYT72" s="43"/>
      <c r="BYU72" s="43"/>
      <c r="BYV72" s="43"/>
      <c r="BYW72" s="43"/>
      <c r="BYX72" s="43"/>
      <c r="BYY72" s="43"/>
      <c r="BYZ72" s="43"/>
      <c r="BZA72" s="43"/>
      <c r="BZB72" s="43"/>
      <c r="BZC72" s="43"/>
      <c r="BZD72" s="43"/>
      <c r="BZE72" s="43"/>
      <c r="BZF72" s="43"/>
      <c r="BZG72" s="43"/>
      <c r="BZH72" s="43"/>
      <c r="BZI72" s="43"/>
      <c r="BZJ72" s="43"/>
      <c r="BZK72" s="43"/>
      <c r="BZL72" s="43"/>
      <c r="BZM72" s="43"/>
      <c r="BZN72" s="43"/>
      <c r="BZO72" s="43"/>
      <c r="BZP72" s="43"/>
      <c r="BZQ72" s="43"/>
      <c r="BZR72" s="43"/>
      <c r="BZS72" s="43"/>
      <c r="BZT72" s="43"/>
      <c r="BZU72" s="43"/>
      <c r="BZV72" s="43"/>
      <c r="BZW72" s="43"/>
      <c r="BZX72" s="43"/>
      <c r="BZY72" s="43"/>
      <c r="BZZ72" s="43"/>
      <c r="CAA72" s="43"/>
      <c r="CAB72" s="43"/>
      <c r="CAC72" s="43"/>
      <c r="CAD72" s="43"/>
      <c r="CAE72" s="43"/>
      <c r="CAF72" s="43"/>
      <c r="CAG72" s="43"/>
      <c r="CAH72" s="43"/>
      <c r="CAI72" s="43"/>
      <c r="CAJ72" s="43"/>
      <c r="CAK72" s="43"/>
      <c r="CAL72" s="43"/>
      <c r="CAM72" s="43"/>
      <c r="CAN72" s="43"/>
      <c r="CAO72" s="43"/>
      <c r="CAP72" s="43"/>
      <c r="CAQ72" s="43"/>
      <c r="CAR72" s="43"/>
      <c r="CAS72" s="43"/>
      <c r="CAT72" s="43"/>
      <c r="CAU72" s="43"/>
      <c r="CAV72" s="43"/>
      <c r="CAW72" s="43"/>
      <c r="CAX72" s="43"/>
      <c r="CAY72" s="43"/>
      <c r="CAZ72" s="43"/>
      <c r="CBA72" s="43"/>
      <c r="CBB72" s="43"/>
      <c r="CBC72" s="43"/>
      <c r="CBD72" s="43"/>
      <c r="CBE72" s="43"/>
      <c r="CBF72" s="43"/>
      <c r="CBG72" s="43"/>
      <c r="CBH72" s="43"/>
    </row>
    <row r="73" spans="1:2088" customFormat="1" x14ac:dyDescent="0.2">
      <c r="A73" s="17" t="s">
        <v>191</v>
      </c>
      <c r="B73" s="30" t="str">
        <f t="shared" ref="B73" si="2">IF(OR(B22="",B23="",B28=""),"error: missing input",1/(1+EXP(-(-6.917+0.063*B22+1.358*IF(B23="male",1,0)+IF(B28="typical",1.975,IF(B28="atypical",0.658,0))))))</f>
        <v>error: missing input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3"/>
      <c r="JD73" s="43"/>
      <c r="JE73" s="43"/>
      <c r="JF73" s="43"/>
      <c r="JG73" s="43"/>
      <c r="JH73" s="43"/>
      <c r="JI73" s="43"/>
      <c r="JJ73" s="43"/>
      <c r="JK73" s="43"/>
      <c r="JL73" s="43"/>
      <c r="JM73" s="43"/>
      <c r="JN73" s="43"/>
      <c r="JO73" s="43"/>
      <c r="JP73" s="43"/>
      <c r="JQ73" s="43"/>
      <c r="JR73" s="43"/>
      <c r="JS73" s="43"/>
      <c r="JT73" s="43"/>
      <c r="JU73" s="43"/>
      <c r="JV73" s="43"/>
      <c r="JW73" s="43"/>
      <c r="JX73" s="43"/>
      <c r="JY73" s="43"/>
      <c r="JZ73" s="43"/>
      <c r="KA73" s="43"/>
      <c r="KB73" s="43"/>
      <c r="KC73" s="43"/>
      <c r="KD73" s="43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43"/>
      <c r="LF73" s="43"/>
      <c r="LG73" s="43"/>
      <c r="LH73" s="43"/>
      <c r="LI73" s="43"/>
      <c r="LJ73" s="43"/>
      <c r="LK73" s="43"/>
      <c r="LL73" s="43"/>
      <c r="LM73" s="43"/>
      <c r="LN73" s="43"/>
      <c r="LO73" s="43"/>
      <c r="LP73" s="43"/>
      <c r="LQ73" s="43"/>
      <c r="LR73" s="43"/>
      <c r="LS73" s="43"/>
      <c r="LT73" s="43"/>
      <c r="LU73" s="43"/>
      <c r="LV73" s="43"/>
      <c r="LW73" s="43"/>
      <c r="LX73" s="43"/>
      <c r="LY73" s="43"/>
      <c r="LZ73" s="43"/>
      <c r="MA73" s="43"/>
      <c r="MB73" s="43"/>
      <c r="MC73" s="43"/>
      <c r="MD73" s="43"/>
      <c r="ME73" s="43"/>
      <c r="MF73" s="43"/>
      <c r="MG73" s="43"/>
      <c r="MH73" s="43"/>
      <c r="MI73" s="43"/>
      <c r="MJ73" s="43"/>
      <c r="MK73" s="43"/>
      <c r="ML73" s="43"/>
      <c r="MM73" s="43"/>
      <c r="MN73" s="43"/>
      <c r="MO73" s="43"/>
      <c r="MP73" s="43"/>
      <c r="MQ73" s="43"/>
      <c r="MR73" s="43"/>
      <c r="MS73" s="43"/>
      <c r="MT73" s="43"/>
      <c r="MU73" s="43"/>
      <c r="MV73" s="43"/>
      <c r="MW73" s="43"/>
      <c r="MX73" s="43"/>
      <c r="MY73" s="43"/>
      <c r="MZ73" s="43"/>
      <c r="NA73" s="43"/>
      <c r="NB73" s="43"/>
      <c r="NC73" s="43"/>
      <c r="ND73" s="43"/>
      <c r="NE73" s="43"/>
      <c r="NF73" s="43"/>
      <c r="NG73" s="43"/>
      <c r="NH73" s="43"/>
      <c r="NI73" s="43"/>
      <c r="NJ73" s="43"/>
      <c r="NK73" s="43"/>
      <c r="NL73" s="43"/>
      <c r="NM73" s="43"/>
      <c r="NN73" s="43"/>
      <c r="NO73" s="43"/>
      <c r="NP73" s="43"/>
      <c r="NQ73" s="43"/>
      <c r="NR73" s="43"/>
      <c r="NS73" s="43"/>
      <c r="NT73" s="43"/>
      <c r="NU73" s="43"/>
      <c r="NV73" s="43"/>
      <c r="NW73" s="43"/>
      <c r="NX73" s="43"/>
      <c r="NY73" s="43"/>
      <c r="NZ73" s="43"/>
      <c r="OA73" s="43"/>
      <c r="OB73" s="43"/>
      <c r="OC73" s="43"/>
      <c r="OD73" s="43"/>
      <c r="OE73" s="43"/>
      <c r="OF73" s="43"/>
      <c r="OG73" s="43"/>
      <c r="OH73" s="43"/>
      <c r="OI73" s="43"/>
      <c r="OJ73" s="43"/>
      <c r="OK73" s="43"/>
      <c r="OL73" s="43"/>
      <c r="OM73" s="43"/>
      <c r="ON73" s="43"/>
      <c r="OO73" s="43"/>
      <c r="OP73" s="43"/>
      <c r="OQ73" s="43"/>
      <c r="OR73" s="43"/>
      <c r="OS73" s="43"/>
      <c r="OT73" s="43"/>
      <c r="OU73" s="43"/>
      <c r="OV73" s="43"/>
      <c r="OW73" s="43"/>
      <c r="OX73" s="43"/>
      <c r="OY73" s="43"/>
      <c r="OZ73" s="43"/>
      <c r="PA73" s="43"/>
      <c r="PB73" s="43"/>
      <c r="PC73" s="43"/>
      <c r="PD73" s="43"/>
      <c r="PE73" s="43"/>
      <c r="PF73" s="43"/>
      <c r="PG73" s="43"/>
      <c r="PH73" s="43"/>
      <c r="PI73" s="43"/>
      <c r="PJ73" s="43"/>
      <c r="PK73" s="43"/>
      <c r="PL73" s="43"/>
      <c r="PM73" s="43"/>
      <c r="PN73" s="43"/>
      <c r="PO73" s="43"/>
      <c r="PP73" s="43"/>
      <c r="PQ73" s="43"/>
      <c r="PR73" s="43"/>
      <c r="PS73" s="43"/>
      <c r="PT73" s="43"/>
      <c r="PU73" s="43"/>
      <c r="PV73" s="43"/>
      <c r="PW73" s="43"/>
      <c r="PX73" s="43"/>
      <c r="PY73" s="43"/>
      <c r="PZ73" s="43"/>
      <c r="QA73" s="43"/>
      <c r="QB73" s="43"/>
      <c r="QC73" s="43"/>
      <c r="QD73" s="43"/>
      <c r="QE73" s="43"/>
      <c r="QF73" s="43"/>
      <c r="QG73" s="43"/>
      <c r="QH73" s="43"/>
      <c r="QI73" s="43"/>
      <c r="QJ73" s="43"/>
      <c r="QK73" s="43"/>
      <c r="QL73" s="43"/>
      <c r="QM73" s="43"/>
      <c r="QN73" s="43"/>
      <c r="QO73" s="43"/>
      <c r="QP73" s="43"/>
      <c r="QQ73" s="43"/>
      <c r="QR73" s="43"/>
      <c r="QS73" s="43"/>
      <c r="QT73" s="43"/>
      <c r="QU73" s="43"/>
      <c r="QV73" s="43"/>
      <c r="QW73" s="43"/>
      <c r="QX73" s="43"/>
      <c r="QY73" s="43"/>
      <c r="QZ73" s="43"/>
      <c r="RA73" s="43"/>
      <c r="RB73" s="43"/>
      <c r="RC73" s="43"/>
      <c r="RD73" s="43"/>
      <c r="RE73" s="43"/>
      <c r="RF73" s="43"/>
      <c r="RG73" s="43"/>
      <c r="RH73" s="43"/>
      <c r="RI73" s="43"/>
      <c r="RJ73" s="43"/>
      <c r="RK73" s="43"/>
      <c r="RL73" s="43"/>
      <c r="RM73" s="43"/>
      <c r="RN73" s="43"/>
      <c r="RO73" s="43"/>
      <c r="RP73" s="43"/>
      <c r="RQ73" s="43"/>
      <c r="RR73" s="43"/>
      <c r="RS73" s="43"/>
      <c r="RT73" s="43"/>
      <c r="RU73" s="43"/>
      <c r="RV73" s="43"/>
      <c r="RW73" s="43"/>
      <c r="RX73" s="43"/>
      <c r="RY73" s="43"/>
      <c r="RZ73" s="43"/>
      <c r="SA73" s="43"/>
      <c r="SB73" s="43"/>
      <c r="SC73" s="43"/>
      <c r="SD73" s="43"/>
      <c r="SE73" s="43"/>
      <c r="SF73" s="43"/>
      <c r="SG73" s="43"/>
      <c r="SH73" s="43"/>
      <c r="SI73" s="43"/>
      <c r="SJ73" s="43"/>
      <c r="SK73" s="43"/>
      <c r="SL73" s="43"/>
      <c r="SM73" s="43"/>
      <c r="SN73" s="43"/>
      <c r="SO73" s="43"/>
      <c r="SP73" s="43"/>
      <c r="SQ73" s="43"/>
      <c r="SR73" s="43"/>
      <c r="SS73" s="43"/>
      <c r="ST73" s="43"/>
      <c r="SU73" s="43"/>
      <c r="SV73" s="43"/>
      <c r="SW73" s="43"/>
      <c r="SX73" s="43"/>
      <c r="SY73" s="43"/>
      <c r="SZ73" s="43"/>
      <c r="TA73" s="43"/>
      <c r="TB73" s="43"/>
      <c r="TC73" s="43"/>
      <c r="TD73" s="43"/>
      <c r="TE73" s="43"/>
      <c r="TF73" s="43"/>
      <c r="TG73" s="43"/>
      <c r="TH73" s="43"/>
      <c r="TI73" s="43"/>
      <c r="TJ73" s="43"/>
      <c r="TK73" s="43"/>
      <c r="TL73" s="43"/>
      <c r="TM73" s="43"/>
      <c r="TN73" s="43"/>
      <c r="TO73" s="43"/>
      <c r="TP73" s="43"/>
      <c r="TQ73" s="43"/>
      <c r="TR73" s="43"/>
      <c r="TS73" s="43"/>
      <c r="TT73" s="43"/>
      <c r="TU73" s="43"/>
      <c r="TV73" s="43"/>
      <c r="TW73" s="43"/>
      <c r="TX73" s="43"/>
      <c r="TY73" s="43"/>
      <c r="TZ73" s="43"/>
      <c r="UA73" s="43"/>
      <c r="UB73" s="43"/>
      <c r="UC73" s="43"/>
      <c r="UD73" s="43"/>
      <c r="UE73" s="43"/>
      <c r="UF73" s="43"/>
      <c r="UG73" s="43"/>
      <c r="UH73" s="43"/>
      <c r="UI73" s="43"/>
      <c r="UJ73" s="43"/>
      <c r="UK73" s="43"/>
      <c r="UL73" s="43"/>
      <c r="UM73" s="43"/>
      <c r="UN73" s="43"/>
      <c r="UO73" s="43"/>
      <c r="UP73" s="43"/>
      <c r="UQ73" s="43"/>
      <c r="UR73" s="43"/>
      <c r="US73" s="43"/>
      <c r="UT73" s="43"/>
      <c r="UU73" s="43"/>
      <c r="UV73" s="43"/>
      <c r="UW73" s="43"/>
      <c r="UX73" s="43"/>
      <c r="UY73" s="43"/>
      <c r="UZ73" s="43"/>
      <c r="VA73" s="43"/>
      <c r="VB73" s="43"/>
      <c r="VC73" s="43"/>
      <c r="VD73" s="43"/>
      <c r="VE73" s="43"/>
      <c r="VF73" s="43"/>
      <c r="VG73" s="43"/>
      <c r="VH73" s="43"/>
      <c r="VI73" s="43"/>
      <c r="VJ73" s="43"/>
      <c r="VK73" s="43"/>
      <c r="VL73" s="43"/>
      <c r="VM73" s="43"/>
      <c r="VN73" s="43"/>
      <c r="VO73" s="43"/>
      <c r="VP73" s="43"/>
      <c r="VQ73" s="43"/>
      <c r="VR73" s="43"/>
      <c r="VS73" s="43"/>
      <c r="VT73" s="43"/>
      <c r="VU73" s="43"/>
      <c r="VV73" s="43"/>
      <c r="VW73" s="43"/>
      <c r="VX73" s="43"/>
      <c r="VY73" s="43"/>
      <c r="VZ73" s="43"/>
      <c r="WA73" s="43"/>
      <c r="WB73" s="43"/>
      <c r="WC73" s="43"/>
      <c r="WD73" s="43"/>
      <c r="WE73" s="43"/>
      <c r="WF73" s="43"/>
      <c r="WG73" s="43"/>
      <c r="WH73" s="43"/>
      <c r="WI73" s="43"/>
      <c r="WJ73" s="43"/>
      <c r="WK73" s="43"/>
      <c r="WL73" s="43"/>
      <c r="WM73" s="43"/>
      <c r="WN73" s="43"/>
      <c r="WO73" s="43"/>
      <c r="WP73" s="43"/>
      <c r="WQ73" s="43"/>
      <c r="WR73" s="43"/>
      <c r="WS73" s="43"/>
      <c r="WT73" s="43"/>
      <c r="WU73" s="43"/>
      <c r="WV73" s="43"/>
      <c r="WW73" s="43"/>
      <c r="WX73" s="43"/>
      <c r="WY73" s="43"/>
      <c r="WZ73" s="43"/>
      <c r="XA73" s="43"/>
      <c r="XB73" s="43"/>
      <c r="XC73" s="43"/>
      <c r="XD73" s="43"/>
      <c r="XE73" s="43"/>
      <c r="XF73" s="43"/>
      <c r="XG73" s="43"/>
      <c r="XH73" s="43"/>
      <c r="XI73" s="43"/>
      <c r="XJ73" s="43"/>
      <c r="XK73" s="43"/>
      <c r="XL73" s="43"/>
      <c r="XM73" s="43"/>
      <c r="XN73" s="43"/>
      <c r="XO73" s="43"/>
      <c r="XP73" s="43"/>
      <c r="XQ73" s="43"/>
      <c r="XR73" s="43"/>
      <c r="XS73" s="43"/>
      <c r="XT73" s="43"/>
      <c r="XU73" s="43"/>
      <c r="XV73" s="43"/>
      <c r="XW73" s="43"/>
      <c r="XX73" s="43"/>
      <c r="XY73" s="43"/>
      <c r="XZ73" s="43"/>
      <c r="YA73" s="43"/>
      <c r="YB73" s="43"/>
      <c r="YC73" s="43"/>
      <c r="YD73" s="43"/>
      <c r="YE73" s="43"/>
      <c r="YF73" s="43"/>
      <c r="YG73" s="43"/>
      <c r="YH73" s="43"/>
      <c r="YI73" s="43"/>
      <c r="YJ73" s="43"/>
      <c r="YK73" s="43"/>
      <c r="YL73" s="43"/>
      <c r="YM73" s="43"/>
      <c r="YN73" s="43"/>
      <c r="YO73" s="43"/>
      <c r="YP73" s="43"/>
      <c r="YQ73" s="43"/>
      <c r="YR73" s="43"/>
      <c r="YS73" s="43"/>
      <c r="YT73" s="43"/>
      <c r="YU73" s="43"/>
      <c r="YV73" s="43"/>
      <c r="YW73" s="43"/>
      <c r="YX73" s="43"/>
      <c r="YY73" s="43"/>
      <c r="YZ73" s="43"/>
      <c r="ZA73" s="43"/>
      <c r="ZB73" s="43"/>
      <c r="ZC73" s="43"/>
      <c r="ZD73" s="43"/>
      <c r="ZE73" s="43"/>
      <c r="ZF73" s="43"/>
      <c r="ZG73" s="43"/>
      <c r="ZH73" s="43"/>
      <c r="ZI73" s="43"/>
      <c r="ZJ73" s="43"/>
      <c r="ZK73" s="43"/>
      <c r="ZL73" s="43"/>
      <c r="ZM73" s="43"/>
      <c r="ZN73" s="43"/>
      <c r="ZO73" s="43"/>
      <c r="ZP73" s="43"/>
      <c r="ZQ73" s="43"/>
      <c r="ZR73" s="43"/>
      <c r="ZS73" s="43"/>
      <c r="ZT73" s="43"/>
      <c r="ZU73" s="43"/>
      <c r="ZV73" s="43"/>
      <c r="ZW73" s="43"/>
      <c r="ZX73" s="43"/>
      <c r="ZY73" s="43"/>
      <c r="ZZ73" s="43"/>
      <c r="AAA73" s="43"/>
      <c r="AAB73" s="43"/>
      <c r="AAC73" s="43"/>
      <c r="AAD73" s="43"/>
      <c r="AAE73" s="43"/>
      <c r="AAF73" s="43"/>
      <c r="AAG73" s="43"/>
      <c r="AAH73" s="43"/>
      <c r="AAI73" s="43"/>
      <c r="AAJ73" s="43"/>
      <c r="AAK73" s="43"/>
      <c r="AAL73" s="43"/>
      <c r="AAM73" s="43"/>
      <c r="AAN73" s="43"/>
      <c r="AAO73" s="43"/>
      <c r="AAP73" s="43"/>
      <c r="AAQ73" s="43"/>
      <c r="AAR73" s="43"/>
      <c r="AAS73" s="43"/>
      <c r="AAT73" s="43"/>
      <c r="AAU73" s="43"/>
      <c r="AAV73" s="43"/>
      <c r="AAW73" s="43"/>
      <c r="AAX73" s="43"/>
      <c r="AAY73" s="43"/>
      <c r="AAZ73" s="43"/>
      <c r="ABA73" s="43"/>
      <c r="ABB73" s="43"/>
      <c r="ABC73" s="43"/>
      <c r="ABD73" s="43"/>
      <c r="ABE73" s="43"/>
      <c r="ABF73" s="43"/>
      <c r="ABG73" s="43"/>
      <c r="ABH73" s="43"/>
      <c r="ABI73" s="43"/>
      <c r="ABJ73" s="43"/>
      <c r="ABK73" s="43"/>
      <c r="ABL73" s="43"/>
      <c r="ABM73" s="43"/>
      <c r="ABN73" s="43"/>
      <c r="ABO73" s="43"/>
      <c r="ABP73" s="43"/>
      <c r="ABQ73" s="43"/>
      <c r="ABR73" s="43"/>
      <c r="ABS73" s="43"/>
      <c r="ABT73" s="43"/>
      <c r="ABU73" s="43"/>
      <c r="ABV73" s="43"/>
      <c r="ABW73" s="43"/>
      <c r="ABX73" s="43"/>
      <c r="ABY73" s="43"/>
      <c r="ABZ73" s="43"/>
      <c r="ACA73" s="43"/>
      <c r="ACB73" s="43"/>
      <c r="ACC73" s="43"/>
      <c r="ACD73" s="43"/>
      <c r="ACE73" s="43"/>
      <c r="ACF73" s="43"/>
      <c r="ACG73" s="43"/>
      <c r="ACH73" s="43"/>
      <c r="ACI73" s="43"/>
      <c r="ACJ73" s="43"/>
      <c r="ACK73" s="43"/>
      <c r="ACL73" s="43"/>
      <c r="ACM73" s="43"/>
      <c r="ACN73" s="43"/>
      <c r="ACO73" s="43"/>
      <c r="ACP73" s="43"/>
      <c r="ACQ73" s="43"/>
      <c r="ACR73" s="43"/>
      <c r="ACS73" s="43"/>
      <c r="ACT73" s="43"/>
      <c r="ACU73" s="43"/>
      <c r="ACV73" s="43"/>
      <c r="ACW73" s="43"/>
      <c r="ACX73" s="43"/>
      <c r="ACY73" s="43"/>
      <c r="ACZ73" s="43"/>
      <c r="ADA73" s="43"/>
      <c r="ADB73" s="43"/>
      <c r="ADC73" s="43"/>
      <c r="ADD73" s="43"/>
      <c r="ADE73" s="43"/>
      <c r="ADF73" s="43"/>
      <c r="ADG73" s="43"/>
      <c r="ADH73" s="43"/>
      <c r="ADI73" s="43"/>
      <c r="ADJ73" s="43"/>
      <c r="ADK73" s="43"/>
      <c r="ADL73" s="43"/>
      <c r="ADM73" s="43"/>
      <c r="ADN73" s="43"/>
      <c r="ADO73" s="43"/>
      <c r="ADP73" s="43"/>
      <c r="ADQ73" s="43"/>
      <c r="ADR73" s="43"/>
      <c r="ADS73" s="43"/>
      <c r="ADT73" s="43"/>
      <c r="ADU73" s="43"/>
      <c r="ADV73" s="43"/>
      <c r="ADW73" s="43"/>
      <c r="ADX73" s="43"/>
      <c r="ADY73" s="43"/>
      <c r="ADZ73" s="43"/>
      <c r="AEA73" s="43"/>
      <c r="AEB73" s="43"/>
      <c r="AEC73" s="43"/>
      <c r="AED73" s="43"/>
      <c r="AEE73" s="43"/>
      <c r="AEF73" s="43"/>
      <c r="AEG73" s="43"/>
      <c r="AEH73" s="43"/>
      <c r="AEI73" s="43"/>
      <c r="AEJ73" s="43"/>
      <c r="AEK73" s="43"/>
      <c r="AEL73" s="43"/>
      <c r="AEM73" s="43"/>
      <c r="AEN73" s="43"/>
      <c r="AEO73" s="43"/>
      <c r="AEP73" s="43"/>
      <c r="AEQ73" s="43"/>
      <c r="AER73" s="43"/>
      <c r="AES73" s="43"/>
      <c r="AET73" s="43"/>
      <c r="AEU73" s="43"/>
      <c r="AEV73" s="43"/>
      <c r="AEW73" s="43"/>
      <c r="AEX73" s="43"/>
      <c r="AEY73" s="43"/>
      <c r="AEZ73" s="43"/>
      <c r="AFA73" s="43"/>
      <c r="AFB73" s="43"/>
      <c r="AFC73" s="43"/>
      <c r="AFD73" s="43"/>
      <c r="AFE73" s="43"/>
      <c r="AFF73" s="43"/>
      <c r="AFG73" s="43"/>
      <c r="AFH73" s="43"/>
      <c r="AFI73" s="43"/>
      <c r="AFJ73" s="43"/>
      <c r="AFK73" s="43"/>
      <c r="AFL73" s="43"/>
      <c r="AFM73" s="43"/>
      <c r="AFN73" s="43"/>
      <c r="AFO73" s="43"/>
      <c r="AFP73" s="43"/>
      <c r="AFQ73" s="43"/>
      <c r="AFR73" s="43"/>
      <c r="AFS73" s="43"/>
      <c r="AFT73" s="43"/>
      <c r="AFU73" s="43"/>
      <c r="AFV73" s="43"/>
      <c r="AFW73" s="43"/>
      <c r="AFX73" s="43"/>
      <c r="AFY73" s="43"/>
      <c r="AFZ73" s="43"/>
      <c r="AGA73" s="43"/>
      <c r="AGB73" s="43"/>
      <c r="AGC73" s="43"/>
      <c r="AGD73" s="43"/>
      <c r="AGE73" s="43"/>
      <c r="AGF73" s="43"/>
      <c r="AGG73" s="43"/>
      <c r="AGH73" s="43"/>
      <c r="AGI73" s="43"/>
      <c r="AGJ73" s="43"/>
      <c r="AGK73" s="43"/>
      <c r="AGL73" s="43"/>
      <c r="AGM73" s="43"/>
      <c r="AGN73" s="43"/>
      <c r="AGO73" s="43"/>
      <c r="AGP73" s="43"/>
      <c r="AGQ73" s="43"/>
      <c r="AGR73" s="43"/>
      <c r="AGS73" s="43"/>
      <c r="AGT73" s="43"/>
      <c r="AGU73" s="43"/>
      <c r="AGV73" s="43"/>
      <c r="AGW73" s="43"/>
      <c r="AGX73" s="43"/>
      <c r="AGY73" s="43"/>
      <c r="AGZ73" s="43"/>
      <c r="AHA73" s="43"/>
      <c r="AHB73" s="43"/>
      <c r="AHC73" s="43"/>
      <c r="AHD73" s="43"/>
      <c r="AHE73" s="43"/>
      <c r="AHF73" s="43"/>
      <c r="AHG73" s="43"/>
      <c r="AHH73" s="43"/>
      <c r="AHI73" s="43"/>
      <c r="AHJ73" s="43"/>
      <c r="AHK73" s="43"/>
      <c r="AHL73" s="43"/>
      <c r="AHM73" s="43"/>
      <c r="AHN73" s="43"/>
      <c r="AHO73" s="43"/>
      <c r="AHP73" s="43"/>
      <c r="AHQ73" s="43"/>
      <c r="AHR73" s="43"/>
      <c r="AHS73" s="43"/>
      <c r="AHT73" s="43"/>
      <c r="AHU73" s="43"/>
      <c r="AHV73" s="43"/>
      <c r="AHW73" s="43"/>
      <c r="AHX73" s="43"/>
      <c r="AHY73" s="43"/>
      <c r="AHZ73" s="43"/>
      <c r="AIA73" s="43"/>
      <c r="AIB73" s="43"/>
      <c r="AIC73" s="43"/>
      <c r="AID73" s="43"/>
      <c r="AIE73" s="43"/>
      <c r="AIF73" s="43"/>
      <c r="AIG73" s="43"/>
      <c r="AIH73" s="43"/>
      <c r="AII73" s="43"/>
      <c r="AIJ73" s="43"/>
      <c r="AIK73" s="43"/>
      <c r="AIL73" s="43"/>
      <c r="AIM73" s="43"/>
      <c r="AIN73" s="43"/>
      <c r="AIO73" s="43"/>
      <c r="AIP73" s="43"/>
      <c r="AIQ73" s="43"/>
      <c r="AIR73" s="43"/>
      <c r="AIS73" s="43"/>
      <c r="AIT73" s="43"/>
      <c r="AIU73" s="43"/>
      <c r="AIV73" s="43"/>
      <c r="AIW73" s="43"/>
      <c r="AIX73" s="43"/>
      <c r="AIY73" s="43"/>
      <c r="AIZ73" s="43"/>
      <c r="AJA73" s="43"/>
      <c r="AJB73" s="43"/>
      <c r="AJC73" s="43"/>
      <c r="AJD73" s="43"/>
      <c r="AJE73" s="43"/>
      <c r="AJF73" s="43"/>
      <c r="AJG73" s="43"/>
      <c r="AJH73" s="43"/>
      <c r="AJI73" s="43"/>
      <c r="AJJ73" s="43"/>
      <c r="AJK73" s="43"/>
      <c r="AJL73" s="43"/>
      <c r="AJM73" s="43"/>
      <c r="AJN73" s="43"/>
      <c r="AJO73" s="43"/>
      <c r="AJP73" s="43"/>
      <c r="AJQ73" s="43"/>
      <c r="AJR73" s="43"/>
      <c r="AJS73" s="43"/>
      <c r="AJT73" s="43"/>
      <c r="AJU73" s="43"/>
      <c r="AJV73" s="43"/>
      <c r="AJW73" s="43"/>
      <c r="AJX73" s="43"/>
      <c r="AJY73" s="43"/>
      <c r="AJZ73" s="43"/>
      <c r="AKA73" s="43"/>
      <c r="AKB73" s="43"/>
      <c r="AKC73" s="43"/>
      <c r="AKD73" s="43"/>
      <c r="AKE73" s="43"/>
      <c r="AKF73" s="43"/>
      <c r="AKG73" s="43"/>
      <c r="AKH73" s="43"/>
      <c r="AKI73" s="43"/>
      <c r="AKJ73" s="43"/>
      <c r="AKK73" s="43"/>
      <c r="AKL73" s="43"/>
      <c r="AKM73" s="43"/>
      <c r="AKN73" s="43"/>
      <c r="AKO73" s="43"/>
      <c r="AKP73" s="43"/>
      <c r="AKQ73" s="43"/>
      <c r="AKR73" s="43"/>
      <c r="AKS73" s="43"/>
      <c r="AKT73" s="43"/>
      <c r="AKU73" s="43"/>
      <c r="AKV73" s="43"/>
      <c r="AKW73" s="43"/>
      <c r="AKX73" s="43"/>
      <c r="AKY73" s="43"/>
      <c r="AKZ73" s="43"/>
      <c r="ALA73" s="43"/>
      <c r="ALB73" s="43"/>
      <c r="ALC73" s="43"/>
      <c r="ALD73" s="43"/>
      <c r="ALE73" s="43"/>
      <c r="ALF73" s="43"/>
      <c r="ALG73" s="43"/>
      <c r="ALH73" s="43"/>
      <c r="ALI73" s="43"/>
      <c r="ALJ73" s="43"/>
      <c r="ALK73" s="43"/>
      <c r="ALL73" s="43"/>
      <c r="ALM73" s="43"/>
      <c r="ALN73" s="43"/>
      <c r="ALO73" s="43"/>
      <c r="ALP73" s="43"/>
      <c r="ALQ73" s="43"/>
      <c r="ALR73" s="43"/>
      <c r="ALS73" s="43"/>
      <c r="ALT73" s="43"/>
      <c r="ALU73" s="43"/>
      <c r="ALV73" s="43"/>
      <c r="ALW73" s="43"/>
      <c r="ALX73" s="43"/>
      <c r="ALY73" s="43"/>
      <c r="ALZ73" s="43"/>
      <c r="AMA73" s="43"/>
      <c r="AMB73" s="43"/>
      <c r="AMC73" s="43"/>
      <c r="AMD73" s="43"/>
      <c r="AME73" s="43"/>
      <c r="AMF73" s="43"/>
      <c r="AMG73" s="43"/>
      <c r="AMH73" s="43"/>
      <c r="AMI73" s="43"/>
      <c r="AMJ73" s="43"/>
      <c r="AMK73" s="43"/>
      <c r="AML73" s="43"/>
      <c r="AMM73" s="43"/>
      <c r="AMN73" s="43"/>
      <c r="AMO73" s="43"/>
      <c r="AMP73" s="43"/>
      <c r="AMQ73" s="43"/>
      <c r="AMR73" s="43"/>
      <c r="AMS73" s="43"/>
      <c r="AMT73" s="43"/>
      <c r="AMU73" s="43"/>
      <c r="AMV73" s="43"/>
      <c r="AMW73" s="43"/>
      <c r="AMX73" s="43"/>
      <c r="AMY73" s="43"/>
      <c r="AMZ73" s="43"/>
      <c r="ANA73" s="43"/>
      <c r="ANB73" s="43"/>
      <c r="ANC73" s="43"/>
      <c r="AND73" s="43"/>
      <c r="ANE73" s="43"/>
      <c r="ANF73" s="43"/>
      <c r="ANG73" s="43"/>
      <c r="ANH73" s="43"/>
      <c r="ANI73" s="43"/>
      <c r="ANJ73" s="43"/>
      <c r="ANK73" s="43"/>
      <c r="ANL73" s="43"/>
      <c r="ANM73" s="43"/>
      <c r="ANN73" s="43"/>
      <c r="ANO73" s="43"/>
      <c r="ANP73" s="43"/>
      <c r="ANQ73" s="43"/>
      <c r="ANR73" s="43"/>
      <c r="ANS73" s="43"/>
      <c r="ANT73" s="43"/>
      <c r="ANU73" s="43"/>
      <c r="ANV73" s="43"/>
      <c r="ANW73" s="43"/>
      <c r="ANX73" s="43"/>
      <c r="ANY73" s="43"/>
      <c r="ANZ73" s="43"/>
      <c r="AOA73" s="43"/>
      <c r="AOB73" s="43"/>
      <c r="AOC73" s="43"/>
      <c r="AOD73" s="43"/>
      <c r="AOE73" s="43"/>
      <c r="AOF73" s="43"/>
      <c r="AOG73" s="43"/>
      <c r="AOH73" s="43"/>
      <c r="AOI73" s="43"/>
      <c r="AOJ73" s="43"/>
      <c r="AOK73" s="43"/>
      <c r="AOL73" s="43"/>
      <c r="AOM73" s="43"/>
      <c r="AON73" s="43"/>
      <c r="AOO73" s="43"/>
      <c r="AOP73" s="43"/>
      <c r="AOQ73" s="43"/>
      <c r="AOR73" s="43"/>
      <c r="AOS73" s="43"/>
      <c r="AOT73" s="43"/>
      <c r="AOU73" s="43"/>
      <c r="AOV73" s="43"/>
      <c r="AOW73" s="43"/>
      <c r="AOX73" s="43"/>
      <c r="AOY73" s="43"/>
      <c r="AOZ73" s="43"/>
      <c r="APA73" s="43"/>
      <c r="APB73" s="43"/>
      <c r="APC73" s="43"/>
      <c r="APD73" s="43"/>
      <c r="APE73" s="43"/>
      <c r="APF73" s="43"/>
      <c r="APG73" s="43"/>
      <c r="APH73" s="43"/>
      <c r="API73" s="43"/>
      <c r="APJ73" s="43"/>
      <c r="APK73" s="43"/>
      <c r="APL73" s="43"/>
      <c r="APM73" s="43"/>
      <c r="APN73" s="43"/>
      <c r="APO73" s="43"/>
      <c r="APP73" s="43"/>
      <c r="APQ73" s="43"/>
      <c r="APR73" s="43"/>
      <c r="APS73" s="43"/>
      <c r="APT73" s="43"/>
      <c r="APU73" s="43"/>
      <c r="APV73" s="43"/>
      <c r="APW73" s="43"/>
      <c r="APX73" s="43"/>
      <c r="APY73" s="43"/>
      <c r="APZ73" s="43"/>
      <c r="AQA73" s="43"/>
      <c r="AQB73" s="43"/>
      <c r="AQC73" s="43"/>
      <c r="AQD73" s="43"/>
      <c r="AQE73" s="43"/>
      <c r="AQF73" s="43"/>
      <c r="AQG73" s="43"/>
      <c r="AQH73" s="43"/>
      <c r="AQI73" s="43"/>
      <c r="AQJ73" s="43"/>
      <c r="AQK73" s="43"/>
      <c r="AQL73" s="43"/>
      <c r="AQM73" s="43"/>
      <c r="AQN73" s="43"/>
      <c r="AQO73" s="43"/>
      <c r="AQP73" s="43"/>
      <c r="AQQ73" s="43"/>
      <c r="AQR73" s="43"/>
      <c r="AQS73" s="43"/>
      <c r="AQT73" s="43"/>
      <c r="AQU73" s="43"/>
      <c r="AQV73" s="43"/>
      <c r="AQW73" s="43"/>
      <c r="AQX73" s="43"/>
      <c r="AQY73" s="43"/>
      <c r="AQZ73" s="43"/>
      <c r="ARA73" s="43"/>
      <c r="ARB73" s="43"/>
      <c r="ARC73" s="43"/>
      <c r="ARD73" s="43"/>
      <c r="ARE73" s="43"/>
      <c r="ARF73" s="43"/>
      <c r="ARG73" s="43"/>
      <c r="ARH73" s="43"/>
      <c r="ARI73" s="43"/>
      <c r="ARJ73" s="43"/>
      <c r="ARK73" s="43"/>
      <c r="ARL73" s="43"/>
      <c r="ARM73" s="43"/>
      <c r="ARN73" s="43"/>
      <c r="ARO73" s="43"/>
      <c r="ARP73" s="43"/>
      <c r="ARQ73" s="43"/>
      <c r="ARR73" s="43"/>
      <c r="ARS73" s="43"/>
      <c r="ART73" s="43"/>
      <c r="ARU73" s="43"/>
      <c r="ARV73" s="43"/>
      <c r="ARW73" s="43"/>
      <c r="ARX73" s="43"/>
      <c r="ARY73" s="43"/>
      <c r="ARZ73" s="43"/>
      <c r="ASA73" s="43"/>
      <c r="ASB73" s="43"/>
      <c r="ASC73" s="43"/>
      <c r="ASD73" s="43"/>
      <c r="ASE73" s="43"/>
      <c r="ASF73" s="43"/>
      <c r="ASG73" s="43"/>
      <c r="ASH73" s="43"/>
      <c r="ASI73" s="43"/>
      <c r="ASJ73" s="43"/>
      <c r="ASK73" s="43"/>
      <c r="ASL73" s="43"/>
      <c r="ASM73" s="43"/>
      <c r="ASN73" s="43"/>
      <c r="ASO73" s="43"/>
      <c r="ASP73" s="43"/>
      <c r="ASQ73" s="43"/>
      <c r="ASR73" s="43"/>
      <c r="ASS73" s="43"/>
      <c r="AST73" s="43"/>
      <c r="ASU73" s="43"/>
      <c r="ASV73" s="43"/>
      <c r="ASW73" s="43"/>
      <c r="ASX73" s="43"/>
      <c r="ASY73" s="43"/>
      <c r="ASZ73" s="43"/>
      <c r="ATA73" s="43"/>
      <c r="ATB73" s="43"/>
      <c r="ATC73" s="43"/>
      <c r="ATD73" s="43"/>
      <c r="ATE73" s="43"/>
      <c r="ATF73" s="43"/>
      <c r="ATG73" s="43"/>
      <c r="ATH73" s="43"/>
      <c r="ATI73" s="43"/>
      <c r="ATJ73" s="43"/>
      <c r="ATK73" s="43"/>
      <c r="ATL73" s="43"/>
      <c r="ATM73" s="43"/>
      <c r="ATN73" s="43"/>
      <c r="ATO73" s="43"/>
      <c r="ATP73" s="43"/>
      <c r="ATQ73" s="43"/>
      <c r="ATR73" s="43"/>
      <c r="ATS73" s="43"/>
      <c r="ATT73" s="43"/>
      <c r="ATU73" s="43"/>
      <c r="ATV73" s="43"/>
      <c r="ATW73" s="43"/>
      <c r="ATX73" s="43"/>
      <c r="ATY73" s="43"/>
      <c r="ATZ73" s="43"/>
      <c r="AUA73" s="43"/>
      <c r="AUB73" s="43"/>
      <c r="AUC73" s="43"/>
      <c r="AUD73" s="43"/>
      <c r="AUE73" s="43"/>
      <c r="AUF73" s="43"/>
      <c r="AUG73" s="43"/>
      <c r="AUH73" s="43"/>
      <c r="AUI73" s="43"/>
      <c r="AUJ73" s="43"/>
      <c r="AUK73" s="43"/>
      <c r="AUL73" s="43"/>
      <c r="AUM73" s="43"/>
      <c r="AUN73" s="43"/>
      <c r="AUO73" s="43"/>
      <c r="AUP73" s="43"/>
      <c r="AUQ73" s="43"/>
      <c r="AUR73" s="43"/>
      <c r="AUS73" s="43"/>
      <c r="AUT73" s="43"/>
      <c r="AUU73" s="43"/>
      <c r="AUV73" s="43"/>
      <c r="AUW73" s="43"/>
      <c r="AUX73" s="43"/>
      <c r="AUY73" s="43"/>
      <c r="AUZ73" s="43"/>
      <c r="AVA73" s="43"/>
      <c r="AVB73" s="43"/>
      <c r="AVC73" s="43"/>
      <c r="AVD73" s="43"/>
      <c r="AVE73" s="43"/>
      <c r="AVF73" s="43"/>
      <c r="AVG73" s="43"/>
      <c r="AVH73" s="43"/>
      <c r="AVI73" s="43"/>
      <c r="AVJ73" s="43"/>
      <c r="AVK73" s="43"/>
      <c r="AVL73" s="43"/>
      <c r="AVM73" s="43"/>
      <c r="AVN73" s="43"/>
      <c r="AVO73" s="43"/>
      <c r="AVP73" s="43"/>
      <c r="AVQ73" s="43"/>
      <c r="AVR73" s="43"/>
      <c r="AVS73" s="43"/>
      <c r="AVT73" s="43"/>
      <c r="AVU73" s="43"/>
      <c r="AVV73" s="43"/>
      <c r="AVW73" s="43"/>
      <c r="AVX73" s="43"/>
      <c r="AVY73" s="43"/>
      <c r="AVZ73" s="43"/>
      <c r="AWA73" s="43"/>
      <c r="AWB73" s="43"/>
      <c r="AWC73" s="43"/>
      <c r="AWD73" s="43"/>
      <c r="AWE73" s="43"/>
      <c r="AWF73" s="43"/>
      <c r="AWG73" s="43"/>
      <c r="AWH73" s="43"/>
      <c r="AWI73" s="43"/>
      <c r="AWJ73" s="43"/>
      <c r="AWK73" s="43"/>
      <c r="AWL73" s="43"/>
      <c r="AWM73" s="43"/>
      <c r="AWN73" s="43"/>
      <c r="AWO73" s="43"/>
      <c r="AWP73" s="43"/>
      <c r="AWQ73" s="43"/>
      <c r="AWR73" s="43"/>
      <c r="AWS73" s="43"/>
      <c r="AWT73" s="43"/>
      <c r="AWU73" s="43"/>
      <c r="AWV73" s="43"/>
      <c r="AWW73" s="43"/>
      <c r="AWX73" s="43"/>
      <c r="AWY73" s="43"/>
      <c r="AWZ73" s="43"/>
      <c r="AXA73" s="43"/>
      <c r="AXB73" s="43"/>
      <c r="AXC73" s="43"/>
      <c r="AXD73" s="43"/>
      <c r="AXE73" s="43"/>
      <c r="AXF73" s="43"/>
      <c r="AXG73" s="43"/>
      <c r="AXH73" s="43"/>
      <c r="AXI73" s="43"/>
      <c r="AXJ73" s="43"/>
      <c r="AXK73" s="43"/>
      <c r="AXL73" s="43"/>
      <c r="AXM73" s="43"/>
      <c r="AXN73" s="43"/>
      <c r="AXO73" s="43"/>
      <c r="AXP73" s="43"/>
      <c r="AXQ73" s="43"/>
      <c r="AXR73" s="43"/>
      <c r="AXS73" s="43"/>
      <c r="AXT73" s="43"/>
      <c r="AXU73" s="43"/>
      <c r="AXV73" s="43"/>
      <c r="AXW73" s="43"/>
      <c r="AXX73" s="43"/>
      <c r="AXY73" s="43"/>
      <c r="AXZ73" s="43"/>
      <c r="AYA73" s="43"/>
      <c r="AYB73" s="43"/>
      <c r="AYC73" s="43"/>
      <c r="AYD73" s="43"/>
      <c r="AYE73" s="43"/>
      <c r="AYF73" s="43"/>
      <c r="AYG73" s="43"/>
      <c r="AYH73" s="43"/>
      <c r="AYI73" s="43"/>
      <c r="AYJ73" s="43"/>
      <c r="AYK73" s="43"/>
      <c r="AYL73" s="43"/>
      <c r="AYM73" s="43"/>
      <c r="AYN73" s="43"/>
      <c r="AYO73" s="43"/>
      <c r="AYP73" s="43"/>
      <c r="AYQ73" s="43"/>
      <c r="AYR73" s="43"/>
      <c r="AYS73" s="43"/>
      <c r="AYT73" s="43"/>
      <c r="AYU73" s="43"/>
      <c r="AYV73" s="43"/>
      <c r="AYW73" s="43"/>
      <c r="AYX73" s="43"/>
      <c r="AYY73" s="43"/>
      <c r="AYZ73" s="43"/>
      <c r="AZA73" s="43"/>
      <c r="AZB73" s="43"/>
      <c r="AZC73" s="43"/>
      <c r="AZD73" s="43"/>
      <c r="AZE73" s="43"/>
      <c r="AZF73" s="43"/>
      <c r="AZG73" s="43"/>
      <c r="AZH73" s="43"/>
      <c r="AZI73" s="43"/>
      <c r="AZJ73" s="43"/>
      <c r="AZK73" s="43"/>
      <c r="AZL73" s="43"/>
      <c r="AZM73" s="43"/>
      <c r="AZN73" s="43"/>
      <c r="AZO73" s="43"/>
      <c r="AZP73" s="43"/>
      <c r="AZQ73" s="43"/>
      <c r="AZR73" s="43"/>
      <c r="AZS73" s="43"/>
      <c r="AZT73" s="43"/>
      <c r="AZU73" s="43"/>
      <c r="AZV73" s="43"/>
      <c r="AZW73" s="43"/>
      <c r="AZX73" s="43"/>
      <c r="AZY73" s="43"/>
      <c r="AZZ73" s="43"/>
      <c r="BAA73" s="43"/>
      <c r="BAB73" s="43"/>
      <c r="BAC73" s="43"/>
      <c r="BAD73" s="43"/>
      <c r="BAE73" s="43"/>
      <c r="BAF73" s="43"/>
      <c r="BAG73" s="43"/>
      <c r="BAH73" s="43"/>
      <c r="BAI73" s="43"/>
      <c r="BAJ73" s="43"/>
      <c r="BAK73" s="43"/>
      <c r="BAL73" s="43"/>
      <c r="BAM73" s="43"/>
      <c r="BAN73" s="43"/>
      <c r="BAO73" s="43"/>
      <c r="BAP73" s="43"/>
      <c r="BAQ73" s="43"/>
      <c r="BAR73" s="43"/>
      <c r="BAS73" s="43"/>
      <c r="BAT73" s="43"/>
      <c r="BAU73" s="43"/>
      <c r="BAV73" s="43"/>
      <c r="BAW73" s="43"/>
      <c r="BAX73" s="43"/>
      <c r="BAY73" s="43"/>
      <c r="BAZ73" s="43"/>
      <c r="BBA73" s="43"/>
      <c r="BBB73" s="43"/>
      <c r="BBC73" s="43"/>
      <c r="BBD73" s="43"/>
      <c r="BBE73" s="43"/>
      <c r="BBF73" s="43"/>
      <c r="BBG73" s="43"/>
      <c r="BBH73" s="43"/>
      <c r="BBI73" s="43"/>
      <c r="BBJ73" s="43"/>
      <c r="BBK73" s="43"/>
      <c r="BBL73" s="43"/>
      <c r="BBM73" s="43"/>
      <c r="BBN73" s="43"/>
      <c r="BBO73" s="43"/>
      <c r="BBP73" s="43"/>
      <c r="BBQ73" s="43"/>
      <c r="BBR73" s="43"/>
      <c r="BBS73" s="43"/>
      <c r="BBT73" s="43"/>
      <c r="BBU73" s="43"/>
      <c r="BBV73" s="43"/>
      <c r="BBW73" s="43"/>
      <c r="BBX73" s="43"/>
      <c r="BBY73" s="43"/>
      <c r="BBZ73" s="43"/>
      <c r="BCA73" s="43"/>
      <c r="BCB73" s="43"/>
      <c r="BCC73" s="43"/>
      <c r="BCD73" s="43"/>
      <c r="BCE73" s="43"/>
      <c r="BCF73" s="43"/>
      <c r="BCG73" s="43"/>
      <c r="BCH73" s="43"/>
      <c r="BCI73" s="43"/>
      <c r="BCJ73" s="43"/>
      <c r="BCK73" s="43"/>
      <c r="BCL73" s="43"/>
      <c r="BCM73" s="43"/>
      <c r="BCN73" s="43"/>
      <c r="BCO73" s="43"/>
      <c r="BCP73" s="43"/>
      <c r="BCQ73" s="43"/>
      <c r="BCR73" s="43"/>
      <c r="BCS73" s="43"/>
      <c r="BCT73" s="43"/>
      <c r="BCU73" s="43"/>
      <c r="BCV73" s="43"/>
      <c r="BCW73" s="43"/>
      <c r="BCX73" s="43"/>
      <c r="BCY73" s="43"/>
      <c r="BCZ73" s="43"/>
      <c r="BDA73" s="43"/>
      <c r="BDB73" s="43"/>
      <c r="BDC73" s="43"/>
      <c r="BDD73" s="43"/>
      <c r="BDE73" s="43"/>
      <c r="BDF73" s="43"/>
      <c r="BDG73" s="43"/>
      <c r="BDH73" s="43"/>
      <c r="BDI73" s="43"/>
      <c r="BDJ73" s="43"/>
      <c r="BDK73" s="43"/>
      <c r="BDL73" s="43"/>
      <c r="BDM73" s="43"/>
      <c r="BDN73" s="43"/>
      <c r="BDO73" s="43"/>
      <c r="BDP73" s="43"/>
      <c r="BDQ73" s="43"/>
      <c r="BDR73" s="43"/>
      <c r="BDS73" s="43"/>
      <c r="BDT73" s="43"/>
      <c r="BDU73" s="43"/>
      <c r="BDV73" s="43"/>
      <c r="BDW73" s="43"/>
      <c r="BDX73" s="43"/>
      <c r="BDY73" s="43"/>
      <c r="BDZ73" s="43"/>
      <c r="BEA73" s="43"/>
      <c r="BEB73" s="43"/>
      <c r="BEC73" s="43"/>
      <c r="BED73" s="43"/>
      <c r="BEE73" s="43"/>
      <c r="BEF73" s="43"/>
      <c r="BEG73" s="43"/>
      <c r="BEH73" s="43"/>
      <c r="BEI73" s="43"/>
      <c r="BEJ73" s="43"/>
      <c r="BEK73" s="43"/>
      <c r="BEL73" s="43"/>
      <c r="BEM73" s="43"/>
      <c r="BEN73" s="43"/>
      <c r="BEO73" s="43"/>
      <c r="BEP73" s="43"/>
      <c r="BEQ73" s="43"/>
      <c r="BER73" s="43"/>
      <c r="BES73" s="43"/>
      <c r="BET73" s="43"/>
      <c r="BEU73" s="43"/>
      <c r="BEV73" s="43"/>
      <c r="BEW73" s="43"/>
      <c r="BEX73" s="43"/>
      <c r="BEY73" s="43"/>
      <c r="BEZ73" s="43"/>
      <c r="BFA73" s="43"/>
      <c r="BFB73" s="43"/>
      <c r="BFC73" s="43"/>
      <c r="BFD73" s="43"/>
      <c r="BFE73" s="43"/>
      <c r="BFF73" s="43"/>
      <c r="BFG73" s="43"/>
      <c r="BFH73" s="43"/>
      <c r="BFI73" s="43"/>
      <c r="BFJ73" s="43"/>
      <c r="BFK73" s="43"/>
      <c r="BFL73" s="43"/>
      <c r="BFM73" s="43"/>
      <c r="BFN73" s="43"/>
      <c r="BFO73" s="43"/>
      <c r="BFP73" s="43"/>
      <c r="BFQ73" s="43"/>
      <c r="BFR73" s="43"/>
      <c r="BFS73" s="43"/>
      <c r="BFT73" s="43"/>
      <c r="BFU73" s="43"/>
      <c r="BFV73" s="43"/>
      <c r="BFW73" s="43"/>
      <c r="BFX73" s="43"/>
      <c r="BFY73" s="43"/>
      <c r="BFZ73" s="43"/>
      <c r="BGA73" s="43"/>
      <c r="BGB73" s="43"/>
      <c r="BGC73" s="43"/>
      <c r="BGD73" s="43"/>
      <c r="BGE73" s="43"/>
      <c r="BGF73" s="43"/>
      <c r="BGG73" s="43"/>
      <c r="BGH73" s="43"/>
      <c r="BGI73" s="43"/>
      <c r="BGJ73" s="43"/>
      <c r="BGK73" s="43"/>
      <c r="BGL73" s="43"/>
      <c r="BGM73" s="43"/>
      <c r="BGN73" s="43"/>
      <c r="BGO73" s="43"/>
      <c r="BGP73" s="43"/>
      <c r="BGQ73" s="43"/>
      <c r="BGR73" s="43"/>
      <c r="BGS73" s="43"/>
      <c r="BGT73" s="43"/>
      <c r="BGU73" s="43"/>
      <c r="BGV73" s="43"/>
      <c r="BGW73" s="43"/>
      <c r="BGX73" s="43"/>
      <c r="BGY73" s="43"/>
      <c r="BGZ73" s="43"/>
      <c r="BHA73" s="43"/>
      <c r="BHB73" s="43"/>
      <c r="BHC73" s="43"/>
      <c r="BHD73" s="43"/>
      <c r="BHE73" s="43"/>
      <c r="BHF73" s="43"/>
      <c r="BHG73" s="43"/>
      <c r="BHH73" s="43"/>
      <c r="BHI73" s="43"/>
      <c r="BHJ73" s="43"/>
      <c r="BHK73" s="43"/>
      <c r="BHL73" s="43"/>
      <c r="BHM73" s="43"/>
      <c r="BHN73" s="43"/>
      <c r="BHO73" s="43"/>
      <c r="BHP73" s="43"/>
      <c r="BHQ73" s="43"/>
      <c r="BHR73" s="43"/>
      <c r="BHS73" s="43"/>
      <c r="BHT73" s="43"/>
      <c r="BHU73" s="43"/>
      <c r="BHV73" s="43"/>
      <c r="BHW73" s="43"/>
      <c r="BHX73" s="43"/>
      <c r="BHY73" s="43"/>
      <c r="BHZ73" s="43"/>
      <c r="BIA73" s="43"/>
      <c r="BIB73" s="43"/>
      <c r="BIC73" s="43"/>
      <c r="BID73" s="43"/>
      <c r="BIE73" s="43"/>
      <c r="BIF73" s="43"/>
      <c r="BIG73" s="43"/>
      <c r="BIH73" s="43"/>
      <c r="BII73" s="43"/>
      <c r="BIJ73" s="43"/>
      <c r="BIK73" s="43"/>
      <c r="BIL73" s="43"/>
      <c r="BIM73" s="43"/>
      <c r="BIN73" s="43"/>
      <c r="BIO73" s="43"/>
      <c r="BIP73" s="43"/>
      <c r="BIQ73" s="43"/>
      <c r="BIR73" s="43"/>
      <c r="BIS73" s="43"/>
      <c r="BIT73" s="43"/>
      <c r="BIU73" s="43"/>
      <c r="BIV73" s="43"/>
      <c r="BIW73" s="43"/>
      <c r="BIX73" s="43"/>
      <c r="BIY73" s="43"/>
      <c r="BIZ73" s="43"/>
      <c r="BJA73" s="43"/>
      <c r="BJB73" s="43"/>
      <c r="BJC73" s="43"/>
      <c r="BJD73" s="43"/>
      <c r="BJE73" s="43"/>
      <c r="BJF73" s="43"/>
      <c r="BJG73" s="43"/>
      <c r="BJH73" s="43"/>
      <c r="BJI73" s="43"/>
      <c r="BJJ73" s="43"/>
      <c r="BJK73" s="43"/>
      <c r="BJL73" s="43"/>
      <c r="BJM73" s="43"/>
      <c r="BJN73" s="43"/>
      <c r="BJO73" s="43"/>
      <c r="BJP73" s="43"/>
      <c r="BJQ73" s="43"/>
      <c r="BJR73" s="43"/>
      <c r="BJS73" s="43"/>
      <c r="BJT73" s="43"/>
      <c r="BJU73" s="43"/>
      <c r="BJV73" s="43"/>
      <c r="BJW73" s="43"/>
      <c r="BJX73" s="43"/>
      <c r="BJY73" s="43"/>
      <c r="BJZ73" s="43"/>
      <c r="BKA73" s="43"/>
      <c r="BKB73" s="43"/>
      <c r="BKC73" s="43"/>
      <c r="BKD73" s="43"/>
      <c r="BKE73" s="43"/>
      <c r="BKF73" s="43"/>
      <c r="BKG73" s="43"/>
      <c r="BKH73" s="43"/>
      <c r="BKI73" s="43"/>
      <c r="BKJ73" s="43"/>
      <c r="BKK73" s="43"/>
      <c r="BKL73" s="43"/>
      <c r="BKM73" s="43"/>
      <c r="BKN73" s="43"/>
      <c r="BKO73" s="43"/>
      <c r="BKP73" s="43"/>
      <c r="BKQ73" s="43"/>
      <c r="BKR73" s="43"/>
      <c r="BKS73" s="43"/>
      <c r="BKT73" s="43"/>
      <c r="BKU73" s="43"/>
      <c r="BKV73" s="43"/>
      <c r="BKW73" s="43"/>
      <c r="BKX73" s="43"/>
      <c r="BKY73" s="43"/>
      <c r="BKZ73" s="43"/>
      <c r="BLA73" s="43"/>
      <c r="BLB73" s="43"/>
      <c r="BLC73" s="43"/>
      <c r="BLD73" s="43"/>
      <c r="BLE73" s="43"/>
      <c r="BLF73" s="43"/>
      <c r="BLG73" s="43"/>
      <c r="BLH73" s="43"/>
      <c r="BLI73" s="43"/>
      <c r="BLJ73" s="43"/>
      <c r="BLK73" s="43"/>
      <c r="BLL73" s="43"/>
      <c r="BLM73" s="43"/>
      <c r="BLN73" s="43"/>
      <c r="BLO73" s="43"/>
      <c r="BLP73" s="43"/>
      <c r="BLQ73" s="43"/>
      <c r="BLR73" s="43"/>
      <c r="BLS73" s="43"/>
      <c r="BLT73" s="43"/>
      <c r="BLU73" s="43"/>
      <c r="BLV73" s="43"/>
      <c r="BLW73" s="43"/>
      <c r="BLX73" s="43"/>
      <c r="BLY73" s="43"/>
      <c r="BLZ73" s="43"/>
      <c r="BMA73" s="43"/>
      <c r="BMB73" s="43"/>
      <c r="BMC73" s="43"/>
      <c r="BMD73" s="43"/>
      <c r="BME73" s="43"/>
      <c r="BMF73" s="43"/>
      <c r="BMG73" s="43"/>
      <c r="BMH73" s="43"/>
      <c r="BMI73" s="43"/>
      <c r="BMJ73" s="43"/>
      <c r="BMK73" s="43"/>
      <c r="BML73" s="43"/>
      <c r="BMM73" s="43"/>
      <c r="BMN73" s="43"/>
      <c r="BMO73" s="43"/>
      <c r="BMP73" s="43"/>
      <c r="BMQ73" s="43"/>
      <c r="BMR73" s="43"/>
      <c r="BMS73" s="43"/>
      <c r="BMT73" s="43"/>
      <c r="BMU73" s="43"/>
      <c r="BMV73" s="43"/>
      <c r="BMW73" s="43"/>
      <c r="BMX73" s="43"/>
      <c r="BMY73" s="43"/>
      <c r="BMZ73" s="43"/>
      <c r="BNA73" s="43"/>
      <c r="BNB73" s="43"/>
      <c r="BNC73" s="43"/>
      <c r="BND73" s="43"/>
      <c r="BNE73" s="43"/>
      <c r="BNF73" s="43"/>
      <c r="BNG73" s="43"/>
      <c r="BNH73" s="43"/>
      <c r="BNI73" s="43"/>
      <c r="BNJ73" s="43"/>
      <c r="BNK73" s="43"/>
      <c r="BNL73" s="43"/>
      <c r="BNM73" s="43"/>
      <c r="BNN73" s="43"/>
      <c r="BNO73" s="43"/>
      <c r="BNP73" s="43"/>
      <c r="BNQ73" s="43"/>
      <c r="BNR73" s="43"/>
      <c r="BNS73" s="43"/>
      <c r="BNT73" s="43"/>
      <c r="BNU73" s="43"/>
      <c r="BNV73" s="43"/>
      <c r="BNW73" s="43"/>
      <c r="BNX73" s="43"/>
      <c r="BNY73" s="43"/>
      <c r="BNZ73" s="43"/>
      <c r="BOA73" s="43"/>
      <c r="BOB73" s="43"/>
      <c r="BOC73" s="43"/>
      <c r="BOD73" s="43"/>
      <c r="BOE73" s="43"/>
      <c r="BOF73" s="43"/>
      <c r="BOG73" s="43"/>
      <c r="BOH73" s="43"/>
      <c r="BOI73" s="43"/>
      <c r="BOJ73" s="43"/>
      <c r="BOK73" s="43"/>
      <c r="BOL73" s="43"/>
      <c r="BOM73" s="43"/>
      <c r="BON73" s="43"/>
      <c r="BOO73" s="43"/>
      <c r="BOP73" s="43"/>
      <c r="BOQ73" s="43"/>
      <c r="BOR73" s="43"/>
      <c r="BOS73" s="43"/>
      <c r="BOT73" s="43"/>
      <c r="BOU73" s="43"/>
      <c r="BOV73" s="43"/>
      <c r="BOW73" s="43"/>
      <c r="BOX73" s="43"/>
      <c r="BOY73" s="43"/>
      <c r="BOZ73" s="43"/>
      <c r="BPA73" s="43"/>
      <c r="BPB73" s="43"/>
      <c r="BPC73" s="43"/>
      <c r="BPD73" s="43"/>
      <c r="BPE73" s="43"/>
      <c r="BPF73" s="43"/>
      <c r="BPG73" s="43"/>
      <c r="BPH73" s="43"/>
      <c r="BPI73" s="43"/>
      <c r="BPJ73" s="43"/>
      <c r="BPK73" s="43"/>
      <c r="BPL73" s="43"/>
      <c r="BPM73" s="43"/>
      <c r="BPN73" s="43"/>
      <c r="BPO73" s="43"/>
      <c r="BPP73" s="43"/>
      <c r="BPQ73" s="43"/>
      <c r="BPR73" s="43"/>
      <c r="BPS73" s="43"/>
      <c r="BPT73" s="43"/>
      <c r="BPU73" s="43"/>
      <c r="BPV73" s="43"/>
      <c r="BPW73" s="43"/>
      <c r="BPX73" s="43"/>
      <c r="BPY73" s="43"/>
      <c r="BPZ73" s="43"/>
      <c r="BQA73" s="43"/>
      <c r="BQB73" s="43"/>
      <c r="BQC73" s="43"/>
      <c r="BQD73" s="43"/>
      <c r="BQE73" s="43"/>
      <c r="BQF73" s="43"/>
      <c r="BQG73" s="43"/>
      <c r="BQH73" s="43"/>
      <c r="BQI73" s="43"/>
      <c r="BQJ73" s="43"/>
      <c r="BQK73" s="43"/>
      <c r="BQL73" s="43"/>
      <c r="BQM73" s="43"/>
      <c r="BQN73" s="43"/>
      <c r="BQO73" s="43"/>
      <c r="BQP73" s="43"/>
      <c r="BQQ73" s="43"/>
      <c r="BQR73" s="43"/>
      <c r="BQS73" s="43"/>
      <c r="BQT73" s="43"/>
      <c r="BQU73" s="43"/>
      <c r="BQV73" s="43"/>
      <c r="BQW73" s="43"/>
      <c r="BQX73" s="43"/>
      <c r="BQY73" s="43"/>
      <c r="BQZ73" s="43"/>
      <c r="BRA73" s="43"/>
      <c r="BRB73" s="43"/>
      <c r="BRC73" s="43"/>
      <c r="BRD73" s="43"/>
      <c r="BRE73" s="43"/>
      <c r="BRF73" s="43"/>
      <c r="BRG73" s="43"/>
      <c r="BRH73" s="43"/>
      <c r="BRI73" s="43"/>
      <c r="BRJ73" s="43"/>
      <c r="BRK73" s="43"/>
      <c r="BRL73" s="43"/>
      <c r="BRM73" s="43"/>
      <c r="BRN73" s="43"/>
      <c r="BRO73" s="43"/>
      <c r="BRP73" s="43"/>
      <c r="BRQ73" s="43"/>
      <c r="BRR73" s="43"/>
      <c r="BRS73" s="43"/>
      <c r="BRT73" s="43"/>
      <c r="BRU73" s="43"/>
      <c r="BRV73" s="43"/>
      <c r="BRW73" s="43"/>
      <c r="BRX73" s="43"/>
      <c r="BRY73" s="43"/>
      <c r="BRZ73" s="43"/>
      <c r="BSA73" s="43"/>
      <c r="BSB73" s="43"/>
      <c r="BSC73" s="43"/>
      <c r="BSD73" s="43"/>
      <c r="BSE73" s="43"/>
      <c r="BSF73" s="43"/>
      <c r="BSG73" s="43"/>
      <c r="BSH73" s="43"/>
      <c r="BSI73" s="43"/>
      <c r="BSJ73" s="43"/>
      <c r="BSK73" s="43"/>
      <c r="BSL73" s="43"/>
      <c r="BSM73" s="43"/>
      <c r="BSN73" s="43"/>
      <c r="BSO73" s="43"/>
      <c r="BSP73" s="43"/>
      <c r="BSQ73" s="43"/>
      <c r="BSR73" s="43"/>
      <c r="BSS73" s="43"/>
      <c r="BST73" s="43"/>
      <c r="BSU73" s="43"/>
      <c r="BSV73" s="43"/>
      <c r="BSW73" s="43"/>
      <c r="BSX73" s="43"/>
      <c r="BSY73" s="43"/>
      <c r="BSZ73" s="43"/>
      <c r="BTA73" s="43"/>
      <c r="BTB73" s="43"/>
      <c r="BTC73" s="43"/>
      <c r="BTD73" s="43"/>
      <c r="BTE73" s="43"/>
      <c r="BTF73" s="43"/>
      <c r="BTG73" s="43"/>
      <c r="BTH73" s="43"/>
      <c r="BTI73" s="43"/>
      <c r="BTJ73" s="43"/>
      <c r="BTK73" s="43"/>
      <c r="BTL73" s="43"/>
      <c r="BTM73" s="43"/>
      <c r="BTN73" s="43"/>
      <c r="BTO73" s="43"/>
      <c r="BTP73" s="43"/>
      <c r="BTQ73" s="43"/>
      <c r="BTR73" s="43"/>
      <c r="BTS73" s="43"/>
      <c r="BTT73" s="43"/>
      <c r="BTU73" s="43"/>
      <c r="BTV73" s="43"/>
      <c r="BTW73" s="43"/>
      <c r="BTX73" s="43"/>
      <c r="BTY73" s="43"/>
      <c r="BTZ73" s="43"/>
      <c r="BUA73" s="43"/>
      <c r="BUB73" s="43"/>
      <c r="BUC73" s="43"/>
      <c r="BUD73" s="43"/>
      <c r="BUE73" s="43"/>
      <c r="BUF73" s="43"/>
      <c r="BUG73" s="43"/>
      <c r="BUH73" s="43"/>
      <c r="BUI73" s="43"/>
      <c r="BUJ73" s="43"/>
      <c r="BUK73" s="43"/>
      <c r="BUL73" s="43"/>
      <c r="BUM73" s="43"/>
      <c r="BUN73" s="43"/>
      <c r="BUO73" s="43"/>
      <c r="BUP73" s="43"/>
      <c r="BUQ73" s="43"/>
      <c r="BUR73" s="43"/>
      <c r="BUS73" s="43"/>
      <c r="BUT73" s="43"/>
      <c r="BUU73" s="43"/>
      <c r="BUV73" s="43"/>
      <c r="BUW73" s="43"/>
      <c r="BUX73" s="43"/>
      <c r="BUY73" s="43"/>
      <c r="BUZ73" s="43"/>
      <c r="BVA73" s="43"/>
      <c r="BVB73" s="43"/>
      <c r="BVC73" s="43"/>
      <c r="BVD73" s="43"/>
      <c r="BVE73" s="43"/>
      <c r="BVF73" s="43"/>
      <c r="BVG73" s="43"/>
      <c r="BVH73" s="43"/>
      <c r="BVI73" s="43"/>
      <c r="BVJ73" s="43"/>
      <c r="BVK73" s="43"/>
      <c r="BVL73" s="43"/>
      <c r="BVM73" s="43"/>
      <c r="BVN73" s="43"/>
      <c r="BVO73" s="43"/>
      <c r="BVP73" s="43"/>
      <c r="BVQ73" s="43"/>
      <c r="BVR73" s="43"/>
      <c r="BVS73" s="43"/>
      <c r="BVT73" s="43"/>
      <c r="BVU73" s="43"/>
      <c r="BVV73" s="43"/>
      <c r="BVW73" s="43"/>
      <c r="BVX73" s="43"/>
      <c r="BVY73" s="43"/>
      <c r="BVZ73" s="43"/>
      <c r="BWA73" s="43"/>
      <c r="BWB73" s="43"/>
      <c r="BWC73" s="43"/>
      <c r="BWD73" s="43"/>
      <c r="BWE73" s="43"/>
      <c r="BWF73" s="43"/>
      <c r="BWG73" s="43"/>
      <c r="BWH73" s="43"/>
      <c r="BWI73" s="43"/>
      <c r="BWJ73" s="43"/>
      <c r="BWK73" s="43"/>
      <c r="BWL73" s="43"/>
      <c r="BWM73" s="43"/>
      <c r="BWN73" s="43"/>
      <c r="BWO73" s="43"/>
      <c r="BWP73" s="43"/>
      <c r="BWQ73" s="43"/>
      <c r="BWR73" s="43"/>
      <c r="BWS73" s="43"/>
      <c r="BWT73" s="43"/>
      <c r="BWU73" s="43"/>
      <c r="BWV73" s="43"/>
      <c r="BWW73" s="43"/>
      <c r="BWX73" s="43"/>
      <c r="BWY73" s="43"/>
      <c r="BWZ73" s="43"/>
      <c r="BXA73" s="43"/>
      <c r="BXB73" s="43"/>
      <c r="BXC73" s="43"/>
      <c r="BXD73" s="43"/>
      <c r="BXE73" s="43"/>
      <c r="BXF73" s="43"/>
      <c r="BXG73" s="43"/>
      <c r="BXH73" s="43"/>
      <c r="BXI73" s="43"/>
      <c r="BXJ73" s="43"/>
      <c r="BXK73" s="43"/>
      <c r="BXL73" s="43"/>
      <c r="BXM73" s="43"/>
      <c r="BXN73" s="43"/>
      <c r="BXO73" s="43"/>
      <c r="BXP73" s="43"/>
      <c r="BXQ73" s="43"/>
      <c r="BXR73" s="43"/>
      <c r="BXS73" s="43"/>
      <c r="BXT73" s="43"/>
      <c r="BXU73" s="43"/>
      <c r="BXV73" s="43"/>
      <c r="BXW73" s="43"/>
      <c r="BXX73" s="43"/>
      <c r="BXY73" s="43"/>
      <c r="BXZ73" s="43"/>
      <c r="BYA73" s="43"/>
      <c r="BYB73" s="43"/>
      <c r="BYC73" s="43"/>
      <c r="BYD73" s="43"/>
      <c r="BYE73" s="43"/>
      <c r="BYF73" s="43"/>
      <c r="BYG73" s="43"/>
      <c r="BYH73" s="43"/>
      <c r="BYI73" s="43"/>
      <c r="BYJ73" s="43"/>
      <c r="BYK73" s="43"/>
      <c r="BYL73" s="43"/>
      <c r="BYM73" s="43"/>
      <c r="BYN73" s="43"/>
      <c r="BYO73" s="43"/>
      <c r="BYP73" s="43"/>
      <c r="BYQ73" s="43"/>
      <c r="BYR73" s="43"/>
      <c r="BYS73" s="43"/>
      <c r="BYT73" s="43"/>
      <c r="BYU73" s="43"/>
      <c r="BYV73" s="43"/>
      <c r="BYW73" s="43"/>
      <c r="BYX73" s="43"/>
      <c r="BYY73" s="43"/>
      <c r="BYZ73" s="43"/>
      <c r="BZA73" s="43"/>
      <c r="BZB73" s="43"/>
      <c r="BZC73" s="43"/>
      <c r="BZD73" s="43"/>
      <c r="BZE73" s="43"/>
      <c r="BZF73" s="43"/>
      <c r="BZG73" s="43"/>
      <c r="BZH73" s="43"/>
      <c r="BZI73" s="43"/>
      <c r="BZJ73" s="43"/>
      <c r="BZK73" s="43"/>
      <c r="BZL73" s="43"/>
      <c r="BZM73" s="43"/>
      <c r="BZN73" s="43"/>
      <c r="BZO73" s="43"/>
      <c r="BZP73" s="43"/>
      <c r="BZQ73" s="43"/>
      <c r="BZR73" s="43"/>
      <c r="BZS73" s="43"/>
      <c r="BZT73" s="43"/>
      <c r="BZU73" s="43"/>
      <c r="BZV73" s="43"/>
      <c r="BZW73" s="43"/>
      <c r="BZX73" s="43"/>
      <c r="BZY73" s="43"/>
      <c r="BZZ73" s="43"/>
      <c r="CAA73" s="43"/>
      <c r="CAB73" s="43"/>
      <c r="CAC73" s="43"/>
      <c r="CAD73" s="43"/>
      <c r="CAE73" s="43"/>
      <c r="CAF73" s="43"/>
      <c r="CAG73" s="43"/>
      <c r="CAH73" s="43"/>
      <c r="CAI73" s="43"/>
      <c r="CAJ73" s="43"/>
      <c r="CAK73" s="43"/>
      <c r="CAL73" s="43"/>
      <c r="CAM73" s="43"/>
      <c r="CAN73" s="43"/>
      <c r="CAO73" s="43"/>
      <c r="CAP73" s="43"/>
      <c r="CAQ73" s="43"/>
      <c r="CAR73" s="43"/>
      <c r="CAS73" s="43"/>
      <c r="CAT73" s="43"/>
      <c r="CAU73" s="43"/>
      <c r="CAV73" s="43"/>
      <c r="CAW73" s="43"/>
      <c r="CAX73" s="43"/>
      <c r="CAY73" s="43"/>
      <c r="CAZ73" s="43"/>
      <c r="CBA73" s="43"/>
      <c r="CBB73" s="43"/>
      <c r="CBC73" s="43"/>
      <c r="CBD73" s="43"/>
      <c r="CBE73" s="43"/>
      <c r="CBF73" s="43"/>
      <c r="CBG73" s="43"/>
      <c r="CBH73" s="43"/>
    </row>
    <row r="74" spans="1:2088" customFormat="1" x14ac:dyDescent="0.2">
      <c r="A74" s="17" t="s">
        <v>192</v>
      </c>
      <c r="B74" s="30" t="str">
        <f t="shared" ref="B74" si="3">IF(OR(B22="",B23="",B28="",B41="",B39="",B38="",B36=""),"error: missing input",1/(1+EXP(-(-7.539 + 0.062*B22 + 1.332*IF(B23="male",1,0) + IF(B28="typical",1.998,IF(B28="atypical",0.633,0)) + 0.828*IF(B41="yes",1,0) + 0.338*IF(B39="yes",1,0) + 0.422*IF(B38="yes",1,0) + 0.461*IF(B36="yes",1,0) - 0.402*IF(B41="yes",1,0)*IF(B28="typical",1,0)))))</f>
        <v>error: missing input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3"/>
      <c r="JD74" s="43"/>
      <c r="JE74" s="43"/>
      <c r="JF74" s="43"/>
      <c r="JG74" s="43"/>
      <c r="JH74" s="43"/>
      <c r="JI74" s="43"/>
      <c r="JJ74" s="43"/>
      <c r="JK74" s="43"/>
      <c r="JL74" s="43"/>
      <c r="JM74" s="43"/>
      <c r="JN74" s="43"/>
      <c r="JO74" s="43"/>
      <c r="JP74" s="43"/>
      <c r="JQ74" s="43"/>
      <c r="JR74" s="43"/>
      <c r="JS74" s="43"/>
      <c r="JT74" s="43"/>
      <c r="JU74" s="43"/>
      <c r="JV74" s="43"/>
      <c r="JW74" s="43"/>
      <c r="JX74" s="43"/>
      <c r="JY74" s="43"/>
      <c r="JZ74" s="43"/>
      <c r="KA74" s="43"/>
      <c r="KB74" s="43"/>
      <c r="KC74" s="43"/>
      <c r="KD74" s="43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L74" s="43"/>
      <c r="MM74" s="43"/>
      <c r="MN74" s="43"/>
    </row>
    <row r="75" spans="1:2088" customFormat="1" x14ac:dyDescent="0.2">
      <c r="A75" s="1" t="s">
        <v>148</v>
      </c>
      <c r="B75" s="54" t="str">
        <f t="array" ref="B75">IF(OR(B23="", B28="", B117=""), "error: missing input", INDEX(scores!$C$5:$H$8, MATCH(B117, scores!$B$5:$B$8, 0), MATCH(B28, scores!$C$3:$G$3, 0) + IF(B23 = INDEX(scores!$C$4:$G$4, MATCH(B28, scores!$C$3:$G$3, 0)), 0, 1)))</f>
        <v>error: missing input</v>
      </c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  <c r="AQF75" s="3"/>
      <c r="AQG75" s="3"/>
      <c r="AQH75" s="3"/>
      <c r="AQI75" s="3"/>
      <c r="AQJ75" s="3"/>
      <c r="AQK75" s="3"/>
      <c r="AQL75" s="3"/>
      <c r="AQM75" s="3"/>
      <c r="AQN75" s="3"/>
      <c r="AQO75" s="3"/>
      <c r="AQP75" s="3"/>
      <c r="AQQ75" s="3"/>
      <c r="AQR75" s="3"/>
      <c r="AQS75" s="3"/>
      <c r="AQT75" s="3"/>
      <c r="AQU75" s="3"/>
      <c r="AQV75" s="3"/>
      <c r="AQW75" s="3"/>
      <c r="AQX75" s="3"/>
      <c r="AQY75" s="3"/>
      <c r="AQZ75" s="3"/>
      <c r="ARA75" s="3"/>
      <c r="ARB75" s="3"/>
      <c r="ARC75" s="3"/>
      <c r="ARD75" s="3"/>
      <c r="ARE75" s="3"/>
      <c r="ARF75" s="3"/>
      <c r="ARG75" s="3"/>
      <c r="ARH75" s="3"/>
      <c r="ARI75" s="3"/>
      <c r="ARJ75" s="3"/>
      <c r="ARK75" s="3"/>
      <c r="ARL75" s="3"/>
      <c r="ARM75" s="3"/>
      <c r="ARN75" s="3"/>
      <c r="ARO75" s="3"/>
      <c r="ARP75" s="3"/>
      <c r="ARQ75" s="3"/>
      <c r="ARR75" s="3"/>
      <c r="ARS75" s="3"/>
      <c r="ART75" s="3"/>
      <c r="ARU75" s="3"/>
      <c r="ARV75" s="3"/>
      <c r="ARW75" s="3"/>
      <c r="ARX75" s="3"/>
      <c r="ARY75" s="3"/>
      <c r="ARZ75" s="3"/>
      <c r="ASA75" s="3"/>
      <c r="ASB75" s="3"/>
      <c r="ASC75" s="3"/>
      <c r="ASD75" s="3"/>
      <c r="ASE75" s="3"/>
      <c r="ASF75" s="3"/>
      <c r="ASG75" s="3"/>
      <c r="ASH75" s="3"/>
      <c r="ASI75" s="3"/>
      <c r="ASJ75" s="3"/>
      <c r="ASK75" s="3"/>
      <c r="ASL75" s="3"/>
      <c r="ASM75" s="3"/>
      <c r="ASN75" s="3"/>
      <c r="ASO75" s="3"/>
      <c r="ASP75" s="3"/>
      <c r="ASQ75" s="3"/>
      <c r="ASR75" s="3"/>
      <c r="ASS75" s="3"/>
      <c r="AST75" s="3"/>
      <c r="ASU75" s="3"/>
      <c r="ASV75" s="3"/>
      <c r="ASW75" s="3"/>
      <c r="ASX75" s="3"/>
      <c r="ASY75" s="3"/>
      <c r="ASZ75" s="3"/>
      <c r="ATA75" s="3"/>
      <c r="ATB75" s="3"/>
      <c r="ATC75" s="3"/>
      <c r="ATD75" s="3"/>
      <c r="ATE75" s="3"/>
      <c r="ATF75" s="3"/>
      <c r="ATG75" s="3"/>
      <c r="ATH75" s="3"/>
      <c r="ATI75" s="3"/>
      <c r="ATJ75" s="3"/>
      <c r="ATK75" s="3"/>
      <c r="ATL75" s="3"/>
      <c r="ATM75" s="3"/>
      <c r="ATN75" s="3"/>
      <c r="ATO75" s="3"/>
      <c r="ATP75" s="3"/>
      <c r="ATQ75" s="3"/>
      <c r="ATR75" s="3"/>
      <c r="ATS75" s="3"/>
      <c r="ATT75" s="3"/>
      <c r="ATU75" s="3"/>
      <c r="ATV75" s="3"/>
      <c r="ATW75" s="3"/>
      <c r="ATX75" s="3"/>
      <c r="ATY75" s="3"/>
      <c r="ATZ75" s="3"/>
      <c r="AUA75" s="3"/>
      <c r="AUB75" s="3"/>
      <c r="AUC75" s="3"/>
      <c r="AUD75" s="3"/>
      <c r="AUE75" s="3"/>
      <c r="AUF75" s="3"/>
      <c r="AUG75" s="3"/>
      <c r="AUH75" s="3"/>
      <c r="AUI75" s="3"/>
      <c r="AUJ75" s="3"/>
      <c r="AUK75" s="3"/>
      <c r="AUL75" s="3"/>
      <c r="AUM75" s="3"/>
      <c r="AUN75" s="3"/>
      <c r="AUO75" s="3"/>
      <c r="AUP75" s="3"/>
      <c r="AUQ75" s="3"/>
      <c r="AUR75" s="3"/>
      <c r="AUS75" s="3"/>
      <c r="AUT75" s="3"/>
      <c r="AUU75" s="3"/>
      <c r="AUV75" s="3"/>
      <c r="AUW75" s="3"/>
      <c r="AUX75" s="3"/>
      <c r="AUY75" s="3"/>
      <c r="AUZ75" s="3"/>
      <c r="AVA75" s="3"/>
      <c r="AVB75" s="3"/>
      <c r="AVC75" s="3"/>
      <c r="AVD75" s="3"/>
      <c r="AVE75" s="3"/>
      <c r="AVF75" s="3"/>
      <c r="AVG75" s="3"/>
      <c r="AVH75" s="3"/>
      <c r="AVI75" s="3"/>
      <c r="AVJ75" s="3"/>
      <c r="AVK75" s="3"/>
      <c r="AVL75" s="3"/>
      <c r="AVM75" s="3"/>
      <c r="AVN75" s="3"/>
      <c r="AVO75" s="3"/>
      <c r="AVP75" s="3"/>
      <c r="AVQ75" s="3"/>
      <c r="AVR75" s="3"/>
      <c r="AVS75" s="3"/>
      <c r="AVT75" s="3"/>
      <c r="AVU75" s="3"/>
      <c r="AVV75" s="3"/>
      <c r="AVW75" s="3"/>
      <c r="AVX75" s="3"/>
      <c r="AVY75" s="3"/>
      <c r="AVZ75" s="3"/>
      <c r="AWA75" s="3"/>
      <c r="AWB75" s="3"/>
      <c r="AWC75" s="3"/>
      <c r="AWD75" s="3"/>
      <c r="AWE75" s="3"/>
      <c r="AWF75" s="3"/>
      <c r="AWG75" s="3"/>
      <c r="AWH75" s="3"/>
      <c r="AWI75" s="3"/>
      <c r="AWJ75" s="3"/>
      <c r="AWK75" s="3"/>
      <c r="AWL75" s="3"/>
      <c r="AWM75" s="3"/>
      <c r="AWN75" s="3"/>
      <c r="AWO75" s="3"/>
      <c r="AWP75" s="3"/>
      <c r="AWQ75" s="3"/>
      <c r="AWR75" s="3"/>
      <c r="AWS75" s="3"/>
      <c r="AWT75" s="3"/>
      <c r="AWU75" s="3"/>
      <c r="AWV75" s="3"/>
      <c r="AWW75" s="3"/>
      <c r="AWX75" s="3"/>
      <c r="AWY75" s="3"/>
      <c r="AWZ75" s="3"/>
      <c r="AXA75" s="3"/>
      <c r="AXB75" s="3"/>
      <c r="AXC75" s="3"/>
      <c r="AXD75" s="3"/>
      <c r="AXE75" s="3"/>
      <c r="AXF75" s="3"/>
      <c r="AXG75" s="3"/>
      <c r="AXH75" s="3"/>
      <c r="AXI75" s="3"/>
      <c r="AXJ75" s="3"/>
      <c r="AXK75" s="3"/>
      <c r="AXL75" s="3"/>
      <c r="AXM75" s="3"/>
      <c r="AXN75" s="3"/>
      <c r="AXO75" s="3"/>
      <c r="AXP75" s="3"/>
      <c r="AXQ75" s="3"/>
      <c r="AXR75" s="3"/>
      <c r="AXS75" s="3"/>
      <c r="AXT75" s="3"/>
      <c r="AXU75" s="3"/>
      <c r="AXV75" s="3"/>
      <c r="AXW75" s="3"/>
      <c r="AXX75" s="3"/>
      <c r="AXY75" s="3"/>
      <c r="AXZ75" s="3"/>
      <c r="AYA75" s="3"/>
      <c r="AYB75" s="3"/>
      <c r="AYC75" s="3"/>
      <c r="AYD75" s="3"/>
      <c r="AYE75" s="3"/>
      <c r="AYF75" s="3"/>
      <c r="AYG75" s="3"/>
      <c r="AYH75" s="3"/>
      <c r="AYI75" s="3"/>
      <c r="AYJ75" s="3"/>
      <c r="AYK75" s="3"/>
      <c r="AYL75" s="3"/>
      <c r="AYM75" s="3"/>
      <c r="AYN75" s="3"/>
      <c r="AYO75" s="3"/>
      <c r="AYP75" s="3"/>
      <c r="AYQ75" s="3"/>
      <c r="AYR75" s="3"/>
      <c r="AYS75" s="3"/>
      <c r="AYT75" s="3"/>
      <c r="AYU75" s="3"/>
      <c r="AYV75" s="3"/>
      <c r="AYW75" s="3"/>
      <c r="AYX75" s="3"/>
      <c r="AYY75" s="3"/>
      <c r="AYZ75" s="3"/>
      <c r="AZA75" s="3"/>
      <c r="AZB75" s="3"/>
      <c r="AZC75" s="3"/>
      <c r="AZD75" s="3"/>
      <c r="AZE75" s="3"/>
      <c r="AZF75" s="3"/>
      <c r="AZG75" s="3"/>
      <c r="AZH75" s="3"/>
      <c r="AZI75" s="3"/>
      <c r="AZJ75" s="3"/>
      <c r="AZK75" s="3"/>
      <c r="AZL75" s="3"/>
      <c r="AZM75" s="3"/>
      <c r="AZN75" s="3"/>
      <c r="AZO75" s="3"/>
      <c r="AZP75" s="3"/>
      <c r="AZQ75" s="3"/>
      <c r="AZR75" s="3"/>
      <c r="AZS75" s="3"/>
      <c r="AZT75" s="3"/>
      <c r="AZU75" s="3"/>
      <c r="AZV75" s="3"/>
      <c r="AZW75" s="3"/>
      <c r="AZX75" s="3"/>
      <c r="AZY75" s="3"/>
      <c r="AZZ75" s="3"/>
      <c r="BAA75" s="3"/>
      <c r="BAB75" s="3"/>
      <c r="BAC75" s="3"/>
      <c r="BAD75" s="3"/>
      <c r="BAE75" s="3"/>
      <c r="BAF75" s="3"/>
      <c r="BAG75" s="3"/>
      <c r="BAH75" s="3"/>
      <c r="BAI75" s="3"/>
      <c r="BAJ75" s="3"/>
      <c r="BAK75" s="3"/>
      <c r="BAL75" s="3"/>
      <c r="BAM75" s="3"/>
      <c r="BAN75" s="3"/>
      <c r="BAO75" s="3"/>
      <c r="BAP75" s="3"/>
      <c r="BAQ75" s="3"/>
      <c r="BAR75" s="3"/>
      <c r="BAS75" s="3"/>
      <c r="BAT75" s="3"/>
      <c r="BAU75" s="3"/>
      <c r="BAV75" s="3"/>
      <c r="BAW75" s="3"/>
      <c r="BAX75" s="3"/>
      <c r="BAY75" s="3"/>
      <c r="BAZ75" s="3"/>
      <c r="BBA75" s="3"/>
      <c r="BBB75" s="3"/>
      <c r="BBC75" s="3"/>
      <c r="BBD75" s="3"/>
      <c r="BBE75" s="3"/>
      <c r="BBF75" s="3"/>
      <c r="BBG75" s="3"/>
      <c r="BBH75" s="3"/>
      <c r="BBI75" s="3"/>
      <c r="BBJ75" s="3"/>
      <c r="BBK75" s="3"/>
      <c r="BBL75" s="3"/>
      <c r="BBM75" s="3"/>
      <c r="BBN75" s="3"/>
      <c r="BBO75" s="3"/>
      <c r="BBP75" s="3"/>
      <c r="BBQ75" s="3"/>
      <c r="BBR75" s="3"/>
      <c r="BBS75" s="3"/>
      <c r="BBT75" s="3"/>
      <c r="BBU75" s="3"/>
      <c r="BBV75" s="3"/>
      <c r="BBW75" s="3"/>
      <c r="BBX75" s="3"/>
      <c r="BBY75" s="3"/>
      <c r="BBZ75" s="3"/>
      <c r="BCA75" s="3"/>
      <c r="BCB75" s="3"/>
      <c r="BCC75" s="3"/>
      <c r="BCD75" s="3"/>
      <c r="BCE75" s="3"/>
      <c r="BCF75" s="3"/>
      <c r="BCG75" s="3"/>
      <c r="BCH75" s="3"/>
      <c r="BCI75" s="3"/>
      <c r="BCJ75" s="3"/>
      <c r="BCK75" s="3"/>
      <c r="BCL75" s="3"/>
      <c r="BCM75" s="3"/>
      <c r="BCN75" s="3"/>
      <c r="BCO75" s="3"/>
      <c r="BCP75" s="3"/>
      <c r="BCQ75" s="3"/>
      <c r="BCR75" s="3"/>
      <c r="BCS75" s="3"/>
      <c r="BCT75" s="3"/>
      <c r="BCU75" s="3"/>
      <c r="BCV75" s="3"/>
      <c r="BCW75" s="3"/>
      <c r="BCX75" s="3"/>
      <c r="BCY75" s="3"/>
      <c r="BCZ75" s="3"/>
      <c r="BDA75" s="3"/>
      <c r="BDB75" s="3"/>
      <c r="BDC75" s="3"/>
      <c r="BDD75" s="3"/>
      <c r="BDE75" s="3"/>
      <c r="BDF75" s="3"/>
      <c r="BDG75" s="3"/>
      <c r="BDH75" s="3"/>
      <c r="BDI75" s="3"/>
      <c r="BDJ75" s="3"/>
      <c r="BDK75" s="3"/>
      <c r="BDL75" s="3"/>
      <c r="BDM75" s="3"/>
      <c r="BDN75" s="3"/>
      <c r="BDO75" s="3"/>
      <c r="BDP75" s="3"/>
      <c r="BDQ75" s="3"/>
      <c r="BDR75" s="3"/>
      <c r="BDS75" s="3"/>
      <c r="BDT75" s="3"/>
      <c r="BDU75" s="3"/>
      <c r="BDV75" s="3"/>
      <c r="BDW75" s="3"/>
      <c r="BDX75" s="3"/>
      <c r="BDY75" s="3"/>
      <c r="BDZ75" s="3"/>
      <c r="BEA75" s="3"/>
      <c r="BEB75" s="3"/>
      <c r="BEC75" s="3"/>
      <c r="BED75" s="3"/>
      <c r="BEE75" s="3"/>
      <c r="BEF75" s="3"/>
      <c r="BEG75" s="3"/>
      <c r="BEH75" s="3"/>
      <c r="BEI75" s="3"/>
      <c r="BEJ75" s="3"/>
      <c r="BEK75" s="3"/>
      <c r="BEL75" s="3"/>
      <c r="BEM75" s="3"/>
      <c r="BEN75" s="3"/>
      <c r="BEO75" s="3"/>
      <c r="BEP75" s="3"/>
      <c r="BEQ75" s="3"/>
      <c r="BER75" s="3"/>
      <c r="BES75" s="3"/>
      <c r="BET75" s="3"/>
      <c r="BEU75" s="3"/>
      <c r="BEV75" s="3"/>
      <c r="BEW75" s="3"/>
      <c r="BEX75" s="3"/>
      <c r="BEY75" s="3"/>
      <c r="BEZ75" s="3"/>
      <c r="BFA75" s="3"/>
      <c r="BFB75" s="3"/>
      <c r="BFC75" s="3"/>
      <c r="BFD75" s="3"/>
      <c r="BFE75" s="3"/>
      <c r="BFF75" s="3"/>
      <c r="BFG75" s="3"/>
      <c r="BFH75" s="3"/>
      <c r="BFI75" s="3"/>
      <c r="BFJ75" s="3"/>
      <c r="BFK75" s="3"/>
      <c r="BFL75" s="3"/>
      <c r="BFM75" s="3"/>
      <c r="BFN75" s="3"/>
      <c r="BFO75" s="3"/>
      <c r="BFP75" s="3"/>
      <c r="BFQ75" s="3"/>
      <c r="BFR75" s="3"/>
      <c r="BFS75" s="3"/>
      <c r="BFT75" s="3"/>
      <c r="BFU75" s="3"/>
      <c r="BFV75" s="3"/>
      <c r="BFW75" s="3"/>
      <c r="BFX75" s="3"/>
      <c r="BFY75" s="3"/>
      <c r="BFZ75" s="3"/>
      <c r="BGA75" s="3"/>
      <c r="BGB75" s="3"/>
      <c r="BGC75" s="3"/>
      <c r="BGD75" s="3"/>
      <c r="BGE75" s="3"/>
      <c r="BGF75" s="3"/>
      <c r="BGG75" s="3"/>
      <c r="BGH75" s="3"/>
      <c r="BGI75" s="3"/>
      <c r="BGJ75" s="3"/>
      <c r="BGK75" s="3"/>
      <c r="BGL75" s="3"/>
      <c r="BGM75" s="3"/>
      <c r="BGN75" s="3"/>
      <c r="BGO75" s="3"/>
      <c r="BGP75" s="3"/>
      <c r="BGQ75" s="3"/>
      <c r="BGR75" s="3"/>
      <c r="BGS75" s="3"/>
      <c r="BGT75" s="3"/>
      <c r="BGU75" s="3"/>
      <c r="BGV75" s="3"/>
      <c r="BGW75" s="3"/>
      <c r="BGX75" s="3"/>
      <c r="BGY75" s="3"/>
      <c r="BGZ75" s="3"/>
      <c r="BHA75" s="3"/>
      <c r="BHB75" s="3"/>
      <c r="BHC75" s="3"/>
      <c r="BHD75" s="3"/>
      <c r="BHE75" s="3"/>
      <c r="BHF75" s="3"/>
      <c r="BHG75" s="3"/>
      <c r="BHH75" s="3"/>
      <c r="BHI75" s="3"/>
      <c r="BHJ75" s="3"/>
      <c r="BHK75" s="3"/>
      <c r="BHL75" s="3"/>
      <c r="BHM75" s="3"/>
      <c r="BHN75" s="3"/>
      <c r="BHO75" s="3"/>
      <c r="BHP75" s="3"/>
      <c r="BHQ75" s="3"/>
      <c r="BHR75" s="3"/>
      <c r="BHS75" s="3"/>
      <c r="BHT75" s="3"/>
      <c r="BHU75" s="3"/>
      <c r="BHV75" s="3"/>
      <c r="BHW75" s="3"/>
      <c r="BHX75" s="3"/>
      <c r="BHY75" s="3"/>
      <c r="BHZ75" s="3"/>
      <c r="BIA75" s="3"/>
      <c r="BIB75" s="3"/>
      <c r="BIC75" s="3"/>
      <c r="BID75" s="3"/>
      <c r="BIE75" s="3"/>
      <c r="BIF75" s="3"/>
      <c r="BIG75" s="3"/>
      <c r="BIH75" s="3"/>
      <c r="BII75" s="3"/>
      <c r="BIJ75" s="3"/>
      <c r="BIK75" s="3"/>
      <c r="BIL75" s="3"/>
      <c r="BIM75" s="3"/>
      <c r="BIN75" s="3"/>
      <c r="BIO75" s="3"/>
      <c r="BIP75" s="3"/>
      <c r="BIQ75" s="3"/>
      <c r="BIR75" s="3"/>
      <c r="BIS75" s="3"/>
      <c r="BIT75" s="3"/>
      <c r="BIU75" s="3"/>
      <c r="BIV75" s="3"/>
      <c r="BIW75" s="3"/>
      <c r="BIX75" s="3"/>
      <c r="BIY75" s="3"/>
      <c r="BIZ75" s="3"/>
      <c r="BJA75" s="3"/>
      <c r="BJB75" s="3"/>
      <c r="BJC75" s="3"/>
      <c r="BJD75" s="3"/>
      <c r="BJE75" s="3"/>
      <c r="BJF75" s="3"/>
      <c r="BJG75" s="3"/>
      <c r="BJH75" s="3"/>
      <c r="BJI75" s="3"/>
      <c r="BJJ75" s="3"/>
      <c r="BJK75" s="3"/>
      <c r="BJL75" s="3"/>
      <c r="BJM75" s="3"/>
      <c r="BJN75" s="3"/>
      <c r="BJO75" s="3"/>
      <c r="BJP75" s="3"/>
      <c r="BJQ75" s="3"/>
      <c r="BJR75" s="3"/>
      <c r="BJS75" s="3"/>
      <c r="BJT75" s="3"/>
      <c r="BJU75" s="3"/>
      <c r="BJV75" s="3"/>
      <c r="BJW75" s="3"/>
      <c r="BJX75" s="3"/>
      <c r="BJY75" s="3"/>
      <c r="BJZ75" s="3"/>
      <c r="BKA75" s="3"/>
      <c r="BKB75" s="3"/>
      <c r="BKC75" s="3"/>
      <c r="BKD75" s="3"/>
      <c r="BKE75" s="3"/>
      <c r="BKF75" s="3"/>
      <c r="BKG75" s="3"/>
      <c r="BKH75" s="3"/>
      <c r="BKI75" s="3"/>
      <c r="BKJ75" s="3"/>
      <c r="BKK75" s="3"/>
      <c r="BKL75" s="3"/>
      <c r="BKM75" s="3"/>
      <c r="BKN75" s="3"/>
      <c r="BKO75" s="3"/>
      <c r="BKP75" s="3"/>
      <c r="BKQ75" s="3"/>
      <c r="BKR75" s="3"/>
      <c r="BKS75" s="3"/>
      <c r="BKT75" s="3"/>
      <c r="BKU75" s="3"/>
      <c r="BKV75" s="3"/>
      <c r="BKW75" s="3"/>
      <c r="BKX75" s="3"/>
      <c r="BKY75" s="3"/>
      <c r="BKZ75" s="3"/>
      <c r="BLA75" s="3"/>
      <c r="BLB75" s="3"/>
      <c r="BLC75" s="3"/>
      <c r="BLD75" s="3"/>
      <c r="BLE75" s="3"/>
      <c r="BLF75" s="3"/>
      <c r="BLG75" s="3"/>
      <c r="BLH75" s="3"/>
      <c r="BLI75" s="3"/>
      <c r="BLJ75" s="3"/>
      <c r="BLK75" s="3"/>
      <c r="BLL75" s="3"/>
      <c r="BLM75" s="3"/>
      <c r="BLN75" s="3"/>
      <c r="BLO75" s="3"/>
      <c r="BLP75" s="3"/>
      <c r="BLQ75" s="3"/>
      <c r="BLR75" s="3"/>
      <c r="BLS75" s="3"/>
      <c r="BLT75" s="3"/>
      <c r="BLU75" s="3"/>
      <c r="BLV75" s="3"/>
      <c r="BLW75" s="3"/>
      <c r="BLX75" s="3"/>
      <c r="BLY75" s="3"/>
      <c r="BLZ75" s="3"/>
      <c r="BMA75" s="3"/>
      <c r="BMB75" s="3"/>
      <c r="BMC75" s="3"/>
      <c r="BMD75" s="3"/>
      <c r="BME75" s="3"/>
      <c r="BMF75" s="3"/>
      <c r="BMG75" s="3"/>
      <c r="BMH75" s="3"/>
      <c r="BMI75" s="3"/>
      <c r="BMJ75" s="3"/>
      <c r="BMK75" s="3"/>
      <c r="BML75" s="3"/>
      <c r="BMM75" s="3"/>
      <c r="BMN75" s="3"/>
      <c r="BMO75" s="3"/>
      <c r="BMP75" s="3"/>
      <c r="BMQ75" s="3"/>
      <c r="BMR75" s="3"/>
      <c r="BMS75" s="3"/>
      <c r="BMT75" s="3"/>
      <c r="BMU75" s="3"/>
      <c r="BMV75" s="3"/>
      <c r="BMW75" s="3"/>
      <c r="BMX75" s="3"/>
      <c r="BMY75" s="3"/>
      <c r="BMZ75" s="3"/>
      <c r="BNA75" s="3"/>
      <c r="BNB75" s="3"/>
      <c r="BNC75" s="3"/>
      <c r="BND75" s="3"/>
      <c r="BNE75" s="3"/>
      <c r="BNF75" s="3"/>
      <c r="BNG75" s="3"/>
      <c r="BNH75" s="3"/>
      <c r="BNI75" s="3"/>
      <c r="BNJ75" s="3"/>
      <c r="BNK75" s="3"/>
      <c r="BNL75" s="3"/>
      <c r="BNM75" s="3"/>
      <c r="BNN75" s="3"/>
      <c r="BNO75" s="3"/>
      <c r="BNP75" s="3"/>
      <c r="BNQ75" s="3"/>
      <c r="BNR75" s="3"/>
      <c r="BNS75" s="3"/>
      <c r="BNT75" s="3"/>
      <c r="BNU75" s="3"/>
      <c r="BNV75" s="3"/>
      <c r="BNW75" s="3"/>
      <c r="BNX75" s="3"/>
      <c r="BNY75" s="3"/>
      <c r="BNZ75" s="3"/>
      <c r="BOA75" s="3"/>
      <c r="BOB75" s="3"/>
      <c r="BOC75" s="3"/>
      <c r="BOD75" s="3"/>
      <c r="BOE75" s="3"/>
      <c r="BOF75" s="3"/>
      <c r="BOG75" s="3"/>
      <c r="BOH75" s="3"/>
      <c r="BOI75" s="3"/>
      <c r="BOJ75" s="3"/>
      <c r="BOK75" s="3"/>
      <c r="BOL75" s="3"/>
      <c r="BOM75" s="3"/>
      <c r="BON75" s="3"/>
      <c r="BOO75" s="3"/>
      <c r="BOP75" s="3"/>
      <c r="BOQ75" s="3"/>
      <c r="BOR75" s="3"/>
      <c r="BOS75" s="3"/>
      <c r="BOT75" s="3"/>
      <c r="BOU75" s="3"/>
      <c r="BOV75" s="3"/>
      <c r="BOW75" s="3"/>
      <c r="BOX75" s="3"/>
      <c r="BOY75" s="3"/>
      <c r="BOZ75" s="3"/>
      <c r="BPA75" s="3"/>
      <c r="BPB75" s="3"/>
      <c r="BPC75" s="3"/>
      <c r="BPD75" s="3"/>
      <c r="BPE75" s="3"/>
      <c r="BPF75" s="3"/>
      <c r="BPG75" s="3"/>
      <c r="BPH75" s="3"/>
      <c r="BPI75" s="3"/>
      <c r="BPJ75" s="3"/>
      <c r="BPK75" s="3"/>
      <c r="BPL75" s="3"/>
      <c r="BPM75" s="3"/>
      <c r="BPN75" s="3"/>
      <c r="BPO75" s="3"/>
      <c r="BPP75" s="3"/>
      <c r="BPQ75" s="3"/>
      <c r="BPR75" s="3"/>
      <c r="BPS75" s="3"/>
      <c r="BPT75" s="3"/>
      <c r="BPU75" s="3"/>
      <c r="BPV75" s="3"/>
      <c r="BPW75" s="3"/>
      <c r="BPX75" s="3"/>
      <c r="BPY75" s="3"/>
      <c r="BPZ75" s="3"/>
      <c r="BQA75" s="3"/>
      <c r="BQB75" s="3"/>
      <c r="BQC75" s="3"/>
      <c r="BQD75" s="3"/>
      <c r="BQE75" s="3"/>
      <c r="BQF75" s="3"/>
      <c r="BQG75" s="3"/>
      <c r="BQH75" s="3"/>
      <c r="BQI75" s="3"/>
      <c r="BQJ75" s="3"/>
      <c r="BQK75" s="3"/>
      <c r="BQL75" s="3"/>
      <c r="BQM75" s="3"/>
      <c r="BQN75" s="3"/>
      <c r="BQO75" s="3"/>
      <c r="BQP75" s="3"/>
      <c r="BQQ75" s="3"/>
      <c r="BQR75" s="3"/>
      <c r="BQS75" s="3"/>
      <c r="BQT75" s="3"/>
      <c r="BQU75" s="3"/>
      <c r="BQV75" s="3"/>
      <c r="BQW75" s="3"/>
      <c r="BQX75" s="3"/>
      <c r="BQY75" s="3"/>
      <c r="BQZ75" s="3"/>
      <c r="BRA75" s="3"/>
      <c r="BRB75" s="3"/>
      <c r="BRC75" s="3"/>
      <c r="BRD75" s="3"/>
      <c r="BRE75" s="3"/>
      <c r="BRF75" s="3"/>
      <c r="BRG75" s="3"/>
      <c r="BRH75" s="3"/>
      <c r="BRI75" s="3"/>
      <c r="BRJ75" s="3"/>
      <c r="BRK75" s="3"/>
      <c r="BRL75" s="3"/>
      <c r="BRM75" s="3"/>
      <c r="BRN75" s="3"/>
      <c r="BRO75" s="3"/>
      <c r="BRP75" s="3"/>
      <c r="BRQ75" s="3"/>
      <c r="BRR75" s="3"/>
      <c r="BRS75" s="3"/>
      <c r="BRT75" s="3"/>
      <c r="BRU75" s="3"/>
      <c r="BRV75" s="3"/>
      <c r="BRW75" s="3"/>
      <c r="BRX75" s="3"/>
      <c r="BRY75" s="3"/>
      <c r="BRZ75" s="3"/>
      <c r="BSA75" s="3"/>
      <c r="BSB75" s="3"/>
      <c r="BSC75" s="3"/>
      <c r="BSD75" s="3"/>
      <c r="BSE75" s="3"/>
      <c r="BSF75" s="3"/>
      <c r="BSG75" s="3"/>
      <c r="BSH75" s="3"/>
      <c r="BSI75" s="3"/>
      <c r="BSJ75" s="3"/>
      <c r="BSK75" s="3"/>
      <c r="BSL75" s="3"/>
      <c r="BSM75" s="3"/>
      <c r="BSN75" s="3"/>
      <c r="BSO75" s="3"/>
      <c r="BSP75" s="3"/>
      <c r="BSQ75" s="3"/>
      <c r="BSR75" s="3"/>
      <c r="BSS75" s="3"/>
      <c r="BST75" s="3"/>
      <c r="BSU75" s="3"/>
      <c r="BSV75" s="3"/>
      <c r="BSW75" s="3"/>
      <c r="BSX75" s="3"/>
      <c r="BSY75" s="3"/>
      <c r="BSZ75" s="3"/>
      <c r="BTA75" s="3"/>
      <c r="BTB75" s="3"/>
      <c r="BTC75" s="3"/>
      <c r="BTD75" s="3"/>
      <c r="BTE75" s="3"/>
      <c r="BTF75" s="3"/>
      <c r="BTG75" s="3"/>
      <c r="BTH75" s="3"/>
      <c r="BTI75" s="3"/>
      <c r="BTJ75" s="3"/>
      <c r="BTK75" s="3"/>
      <c r="BTL75" s="3"/>
      <c r="BTM75" s="3"/>
      <c r="BTN75" s="3"/>
      <c r="BTO75" s="3"/>
      <c r="BTP75" s="3"/>
      <c r="BTQ75" s="3"/>
      <c r="BTR75" s="3"/>
      <c r="BTS75" s="3"/>
      <c r="BTT75" s="3"/>
      <c r="BTU75" s="3"/>
      <c r="BTV75" s="3"/>
      <c r="BTW75" s="3"/>
      <c r="BTX75" s="3"/>
      <c r="BTY75" s="3"/>
      <c r="BTZ75" s="3"/>
      <c r="BUA75" s="3"/>
      <c r="BUB75" s="3"/>
      <c r="BUC75" s="3"/>
      <c r="BUD75" s="3"/>
      <c r="BUE75" s="3"/>
      <c r="BUF75" s="3"/>
      <c r="BUG75" s="3"/>
      <c r="BUH75" s="3"/>
      <c r="BUI75" s="3"/>
      <c r="BUJ75" s="3"/>
      <c r="BUK75" s="3"/>
      <c r="BUL75" s="3"/>
      <c r="BUM75" s="3"/>
      <c r="BUN75" s="3"/>
      <c r="BUO75" s="3"/>
      <c r="BUP75" s="3"/>
      <c r="BUQ75" s="3"/>
      <c r="BUR75" s="3"/>
      <c r="BUS75" s="3"/>
      <c r="BUT75" s="3"/>
      <c r="BUU75" s="3"/>
      <c r="BUV75" s="3"/>
      <c r="BUW75" s="3"/>
      <c r="BUX75" s="3"/>
      <c r="BUY75" s="3"/>
      <c r="BUZ75" s="3"/>
      <c r="BVA75" s="3"/>
      <c r="BVB75" s="3"/>
      <c r="BVC75" s="3"/>
      <c r="BVD75" s="3"/>
      <c r="BVE75" s="3"/>
      <c r="BVF75" s="3"/>
      <c r="BVG75" s="3"/>
      <c r="BVH75" s="3"/>
      <c r="BVI75" s="3"/>
      <c r="BVJ75" s="3"/>
      <c r="BVK75" s="3"/>
      <c r="BVL75" s="3"/>
      <c r="BVM75" s="3"/>
      <c r="BVN75" s="3"/>
      <c r="BVO75" s="3"/>
      <c r="BVP75" s="3"/>
      <c r="BVQ75" s="3"/>
      <c r="BVR75" s="3"/>
      <c r="BVS75" s="3"/>
      <c r="BVT75" s="3"/>
      <c r="BVU75" s="3"/>
      <c r="BVV75" s="3"/>
      <c r="BVW75" s="3"/>
      <c r="BVX75" s="3"/>
      <c r="BVY75" s="3"/>
      <c r="BVZ75" s="3"/>
      <c r="BWA75" s="3"/>
      <c r="BWB75" s="3"/>
      <c r="BWC75" s="3"/>
      <c r="BWD75" s="3"/>
      <c r="BWE75" s="3"/>
      <c r="BWF75" s="3"/>
      <c r="BWG75" s="3"/>
      <c r="BWH75" s="3"/>
      <c r="BWI75" s="3"/>
      <c r="BWJ75" s="3"/>
      <c r="BWK75" s="3"/>
      <c r="BWL75" s="3"/>
      <c r="BWM75" s="3"/>
      <c r="BWN75" s="3"/>
      <c r="BWO75" s="3"/>
      <c r="BWP75" s="3"/>
      <c r="BWQ75" s="3"/>
      <c r="BWR75" s="3"/>
      <c r="BWS75" s="3"/>
      <c r="BWT75" s="3"/>
      <c r="BWU75" s="3"/>
      <c r="BWV75" s="3"/>
      <c r="BWW75" s="3"/>
      <c r="BWX75" s="3"/>
      <c r="BWY75" s="3"/>
      <c r="BWZ75" s="3"/>
      <c r="BXA75" s="3"/>
      <c r="BXB75" s="3"/>
      <c r="BXC75" s="3"/>
      <c r="BXD75" s="3"/>
      <c r="BXE75" s="3"/>
      <c r="BXF75" s="3"/>
      <c r="BXG75" s="3"/>
      <c r="BXH75" s="3"/>
      <c r="BXI75" s="3"/>
      <c r="BXJ75" s="3"/>
      <c r="BXK75" s="3"/>
      <c r="BXL75" s="3"/>
      <c r="BXM75" s="3"/>
      <c r="BXN75" s="3"/>
      <c r="BXO75" s="3"/>
      <c r="BXP75" s="3"/>
      <c r="BXQ75" s="3"/>
      <c r="BXR75" s="3"/>
      <c r="BXS75" s="3"/>
      <c r="BXT75" s="3"/>
      <c r="BXU75" s="3"/>
      <c r="BXV75" s="3"/>
      <c r="BXW75" s="3"/>
      <c r="BXX75" s="3"/>
      <c r="BXY75" s="3"/>
      <c r="BXZ75" s="3"/>
      <c r="BYA75" s="3"/>
      <c r="BYB75" s="3"/>
      <c r="BYC75" s="3"/>
      <c r="BYD75" s="3"/>
      <c r="BYE75" s="3"/>
      <c r="BYF75" s="3"/>
      <c r="BYG75" s="3"/>
      <c r="BYH75" s="3"/>
      <c r="BYI75" s="3"/>
      <c r="BYJ75" s="3"/>
      <c r="BYK75" s="3"/>
      <c r="BYL75" s="3"/>
      <c r="BYM75" s="3"/>
      <c r="BYN75" s="3"/>
      <c r="BYO75" s="3"/>
      <c r="BYP75" s="3"/>
      <c r="BYQ75" s="3"/>
      <c r="BYR75" s="3"/>
      <c r="BYS75" s="3"/>
      <c r="BYT75" s="3"/>
      <c r="BYU75" s="3"/>
      <c r="BYV75" s="3"/>
      <c r="BYW75" s="3"/>
      <c r="BYX75" s="3"/>
      <c r="BYY75" s="3"/>
      <c r="BYZ75" s="3"/>
      <c r="BZA75" s="3"/>
      <c r="BZB75" s="3"/>
      <c r="BZC75" s="3"/>
      <c r="BZD75" s="3"/>
      <c r="BZE75" s="3"/>
      <c r="BZF75" s="3"/>
      <c r="BZG75" s="3"/>
      <c r="BZH75" s="3"/>
      <c r="BZI75" s="3"/>
      <c r="BZJ75" s="3"/>
      <c r="BZK75" s="3"/>
      <c r="BZL75" s="3"/>
      <c r="BZM75" s="3"/>
      <c r="BZN75" s="3"/>
      <c r="BZO75" s="3"/>
      <c r="BZP75" s="3"/>
      <c r="BZQ75" s="3"/>
      <c r="BZR75" s="3"/>
      <c r="BZS75" s="3"/>
      <c r="BZT75" s="3"/>
      <c r="BZU75" s="3"/>
      <c r="BZV75" s="3"/>
      <c r="BZW75" s="3"/>
      <c r="BZX75" s="3"/>
      <c r="BZY75" s="3"/>
      <c r="BZZ75" s="3"/>
      <c r="CAA75" s="3"/>
      <c r="CAB75" s="3"/>
      <c r="CAC75" s="3"/>
      <c r="CAD75" s="3"/>
      <c r="CAE75" s="3"/>
      <c r="CAF75" s="3"/>
      <c r="CAG75" s="3"/>
      <c r="CAH75" s="3"/>
      <c r="CAI75" s="3"/>
      <c r="CAJ75" s="3"/>
      <c r="CAK75" s="3"/>
      <c r="CAL75" s="3"/>
      <c r="CAM75" s="3"/>
      <c r="CAN75" s="3"/>
      <c r="CAO75" s="3"/>
      <c r="CAP75" s="3"/>
      <c r="CAQ75" s="3"/>
      <c r="CAR75" s="3"/>
      <c r="CAS75" s="3"/>
      <c r="CAT75" s="3"/>
      <c r="CAU75" s="3"/>
      <c r="CAV75" s="3"/>
      <c r="CAW75" s="3"/>
      <c r="CAX75" s="3"/>
      <c r="CAY75" s="3"/>
      <c r="CAZ75" s="3"/>
      <c r="CBA75" s="3"/>
      <c r="CBB75" s="3"/>
      <c r="CBC75" s="3"/>
      <c r="CBD75" s="3"/>
      <c r="CBE75" s="3"/>
      <c r="CBF75" s="3"/>
      <c r="CBG75" s="3"/>
      <c r="CBH75" s="3"/>
    </row>
    <row r="76" spans="1:2088" customFormat="1" x14ac:dyDescent="0.2">
      <c r="A76" s="1" t="s">
        <v>149</v>
      </c>
      <c r="B76" s="56" t="str">
        <f t="array" ref="B76">IF(OR(B23="", B28="", B118=""), "error: missing input", INDEX(scores!$K$5:$P$10, MATCH(B118, scores!$J$5:$J$10, 0), MATCH(B28, scores!$K$3:$P$3, 0) + IF(B23 = INDEX(scores!$K$4:$P$4, MATCH(B28, scores!$K$3:$P$3, 0)), 0, 1)))</f>
        <v>error: missing input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</row>
    <row r="77" spans="1:2088" x14ac:dyDescent="0.2">
      <c r="A77" s="1" t="s">
        <v>150</v>
      </c>
      <c r="B77" s="54" t="str">
        <f t="array" ref="B77">IF(OR(B23="", B29="", B119=""), "error: missing input", INDEX(scores!$S$5:$Z$9, MATCH(B119, scores!$R$5:$R$9, 0), MATCH(B29, scores!$S$3:$Z$3, 0) + IF(B23 = INDEX(scores!$S$4:$Z$4, MATCH(B28, scores!$S$3:$Z$3, 0)), 0, 1)))</f>
        <v>error: missing input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  <c r="BVN77"/>
      <c r="BVO77"/>
      <c r="BVP77"/>
      <c r="BVQ77"/>
      <c r="BVR77"/>
      <c r="BVS77"/>
      <c r="BVT77"/>
      <c r="BVU77"/>
      <c r="BVV77"/>
      <c r="BVW77"/>
      <c r="BVX77"/>
      <c r="BVY77"/>
      <c r="BVZ77"/>
      <c r="BWA77"/>
      <c r="BWB77"/>
      <c r="BWC77"/>
      <c r="BWD77"/>
      <c r="BWE77"/>
      <c r="BWF77"/>
      <c r="BWG77"/>
      <c r="BWH77"/>
      <c r="BWI77"/>
      <c r="BWJ77"/>
      <c r="BWK77"/>
      <c r="BWL77"/>
      <c r="BWM77"/>
      <c r="BWN77"/>
      <c r="BWO77"/>
      <c r="BWP77"/>
      <c r="BWQ77"/>
      <c r="BWR77"/>
      <c r="BWS77"/>
      <c r="BWT77"/>
      <c r="BWU77"/>
      <c r="BWV77"/>
      <c r="BWW77"/>
      <c r="BWX77"/>
      <c r="BWY77"/>
      <c r="BWZ77"/>
      <c r="BXA77"/>
      <c r="BXB77"/>
      <c r="BXC77"/>
      <c r="BXD77"/>
      <c r="BXE77"/>
      <c r="BXF77"/>
      <c r="BXG77"/>
      <c r="BXH77"/>
      <c r="BXI77"/>
      <c r="BXJ77"/>
      <c r="BXK77"/>
      <c r="BXL77"/>
      <c r="BXM77"/>
      <c r="BXN77"/>
      <c r="BXO77"/>
      <c r="BXP77"/>
      <c r="BXQ77"/>
      <c r="BXR77"/>
      <c r="BXS77"/>
      <c r="BXT77"/>
      <c r="BXU77"/>
      <c r="BXV77"/>
      <c r="BXW77"/>
      <c r="BXX77"/>
      <c r="BXY77"/>
      <c r="BXZ77"/>
      <c r="BYA77"/>
      <c r="BYB77"/>
      <c r="BYC77"/>
      <c r="BYD77"/>
      <c r="BYE77"/>
      <c r="BYF77"/>
      <c r="BYG77"/>
      <c r="BYH77"/>
      <c r="BYI77"/>
      <c r="BYJ77"/>
      <c r="BYK77"/>
      <c r="BYL77"/>
      <c r="BYM77"/>
      <c r="BYN77"/>
      <c r="BYO77"/>
      <c r="BYP77"/>
      <c r="BYQ77"/>
      <c r="BYR77"/>
      <c r="BYS77"/>
      <c r="BYT77"/>
      <c r="BYU77"/>
      <c r="BYV77"/>
      <c r="BYW77"/>
      <c r="BYX77"/>
      <c r="BYY77"/>
      <c r="BYZ77"/>
      <c r="BZA77"/>
      <c r="BZB77"/>
      <c r="BZC77"/>
      <c r="BZD77"/>
      <c r="BZE77"/>
      <c r="BZF77"/>
      <c r="BZG77"/>
      <c r="BZH77"/>
      <c r="BZI77"/>
      <c r="BZJ77"/>
      <c r="BZK77"/>
      <c r="BZL77"/>
      <c r="BZM77"/>
      <c r="BZN77"/>
      <c r="BZO77"/>
      <c r="BZP77"/>
      <c r="BZQ77"/>
      <c r="BZR77"/>
      <c r="BZS77"/>
      <c r="BZT77"/>
      <c r="BZU77"/>
      <c r="BZV77"/>
      <c r="BZW77"/>
      <c r="BZX77"/>
      <c r="BZY77"/>
      <c r="BZZ77"/>
      <c r="CAA77"/>
      <c r="CAB77"/>
      <c r="CAC77"/>
      <c r="CAD77"/>
      <c r="CAE77"/>
      <c r="CAF77"/>
      <c r="CAG77"/>
      <c r="CAH77"/>
      <c r="CAI77"/>
      <c r="CAJ77"/>
      <c r="CAK77"/>
      <c r="CAL77"/>
      <c r="CAM77"/>
      <c r="CAN77"/>
      <c r="CAO77"/>
      <c r="CAP77"/>
      <c r="CAQ77"/>
      <c r="CAR77"/>
      <c r="CAS77"/>
      <c r="CAT77"/>
      <c r="CAU77"/>
      <c r="CAV77"/>
      <c r="CAW77"/>
      <c r="CAX77"/>
      <c r="CAY77"/>
      <c r="CAZ77"/>
      <c r="CBA77"/>
      <c r="CBB77"/>
      <c r="CBC77"/>
      <c r="CBD77"/>
      <c r="CBE77"/>
      <c r="CBF77"/>
      <c r="CBG77"/>
      <c r="CBH77"/>
    </row>
    <row r="78" spans="1:2088" x14ac:dyDescent="0.2">
      <c r="A78" s="1" t="s">
        <v>151</v>
      </c>
      <c r="B78" s="54" t="str">
        <f t="array" ref="B78">IF(OR(B23="", B30="", B119=""), "error: missing input", INDEX(scores!$AC$5:$AF$9, MATCH(B119, scores!$AB$5:$AB$9, 0), MATCH(B30, scores!$AC$3:$AF$3, 0) + IF(B23 = INDEX(scores!$AC$4:$AF$4, MATCH(B30, scores!$AC$3:$AF$3, 0)), 0, 1)))</f>
        <v>error: missing input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 s="44"/>
      <c r="MP78" s="44"/>
      <c r="MQ78" s="44"/>
      <c r="MR78" s="44"/>
      <c r="MS78" s="44"/>
      <c r="MT78" s="44"/>
      <c r="MU78" s="44"/>
      <c r="MV78" s="44"/>
      <c r="MW78" s="44"/>
      <c r="MX78" s="44"/>
      <c r="MY78" s="44"/>
      <c r="MZ78" s="44"/>
      <c r="NA78" s="44"/>
      <c r="NB78" s="44"/>
      <c r="NC78" s="44"/>
      <c r="ND78" s="44"/>
      <c r="NE78" s="44"/>
      <c r="NF78" s="44"/>
      <c r="NG78" s="44"/>
      <c r="NH78" s="44"/>
      <c r="NI78" s="44"/>
      <c r="NJ78" s="44"/>
      <c r="NK78" s="44"/>
      <c r="NL78" s="44"/>
      <c r="NM78" s="44"/>
      <c r="NN78" s="44"/>
      <c r="NO78" s="44"/>
      <c r="NP78" s="44"/>
      <c r="NQ78" s="44"/>
      <c r="NR78" s="44"/>
      <c r="NS78" s="44"/>
      <c r="NT78" s="44"/>
      <c r="NU78" s="44"/>
      <c r="NV78" s="44"/>
      <c r="NW78" s="44"/>
      <c r="NX78" s="44"/>
      <c r="NY78" s="44"/>
      <c r="NZ78" s="44"/>
      <c r="OA78" s="44"/>
      <c r="OB78" s="44"/>
      <c r="OC78" s="44"/>
      <c r="OD78" s="44"/>
      <c r="OE78" s="44"/>
      <c r="OF78" s="44"/>
      <c r="OG78" s="44"/>
      <c r="OH78" s="44"/>
      <c r="OI78" s="44"/>
      <c r="OJ78" s="44"/>
      <c r="OK78" s="44"/>
      <c r="OL78" s="44"/>
      <c r="OM78" s="44"/>
      <c r="ON78" s="44"/>
      <c r="OO78" s="44"/>
      <c r="OP78" s="44"/>
      <c r="OQ78" s="44"/>
      <c r="OR78" s="44"/>
      <c r="OS78" s="44"/>
      <c r="OT78" s="44"/>
      <c r="OU78" s="44"/>
      <c r="OV78" s="44"/>
      <c r="OW78" s="44"/>
      <c r="OX78" s="44"/>
      <c r="OY78" s="44"/>
      <c r="OZ78" s="44"/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4"/>
      <c r="PM78" s="44"/>
      <c r="PN78" s="44"/>
      <c r="PO78" s="44"/>
      <c r="PP78" s="44"/>
      <c r="PQ78" s="44"/>
      <c r="PR78" s="44"/>
      <c r="PS78" s="44"/>
      <c r="PT78" s="44"/>
      <c r="PU78" s="44"/>
      <c r="PV78" s="44"/>
      <c r="PW78" s="44"/>
      <c r="PX78" s="44"/>
      <c r="PY78" s="44"/>
      <c r="PZ78" s="44"/>
      <c r="QA78" s="44"/>
      <c r="QB78" s="44"/>
      <c r="QC78" s="44"/>
      <c r="QD78" s="44"/>
      <c r="QE78" s="44"/>
      <c r="QF78" s="44"/>
      <c r="QG78" s="44"/>
      <c r="QH78" s="44"/>
      <c r="QI78" s="44"/>
      <c r="QJ78" s="44"/>
      <c r="QK78" s="44"/>
      <c r="QL78" s="44"/>
      <c r="QM78" s="44"/>
      <c r="QN78" s="44"/>
      <c r="QO78" s="44"/>
      <c r="QP78" s="44"/>
      <c r="QQ78" s="44"/>
      <c r="QR78" s="44"/>
      <c r="QS78" s="44"/>
      <c r="QT78" s="44"/>
      <c r="QU78" s="44"/>
      <c r="QV78" s="44"/>
      <c r="QW78" s="44"/>
      <c r="QX78" s="44"/>
      <c r="QY78" s="44"/>
      <c r="QZ78" s="44"/>
      <c r="RA78" s="44"/>
      <c r="RB78" s="44"/>
      <c r="RC78" s="44"/>
      <c r="RD78" s="44"/>
      <c r="RE78" s="44"/>
      <c r="RF78" s="44"/>
      <c r="RG78" s="44"/>
      <c r="RH78" s="44"/>
      <c r="RI78" s="44"/>
      <c r="RJ78" s="44"/>
      <c r="RK78" s="44"/>
      <c r="RL78" s="44"/>
      <c r="RM78" s="44"/>
      <c r="RN78" s="44"/>
      <c r="RO78" s="44"/>
      <c r="RP78" s="44"/>
      <c r="RQ78" s="44"/>
      <c r="RR78" s="44"/>
      <c r="RS78" s="44"/>
      <c r="RT78" s="44"/>
      <c r="RU78" s="44"/>
      <c r="RV78" s="44"/>
      <c r="RW78" s="44"/>
      <c r="RX78" s="44"/>
      <c r="RY78" s="44"/>
      <c r="RZ78" s="44"/>
      <c r="SA78" s="44"/>
      <c r="SB78" s="44"/>
      <c r="SC78" s="44"/>
      <c r="SD78" s="44"/>
      <c r="SE78" s="44"/>
      <c r="SF78" s="44"/>
      <c r="SG78" s="44"/>
      <c r="SH78" s="44"/>
      <c r="SI78" s="44"/>
      <c r="SJ78" s="44"/>
      <c r="SK78" s="44"/>
      <c r="SL78" s="44"/>
      <c r="SM78" s="44"/>
      <c r="SN78" s="44"/>
      <c r="SO78" s="44"/>
      <c r="SP78" s="44"/>
      <c r="SQ78" s="44"/>
      <c r="SR78" s="44"/>
      <c r="SS78" s="44"/>
      <c r="ST78" s="44"/>
      <c r="SU78" s="44"/>
      <c r="SV78" s="44"/>
      <c r="SW78" s="44"/>
      <c r="SX78" s="44"/>
      <c r="SY78" s="44"/>
      <c r="SZ78" s="44"/>
      <c r="TA78" s="44"/>
      <c r="TB78" s="44"/>
      <c r="TC78" s="44"/>
      <c r="TD78" s="44"/>
      <c r="TE78" s="44"/>
      <c r="TF78" s="44"/>
      <c r="TG78" s="44"/>
      <c r="TH78" s="44"/>
      <c r="TI78" s="44"/>
      <c r="TJ78" s="44"/>
      <c r="TK78" s="44"/>
      <c r="TL78" s="44"/>
      <c r="TM78" s="44"/>
      <c r="TN78" s="44"/>
      <c r="TO78" s="44"/>
      <c r="TP78" s="44"/>
      <c r="TQ78" s="44"/>
      <c r="TR78" s="44"/>
      <c r="TS78" s="44"/>
      <c r="TT78" s="44"/>
      <c r="TU78" s="44"/>
      <c r="TV78" s="44"/>
      <c r="TW78" s="44"/>
      <c r="TX78" s="44"/>
      <c r="TY78" s="44"/>
      <c r="TZ78" s="44"/>
      <c r="UA78" s="44"/>
      <c r="UB78" s="44"/>
      <c r="UC78" s="44"/>
      <c r="UD78" s="44"/>
      <c r="UE78" s="44"/>
      <c r="UF78" s="44"/>
      <c r="UG78" s="44"/>
      <c r="UH78" s="44"/>
      <c r="UI78" s="44"/>
      <c r="UJ78" s="44"/>
      <c r="UK78" s="44"/>
      <c r="UL78" s="44"/>
      <c r="UM78" s="44"/>
      <c r="UN78" s="44"/>
      <c r="UO78" s="44"/>
      <c r="UP78" s="44"/>
      <c r="UQ78" s="44"/>
      <c r="UR78" s="44"/>
      <c r="US78" s="44"/>
      <c r="UT78" s="44"/>
      <c r="UU78" s="44"/>
      <c r="UV78" s="44"/>
      <c r="UW78" s="44"/>
      <c r="UX78" s="44"/>
      <c r="UY78" s="44"/>
      <c r="UZ78" s="44"/>
      <c r="VA78" s="44"/>
      <c r="VB78" s="44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  <c r="VV78" s="44"/>
      <c r="VW78" s="44"/>
      <c r="VX78" s="44"/>
      <c r="VY78" s="44"/>
      <c r="VZ78" s="44"/>
      <c r="WA78" s="44"/>
      <c r="WB78" s="44"/>
      <c r="WC78" s="44"/>
      <c r="WD78" s="44"/>
      <c r="WE78" s="44"/>
      <c r="WF78" s="44"/>
      <c r="WG78" s="44"/>
      <c r="WH78" s="44"/>
      <c r="WI78" s="44"/>
      <c r="WJ78" s="44"/>
      <c r="WK78" s="44"/>
      <c r="WL78" s="44"/>
      <c r="WM78" s="44"/>
      <c r="WN78" s="44"/>
      <c r="WO78" s="44"/>
      <c r="WP78" s="44"/>
      <c r="WQ78" s="44"/>
      <c r="WR78" s="44"/>
      <c r="WS78" s="44"/>
      <c r="WT78" s="44"/>
      <c r="WU78" s="44"/>
      <c r="WV78" s="44"/>
      <c r="WW78" s="44"/>
      <c r="WX78" s="44"/>
      <c r="WY78" s="44"/>
      <c r="WZ78" s="44"/>
      <c r="XA78" s="44"/>
      <c r="XB78" s="44"/>
      <c r="XC78" s="44"/>
      <c r="XD78" s="44"/>
      <c r="XE78" s="44"/>
      <c r="XF78" s="44"/>
      <c r="XG78" s="44"/>
      <c r="XH78" s="44"/>
      <c r="XI78" s="44"/>
      <c r="XJ78" s="44"/>
      <c r="XK78" s="44"/>
      <c r="XL78" s="44"/>
      <c r="XM78" s="44"/>
      <c r="XN78" s="44"/>
      <c r="XO78" s="44"/>
      <c r="XP78" s="44"/>
      <c r="XQ78" s="44"/>
      <c r="XR78" s="44"/>
      <c r="XS78" s="44"/>
      <c r="XT78" s="44"/>
      <c r="XU78" s="44"/>
      <c r="XV78" s="44"/>
      <c r="XW78" s="44"/>
      <c r="XX78" s="44"/>
      <c r="XY78" s="44"/>
      <c r="XZ78" s="44"/>
      <c r="YA78" s="44"/>
      <c r="YB78" s="44"/>
      <c r="YC78" s="44"/>
      <c r="YD78" s="44"/>
      <c r="YE78" s="44"/>
      <c r="YF78" s="44"/>
      <c r="YG78" s="44"/>
      <c r="YH78" s="44"/>
      <c r="YI78" s="44"/>
      <c r="YJ78" s="44"/>
      <c r="YK78" s="44"/>
      <c r="YL78" s="44"/>
      <c r="YM78" s="44"/>
      <c r="YN78" s="44"/>
      <c r="YO78" s="44"/>
      <c r="YP78" s="44"/>
      <c r="YQ78" s="44"/>
      <c r="YR78" s="44"/>
      <c r="YS78" s="44"/>
      <c r="YT78" s="44"/>
      <c r="YU78" s="44"/>
      <c r="YV78" s="44"/>
      <c r="YW78" s="44"/>
      <c r="YX78" s="44"/>
      <c r="YY78" s="44"/>
      <c r="YZ78" s="44"/>
      <c r="ZA78" s="44"/>
      <c r="ZB78" s="44"/>
      <c r="ZC78" s="44"/>
      <c r="ZD78" s="44"/>
      <c r="ZE78" s="44"/>
      <c r="ZF78" s="44"/>
      <c r="ZG78" s="44"/>
      <c r="ZH78" s="44"/>
      <c r="ZI78" s="44"/>
      <c r="ZJ78" s="44"/>
      <c r="ZK78" s="44"/>
      <c r="ZL78" s="44"/>
      <c r="ZM78" s="44"/>
      <c r="ZN78" s="44"/>
      <c r="ZO78" s="44"/>
      <c r="ZP78" s="44"/>
      <c r="ZQ78" s="44"/>
      <c r="ZR78" s="44"/>
      <c r="ZS78" s="44"/>
      <c r="ZT78" s="44"/>
      <c r="ZU78" s="44"/>
      <c r="ZV78" s="44"/>
      <c r="ZW78" s="44"/>
      <c r="ZX78" s="44"/>
      <c r="ZY78" s="44"/>
      <c r="ZZ78" s="44"/>
      <c r="AAA78" s="44"/>
      <c r="AAB78" s="44"/>
      <c r="AAC78" s="44"/>
      <c r="AAD78" s="44"/>
      <c r="AAE78" s="44"/>
      <c r="AAF78" s="44"/>
      <c r="AAG78" s="44"/>
      <c r="AAH78" s="44"/>
      <c r="AAI78" s="44"/>
      <c r="AAJ78" s="44"/>
      <c r="AAK78" s="44"/>
      <c r="AAL78" s="44"/>
      <c r="AAM78" s="44"/>
      <c r="AAN78" s="44"/>
      <c r="AAO78" s="44"/>
      <c r="AAP78" s="44"/>
      <c r="AAQ78" s="44"/>
      <c r="AAR78" s="44"/>
      <c r="AAS78" s="44"/>
      <c r="AAT78" s="44"/>
      <c r="AAU78" s="44"/>
      <c r="AAV78" s="44"/>
      <c r="AAW78" s="44"/>
      <c r="AAX78" s="44"/>
      <c r="AAY78" s="44"/>
      <c r="AAZ78" s="44"/>
      <c r="ABA78" s="44"/>
      <c r="ABB78" s="44"/>
      <c r="ABC78" s="44"/>
      <c r="ABD78" s="44"/>
      <c r="ABE78" s="44"/>
      <c r="ABF78" s="44"/>
      <c r="ABG78" s="44"/>
      <c r="ABH78" s="44"/>
      <c r="ABI78" s="44"/>
      <c r="ABJ78" s="44"/>
      <c r="ABK78" s="44"/>
      <c r="ABL78" s="44"/>
      <c r="ABM78" s="44"/>
      <c r="ABN78" s="44"/>
      <c r="ABO78" s="44"/>
      <c r="ABP78" s="44"/>
      <c r="ABQ78" s="44"/>
      <c r="ABR78" s="44"/>
      <c r="ABS78" s="44"/>
      <c r="ABT78" s="44"/>
      <c r="ABU78" s="44"/>
      <c r="ABV78" s="44"/>
      <c r="ABW78" s="44"/>
      <c r="ABX78" s="44"/>
      <c r="ABY78" s="44"/>
      <c r="ABZ78" s="44"/>
      <c r="ACA78" s="44"/>
      <c r="ACB78" s="44"/>
      <c r="ACC78" s="44"/>
      <c r="ACD78" s="44"/>
      <c r="ACE78" s="44"/>
      <c r="ACF78" s="44"/>
      <c r="ACG78" s="44"/>
      <c r="ACH78" s="44"/>
      <c r="ACI78" s="44"/>
      <c r="ACJ78" s="44"/>
      <c r="ACK78" s="44"/>
      <c r="ACL78" s="44"/>
      <c r="ACM78" s="44"/>
      <c r="ACN78" s="44"/>
      <c r="ACO78" s="44"/>
      <c r="ACP78" s="44"/>
      <c r="ACQ78" s="44"/>
      <c r="ACR78" s="44"/>
      <c r="ACS78" s="44"/>
      <c r="ACT78" s="44"/>
      <c r="ACU78" s="44"/>
      <c r="ACV78" s="44"/>
      <c r="ACW78" s="44"/>
      <c r="ACX78" s="44"/>
      <c r="ACY78" s="44"/>
      <c r="ACZ78" s="44"/>
      <c r="ADA78" s="44"/>
      <c r="ADB78" s="44"/>
      <c r="ADC78" s="44"/>
      <c r="ADD78" s="44"/>
      <c r="ADE78" s="44"/>
      <c r="ADF78" s="44"/>
      <c r="ADG78" s="44"/>
      <c r="ADH78" s="44"/>
      <c r="ADI78" s="44"/>
      <c r="ADJ78" s="44"/>
      <c r="ADK78" s="44"/>
      <c r="ADL78" s="44"/>
      <c r="ADM78" s="44"/>
      <c r="ADN78" s="44"/>
      <c r="ADO78" s="44"/>
      <c r="ADP78" s="44"/>
      <c r="ADQ78" s="44"/>
      <c r="ADR78" s="44"/>
      <c r="ADS78" s="44"/>
      <c r="ADT78" s="44"/>
      <c r="ADU78" s="44"/>
      <c r="ADV78" s="44"/>
      <c r="ADW78" s="44"/>
      <c r="ADX78" s="44"/>
      <c r="ADY78" s="44"/>
      <c r="ADZ78" s="44"/>
      <c r="AEA78" s="44"/>
      <c r="AEB78" s="44"/>
      <c r="AEC78" s="44"/>
      <c r="AED78" s="44"/>
      <c r="AEE78" s="44"/>
      <c r="AEF78" s="44"/>
      <c r="AEG78" s="44"/>
      <c r="AEH78" s="44"/>
      <c r="AEI78" s="44"/>
      <c r="AEJ78" s="44"/>
      <c r="AEK78" s="44"/>
      <c r="AEL78" s="44"/>
      <c r="AEM78" s="44"/>
      <c r="AEN78" s="44"/>
      <c r="AEO78" s="44"/>
      <c r="AEP78" s="44"/>
      <c r="AEQ78" s="44"/>
      <c r="AER78" s="44"/>
      <c r="AES78" s="44"/>
      <c r="AET78" s="44"/>
      <c r="AEU78" s="44"/>
      <c r="AEV78" s="44"/>
      <c r="AEW78" s="44"/>
      <c r="AEX78" s="44"/>
      <c r="AEY78" s="44"/>
      <c r="AEZ78" s="44"/>
      <c r="AFA78" s="44"/>
      <c r="AFB78" s="44"/>
      <c r="AFC78" s="44"/>
      <c r="AFD78" s="44"/>
      <c r="AFE78" s="44"/>
      <c r="AFF78" s="44"/>
      <c r="AFG78" s="44"/>
      <c r="AFH78" s="44"/>
      <c r="AFI78" s="44"/>
      <c r="AFJ78" s="44"/>
      <c r="AFK78" s="44"/>
      <c r="AFL78" s="44"/>
      <c r="AFM78" s="44"/>
      <c r="AFN78" s="44"/>
      <c r="AFO78" s="44"/>
      <c r="AFP78" s="44"/>
      <c r="AFQ78" s="44"/>
      <c r="AFR78" s="44"/>
      <c r="AFS78" s="44"/>
      <c r="AFT78" s="44"/>
      <c r="AFU78" s="44"/>
      <c r="AFV78" s="44"/>
      <c r="AFW78" s="44"/>
      <c r="AFX78" s="44"/>
      <c r="AFY78" s="44"/>
      <c r="AFZ78" s="44"/>
      <c r="AGA78" s="44"/>
      <c r="AGB78" s="44"/>
      <c r="AGC78" s="44"/>
      <c r="AGD78" s="44"/>
      <c r="AGE78" s="44"/>
      <c r="AGF78" s="44"/>
      <c r="AGG78" s="44"/>
      <c r="AGH78" s="44"/>
      <c r="AGI78" s="44"/>
      <c r="AGJ78" s="44"/>
      <c r="AGK78" s="44"/>
      <c r="AGL78" s="44"/>
      <c r="AGM78" s="44"/>
      <c r="AGN78" s="44"/>
      <c r="AGO78" s="44"/>
      <c r="AGP78" s="44"/>
      <c r="AGQ78" s="44"/>
      <c r="AGR78" s="44"/>
      <c r="AGS78" s="44"/>
      <c r="AGT78" s="44"/>
      <c r="AGU78" s="44"/>
      <c r="AGV78" s="44"/>
      <c r="AGW78" s="44"/>
      <c r="AGX78" s="44"/>
      <c r="AGY78" s="44"/>
      <c r="AGZ78" s="44"/>
      <c r="AHA78" s="44"/>
      <c r="AHB78" s="44"/>
      <c r="AHC78" s="44"/>
      <c r="AHD78" s="44"/>
      <c r="AHE78" s="44"/>
      <c r="AHF78" s="44"/>
      <c r="AHG78" s="44"/>
      <c r="AHH78" s="44"/>
      <c r="AHI78" s="44"/>
      <c r="AHJ78" s="44"/>
      <c r="AHK78" s="44"/>
      <c r="AHL78" s="44"/>
      <c r="AHM78" s="44"/>
      <c r="AHN78" s="44"/>
      <c r="AHO78" s="44"/>
      <c r="AHP78" s="44"/>
      <c r="AHQ78" s="44"/>
      <c r="AHR78" s="44"/>
      <c r="AHS78" s="44"/>
      <c r="AHT78" s="44"/>
      <c r="AHU78" s="44"/>
      <c r="AHV78" s="44"/>
      <c r="AHW78" s="44"/>
      <c r="AHX78" s="44"/>
      <c r="AHY78" s="44"/>
      <c r="AHZ78" s="44"/>
      <c r="AIA78" s="44"/>
      <c r="AIB78" s="44"/>
      <c r="AIC78" s="44"/>
      <c r="AID78" s="44"/>
      <c r="AIE78" s="44"/>
      <c r="AIF78" s="44"/>
      <c r="AIG78" s="44"/>
      <c r="AIH78" s="44"/>
      <c r="AII78" s="44"/>
      <c r="AIJ78" s="44"/>
      <c r="AIK78" s="44"/>
      <c r="AIL78" s="44"/>
      <c r="AIM78" s="44"/>
      <c r="AIN78" s="44"/>
      <c r="AIO78" s="44"/>
      <c r="AIP78" s="44"/>
      <c r="AIQ78" s="44"/>
      <c r="AIR78" s="44"/>
      <c r="AIS78" s="44"/>
      <c r="AIT78" s="44"/>
      <c r="AIU78" s="44"/>
      <c r="AIV78" s="44"/>
      <c r="AIW78" s="44"/>
      <c r="AIX78" s="44"/>
      <c r="AIY78" s="44"/>
      <c r="AIZ78" s="44"/>
      <c r="AJA78" s="44"/>
      <c r="AJB78" s="44"/>
      <c r="AJC78" s="44"/>
      <c r="AJD78" s="44"/>
      <c r="AJE78" s="44"/>
      <c r="AJF78" s="44"/>
      <c r="AJG78" s="44"/>
      <c r="AJH78" s="44"/>
      <c r="AJI78" s="44"/>
      <c r="AJJ78" s="44"/>
      <c r="AJK78" s="44"/>
      <c r="AJL78" s="44"/>
      <c r="AJM78" s="44"/>
      <c r="AJN78" s="44"/>
      <c r="AJO78" s="44"/>
      <c r="AJP78" s="44"/>
      <c r="AJQ78" s="44"/>
      <c r="AJR78" s="44"/>
      <c r="AJS78" s="44"/>
      <c r="AJT78" s="44"/>
      <c r="AJU78" s="44"/>
      <c r="AJV78" s="44"/>
      <c r="AJW78" s="44"/>
      <c r="AJX78" s="44"/>
      <c r="AJY78" s="44"/>
      <c r="AJZ78" s="44"/>
      <c r="AKA78" s="44"/>
      <c r="AKB78" s="44"/>
      <c r="AKC78" s="44"/>
      <c r="AKD78" s="44"/>
      <c r="AKE78" s="44"/>
      <c r="AKF78" s="44"/>
      <c r="AKG78" s="44"/>
      <c r="AKH78" s="44"/>
      <c r="AKI78" s="44"/>
      <c r="AKJ78" s="44"/>
      <c r="AKK78" s="44"/>
      <c r="AKL78" s="44"/>
      <c r="AKM78" s="44"/>
      <c r="AKN78" s="44"/>
      <c r="AKO78" s="44"/>
      <c r="AKP78" s="44"/>
      <c r="AKQ78" s="44"/>
      <c r="AKR78" s="44"/>
      <c r="AKS78" s="44"/>
      <c r="AKT78" s="44"/>
      <c r="AKU78" s="44"/>
      <c r="AKV78" s="44"/>
      <c r="AKW78" s="44"/>
      <c r="AKX78" s="44"/>
      <c r="AKY78" s="44"/>
      <c r="AKZ78" s="44"/>
      <c r="ALA78" s="44"/>
      <c r="ALB78" s="44"/>
      <c r="ALC78" s="44"/>
      <c r="ALD78" s="44"/>
      <c r="ALE78" s="44"/>
      <c r="ALF78" s="44"/>
      <c r="ALG78" s="44"/>
      <c r="ALH78" s="44"/>
      <c r="ALI78" s="44"/>
      <c r="ALJ78" s="44"/>
      <c r="ALK78" s="44"/>
      <c r="ALL78" s="44"/>
      <c r="ALM78" s="44"/>
      <c r="ALN78" s="44"/>
      <c r="ALO78" s="44"/>
      <c r="ALP78" s="44"/>
      <c r="ALQ78" s="44"/>
      <c r="ALR78" s="44"/>
      <c r="ALS78" s="44"/>
      <c r="ALT78" s="44"/>
      <c r="ALU78" s="44"/>
      <c r="ALV78" s="44"/>
      <c r="ALW78" s="44"/>
      <c r="ALX78" s="44"/>
      <c r="ALY78" s="44"/>
      <c r="ALZ78" s="44"/>
      <c r="AMA78" s="44"/>
      <c r="AMB78" s="44"/>
      <c r="AMC78" s="44"/>
      <c r="AMD78" s="44"/>
      <c r="AME78" s="44"/>
      <c r="AMF78" s="44"/>
      <c r="AMG78" s="44"/>
      <c r="AMH78" s="44"/>
      <c r="AMI78" s="44"/>
      <c r="AMJ78" s="44"/>
      <c r="AMK78" s="44"/>
      <c r="AML78" s="44"/>
      <c r="AMM78" s="44"/>
      <c r="AMN78" s="44"/>
      <c r="AMO78" s="44"/>
      <c r="AMP78" s="44"/>
      <c r="AMQ78" s="44"/>
      <c r="AMR78" s="44"/>
      <c r="AMS78" s="44"/>
      <c r="AMT78" s="44"/>
      <c r="AMU78" s="44"/>
      <c r="AMV78" s="44"/>
      <c r="AMW78" s="44"/>
      <c r="AMX78" s="44"/>
      <c r="AMY78" s="44"/>
      <c r="AMZ78" s="44"/>
      <c r="ANA78" s="44"/>
      <c r="ANB78" s="44"/>
      <c r="ANC78" s="44"/>
      <c r="AND78" s="44"/>
      <c r="ANE78" s="44"/>
      <c r="ANF78" s="44"/>
      <c r="ANG78" s="44"/>
      <c r="ANH78" s="44"/>
      <c r="ANI78" s="44"/>
      <c r="ANJ78" s="44"/>
      <c r="ANK78" s="44"/>
      <c r="ANL78" s="44"/>
      <c r="ANM78" s="44"/>
      <c r="ANN78" s="44"/>
      <c r="ANO78" s="44"/>
      <c r="ANP78" s="44"/>
      <c r="ANQ78" s="44"/>
      <c r="ANR78" s="44"/>
      <c r="ANS78" s="44"/>
      <c r="ANT78" s="44"/>
      <c r="ANU78" s="44"/>
      <c r="ANV78" s="44"/>
      <c r="ANW78" s="44"/>
      <c r="ANX78" s="44"/>
      <c r="ANY78" s="44"/>
      <c r="ANZ78" s="44"/>
      <c r="AOA78" s="44"/>
      <c r="AOB78" s="44"/>
      <c r="AOC78" s="44"/>
      <c r="AOD78" s="44"/>
      <c r="AOE78" s="44"/>
      <c r="AOF78" s="44"/>
      <c r="AOG78" s="44"/>
      <c r="AOH78" s="44"/>
      <c r="AOI78" s="44"/>
      <c r="AOJ78" s="44"/>
      <c r="AOK78" s="44"/>
      <c r="AOL78" s="44"/>
      <c r="AOM78" s="44"/>
      <c r="AON78" s="44"/>
      <c r="AOO78" s="44"/>
      <c r="AOP78" s="44"/>
      <c r="AOQ78" s="44"/>
      <c r="AOR78" s="44"/>
      <c r="AOS78" s="44"/>
      <c r="AOT78" s="44"/>
      <c r="AOU78" s="44"/>
      <c r="AOV78" s="44"/>
      <c r="AOW78" s="44"/>
      <c r="AOX78" s="44"/>
      <c r="AOY78" s="44"/>
      <c r="AOZ78" s="44"/>
      <c r="APA78" s="44"/>
      <c r="APB78" s="44"/>
      <c r="APC78" s="44"/>
      <c r="APD78" s="44"/>
      <c r="APE78" s="44"/>
      <c r="APF78" s="44"/>
      <c r="APG78" s="44"/>
      <c r="APH78" s="44"/>
      <c r="API78" s="44"/>
      <c r="APJ78" s="44"/>
      <c r="APK78" s="44"/>
      <c r="APL78" s="44"/>
      <c r="APM78" s="44"/>
      <c r="APN78" s="44"/>
      <c r="APO78" s="44"/>
      <c r="APP78" s="44"/>
      <c r="APQ78" s="44"/>
      <c r="APR78" s="44"/>
      <c r="APS78" s="44"/>
      <c r="APT78" s="44"/>
      <c r="APU78" s="44"/>
      <c r="APV78" s="44"/>
      <c r="APW78" s="44"/>
      <c r="APX78" s="44"/>
      <c r="APY78" s="44"/>
      <c r="APZ78" s="44"/>
      <c r="AQA78" s="44"/>
      <c r="AQB78" s="44"/>
      <c r="AQC78" s="44"/>
      <c r="AQD78" s="44"/>
      <c r="AQE78" s="44"/>
      <c r="AQF78" s="44"/>
      <c r="AQG78" s="44"/>
      <c r="AQH78" s="44"/>
      <c r="AQI78" s="44"/>
      <c r="AQJ78" s="44"/>
      <c r="AQK78" s="44"/>
      <c r="AQL78" s="44"/>
      <c r="AQM78" s="44"/>
      <c r="AQN78" s="44"/>
      <c r="AQO78" s="44"/>
      <c r="AQP78" s="44"/>
      <c r="AQQ78" s="44"/>
      <c r="AQR78" s="44"/>
      <c r="AQS78" s="44"/>
      <c r="AQT78" s="44"/>
      <c r="AQU78" s="44"/>
      <c r="AQV78" s="44"/>
      <c r="AQW78" s="44"/>
      <c r="AQX78" s="44"/>
      <c r="AQY78" s="44"/>
      <c r="AQZ78" s="44"/>
      <c r="ARA78" s="44"/>
      <c r="ARB78" s="44"/>
      <c r="ARC78" s="44"/>
      <c r="ARD78" s="44"/>
      <c r="ARE78" s="44"/>
      <c r="ARF78" s="44"/>
      <c r="ARG78" s="44"/>
      <c r="ARH78" s="44"/>
      <c r="ARI78" s="44"/>
      <c r="ARJ78" s="44"/>
      <c r="ARK78" s="44"/>
      <c r="ARL78" s="44"/>
      <c r="ARM78" s="44"/>
      <c r="ARN78" s="44"/>
      <c r="ARO78" s="44"/>
      <c r="ARP78" s="44"/>
      <c r="ARQ78" s="44"/>
      <c r="ARR78" s="44"/>
      <c r="ARS78" s="44"/>
      <c r="ART78" s="44"/>
      <c r="ARU78" s="44"/>
      <c r="ARV78" s="44"/>
      <c r="ARW78" s="44"/>
      <c r="ARX78" s="44"/>
      <c r="ARY78" s="44"/>
      <c r="ARZ78" s="44"/>
      <c r="ASA78" s="44"/>
      <c r="ASB78" s="44"/>
      <c r="ASC78" s="44"/>
      <c r="ASD78" s="44"/>
      <c r="ASE78" s="44"/>
      <c r="ASF78" s="44"/>
      <c r="ASG78" s="44"/>
      <c r="ASH78" s="44"/>
      <c r="ASI78" s="44"/>
      <c r="ASJ78" s="44"/>
      <c r="ASK78" s="44"/>
      <c r="ASL78" s="44"/>
      <c r="ASM78" s="44"/>
      <c r="ASN78" s="44"/>
      <c r="ASO78" s="44"/>
      <c r="ASP78" s="44"/>
      <c r="ASQ78" s="44"/>
      <c r="ASR78" s="44"/>
      <c r="ASS78" s="44"/>
      <c r="AST78" s="44"/>
      <c r="ASU78" s="44"/>
      <c r="ASV78" s="44"/>
      <c r="ASW78" s="44"/>
      <c r="ASX78" s="44"/>
      <c r="ASY78" s="44"/>
      <c r="ASZ78" s="44"/>
      <c r="ATA78" s="44"/>
      <c r="ATB78" s="44"/>
      <c r="ATC78" s="44"/>
      <c r="ATD78" s="44"/>
      <c r="ATE78" s="44"/>
      <c r="ATF78" s="44"/>
      <c r="ATG78" s="44"/>
      <c r="ATH78" s="44"/>
      <c r="ATI78" s="44"/>
      <c r="ATJ78" s="44"/>
      <c r="ATK78" s="44"/>
      <c r="ATL78" s="44"/>
      <c r="ATM78" s="44"/>
      <c r="ATN78" s="44"/>
      <c r="ATO78" s="44"/>
      <c r="ATP78" s="44"/>
      <c r="ATQ78" s="44"/>
      <c r="ATR78" s="44"/>
      <c r="ATS78" s="44"/>
      <c r="ATT78" s="44"/>
      <c r="ATU78" s="44"/>
      <c r="ATV78" s="44"/>
      <c r="ATW78" s="44"/>
      <c r="ATX78" s="44"/>
      <c r="ATY78" s="44"/>
      <c r="ATZ78" s="44"/>
      <c r="AUA78" s="44"/>
      <c r="AUB78" s="44"/>
      <c r="AUC78" s="44"/>
      <c r="AUD78" s="44"/>
      <c r="AUE78" s="44"/>
      <c r="AUF78" s="44"/>
      <c r="AUG78" s="44"/>
      <c r="AUH78" s="44"/>
      <c r="AUI78" s="44"/>
      <c r="AUJ78" s="44"/>
      <c r="AUK78" s="44"/>
      <c r="AUL78" s="44"/>
      <c r="AUM78" s="44"/>
      <c r="AUN78" s="44"/>
      <c r="AUO78" s="44"/>
      <c r="AUP78" s="44"/>
      <c r="AUQ78" s="44"/>
      <c r="AUR78" s="44"/>
      <c r="AUS78" s="44"/>
      <c r="AUT78" s="44"/>
      <c r="AUU78" s="44"/>
      <c r="AUV78" s="44"/>
      <c r="AUW78" s="44"/>
      <c r="AUX78" s="44"/>
      <c r="AUY78" s="44"/>
      <c r="AUZ78" s="44"/>
      <c r="AVA78" s="44"/>
      <c r="AVB78" s="44"/>
      <c r="AVC78" s="44"/>
      <c r="AVD78" s="44"/>
      <c r="AVE78" s="44"/>
      <c r="AVF78" s="44"/>
      <c r="AVG78" s="44"/>
      <c r="AVH78" s="44"/>
      <c r="AVI78" s="44"/>
      <c r="AVJ78" s="44"/>
      <c r="AVK78" s="44"/>
      <c r="AVL78" s="44"/>
      <c r="AVM78" s="44"/>
      <c r="AVN78" s="44"/>
      <c r="AVO78" s="44"/>
      <c r="AVP78" s="44"/>
      <c r="AVQ78" s="44"/>
      <c r="AVR78" s="44"/>
      <c r="AVS78" s="44"/>
      <c r="AVT78" s="44"/>
      <c r="AVU78" s="44"/>
      <c r="AVV78" s="44"/>
      <c r="AVW78" s="44"/>
      <c r="AVX78" s="44"/>
      <c r="AVY78" s="44"/>
      <c r="AVZ78" s="44"/>
      <c r="AWA78" s="44"/>
      <c r="AWB78" s="44"/>
      <c r="AWC78" s="44"/>
      <c r="AWD78" s="44"/>
      <c r="AWE78" s="44"/>
      <c r="AWF78" s="44"/>
      <c r="AWG78" s="44"/>
      <c r="AWH78" s="44"/>
      <c r="AWI78" s="44"/>
      <c r="AWJ78" s="44"/>
      <c r="AWK78" s="44"/>
      <c r="AWL78" s="44"/>
      <c r="AWM78" s="44"/>
      <c r="AWN78" s="44"/>
      <c r="AWO78" s="44"/>
      <c r="AWP78" s="44"/>
      <c r="AWQ78" s="44"/>
      <c r="AWR78" s="44"/>
      <c r="AWS78" s="44"/>
      <c r="AWT78" s="44"/>
      <c r="AWU78" s="44"/>
      <c r="AWV78" s="44"/>
      <c r="AWW78" s="44"/>
      <c r="AWX78" s="44"/>
      <c r="AWY78" s="44"/>
      <c r="AWZ78" s="44"/>
      <c r="AXA78" s="44"/>
      <c r="AXB78" s="44"/>
      <c r="AXC78" s="44"/>
      <c r="AXD78" s="44"/>
      <c r="AXE78" s="44"/>
      <c r="AXF78" s="44"/>
      <c r="AXG78" s="44"/>
      <c r="AXH78" s="44"/>
      <c r="AXI78" s="44"/>
      <c r="AXJ78" s="44"/>
      <c r="AXK78" s="44"/>
      <c r="AXL78" s="44"/>
      <c r="AXM78" s="44"/>
      <c r="AXN78" s="44"/>
      <c r="AXO78" s="44"/>
      <c r="AXP78" s="44"/>
      <c r="AXQ78" s="44"/>
      <c r="AXR78" s="44"/>
      <c r="AXS78" s="44"/>
      <c r="AXT78" s="44"/>
      <c r="AXU78" s="44"/>
      <c r="AXV78" s="44"/>
      <c r="AXW78" s="44"/>
      <c r="AXX78" s="44"/>
      <c r="AXY78" s="44"/>
      <c r="AXZ78" s="44"/>
      <c r="AYA78" s="44"/>
      <c r="AYB78" s="44"/>
      <c r="AYC78" s="44"/>
      <c r="AYD78" s="44"/>
      <c r="AYE78" s="44"/>
      <c r="AYF78" s="44"/>
      <c r="AYG78" s="44"/>
      <c r="AYH78" s="44"/>
      <c r="AYI78" s="44"/>
      <c r="AYJ78" s="44"/>
      <c r="AYK78" s="44"/>
      <c r="AYL78" s="44"/>
      <c r="AYM78" s="44"/>
      <c r="AYN78" s="44"/>
      <c r="AYO78" s="44"/>
      <c r="AYP78" s="44"/>
      <c r="AYQ78" s="44"/>
      <c r="AYR78" s="44"/>
      <c r="AYS78" s="44"/>
      <c r="AYT78" s="44"/>
      <c r="AYU78" s="44"/>
      <c r="AYV78" s="44"/>
      <c r="AYW78" s="44"/>
      <c r="AYX78" s="44"/>
      <c r="AYY78" s="44"/>
      <c r="AYZ78" s="44"/>
      <c r="AZA78" s="44"/>
      <c r="AZB78" s="44"/>
      <c r="AZC78" s="44"/>
      <c r="AZD78" s="44"/>
      <c r="AZE78" s="44"/>
      <c r="AZF78" s="44"/>
      <c r="AZG78" s="44"/>
      <c r="AZH78" s="44"/>
      <c r="AZI78" s="44"/>
      <c r="AZJ78" s="44"/>
      <c r="AZK78" s="44"/>
      <c r="AZL78" s="44"/>
      <c r="AZM78" s="44"/>
      <c r="AZN78" s="44"/>
      <c r="AZO78" s="44"/>
      <c r="AZP78" s="44"/>
      <c r="AZQ78" s="44"/>
      <c r="AZR78" s="44"/>
      <c r="AZS78" s="44"/>
      <c r="AZT78" s="44"/>
      <c r="AZU78" s="44"/>
      <c r="AZV78" s="44"/>
      <c r="AZW78" s="44"/>
      <c r="AZX78" s="44"/>
      <c r="AZY78" s="44"/>
      <c r="AZZ78" s="44"/>
      <c r="BAA78" s="44"/>
      <c r="BAB78" s="44"/>
      <c r="BAC78" s="44"/>
      <c r="BAD78" s="44"/>
      <c r="BAE78" s="44"/>
      <c r="BAF78" s="44"/>
      <c r="BAG78" s="44"/>
      <c r="BAH78" s="44"/>
      <c r="BAI78" s="44"/>
      <c r="BAJ78" s="44"/>
      <c r="BAK78" s="44"/>
      <c r="BAL78" s="44"/>
      <c r="BAM78" s="44"/>
      <c r="BAN78" s="44"/>
      <c r="BAO78" s="44"/>
      <c r="BAP78" s="44"/>
      <c r="BAQ78" s="44"/>
      <c r="BAR78" s="44"/>
      <c r="BAS78" s="44"/>
      <c r="BAT78" s="44"/>
      <c r="BAU78" s="44"/>
      <c r="BAV78" s="44"/>
      <c r="BAW78" s="44"/>
      <c r="BAX78" s="44"/>
      <c r="BAY78" s="44"/>
      <c r="BAZ78" s="44"/>
      <c r="BBA78" s="44"/>
      <c r="BBB78" s="44"/>
      <c r="BBC78" s="44"/>
      <c r="BBD78" s="44"/>
      <c r="BBE78" s="44"/>
      <c r="BBF78" s="44"/>
      <c r="BBG78" s="44"/>
      <c r="BBH78" s="44"/>
      <c r="BBI78" s="44"/>
      <c r="BBJ78" s="44"/>
      <c r="BBK78" s="44"/>
      <c r="BBL78" s="44"/>
      <c r="BBM78" s="44"/>
      <c r="BBN78" s="44"/>
      <c r="BBO78" s="44"/>
      <c r="BBP78" s="44"/>
      <c r="BBQ78" s="44"/>
      <c r="BBR78" s="44"/>
      <c r="BBS78" s="44"/>
      <c r="BBT78" s="44"/>
      <c r="BBU78" s="44"/>
      <c r="BBV78" s="44"/>
      <c r="BBW78" s="44"/>
      <c r="BBX78" s="44"/>
      <c r="BBY78" s="44"/>
      <c r="BBZ78" s="44"/>
      <c r="BCA78" s="44"/>
      <c r="BCB78" s="44"/>
      <c r="BCC78" s="44"/>
      <c r="BCD78" s="44"/>
      <c r="BCE78" s="44"/>
      <c r="BCF78" s="44"/>
      <c r="BCG78" s="44"/>
      <c r="BCH78" s="44"/>
      <c r="BCI78" s="44"/>
      <c r="BCJ78" s="44"/>
      <c r="BCK78" s="44"/>
      <c r="BCL78" s="44"/>
      <c r="BCM78" s="44"/>
      <c r="BCN78" s="44"/>
      <c r="BCO78" s="44"/>
      <c r="BCP78" s="44"/>
      <c r="BCQ78" s="44"/>
      <c r="BCR78" s="44"/>
      <c r="BCS78" s="44"/>
      <c r="BCT78" s="44"/>
      <c r="BCU78" s="44"/>
      <c r="BCV78" s="44"/>
      <c r="BCW78" s="44"/>
      <c r="BCX78" s="44"/>
      <c r="BCY78" s="44"/>
      <c r="BCZ78" s="44"/>
      <c r="BDA78" s="44"/>
      <c r="BDB78" s="44"/>
      <c r="BDC78" s="44"/>
      <c r="BDD78" s="44"/>
      <c r="BDE78" s="44"/>
      <c r="BDF78" s="44"/>
      <c r="BDG78" s="44"/>
      <c r="BDH78" s="44"/>
      <c r="BDI78" s="44"/>
      <c r="BDJ78" s="44"/>
      <c r="BDK78" s="44"/>
      <c r="BDL78" s="44"/>
      <c r="BDM78" s="44"/>
      <c r="BDN78" s="44"/>
      <c r="BDO78" s="44"/>
      <c r="BDP78" s="44"/>
      <c r="BDQ78" s="44"/>
      <c r="BDR78" s="44"/>
      <c r="BDS78" s="44"/>
      <c r="BDT78" s="44"/>
      <c r="BDU78" s="44"/>
      <c r="BDV78" s="44"/>
      <c r="BDW78" s="44"/>
      <c r="BDX78" s="44"/>
      <c r="BDY78" s="44"/>
      <c r="BDZ78" s="44"/>
      <c r="BEA78" s="44"/>
      <c r="BEB78" s="44"/>
      <c r="BEC78" s="44"/>
      <c r="BED78" s="44"/>
      <c r="BEE78" s="44"/>
      <c r="BEF78" s="44"/>
      <c r="BEG78" s="44"/>
      <c r="BEH78" s="44"/>
      <c r="BEI78" s="44"/>
      <c r="BEJ78" s="44"/>
      <c r="BEK78" s="44"/>
      <c r="BEL78" s="44"/>
      <c r="BEM78" s="44"/>
      <c r="BEN78" s="44"/>
      <c r="BEO78" s="44"/>
      <c r="BEP78" s="44"/>
      <c r="BEQ78" s="44"/>
      <c r="BER78" s="44"/>
      <c r="BES78" s="44"/>
      <c r="BET78" s="44"/>
      <c r="BEU78" s="44"/>
      <c r="BEV78" s="44"/>
      <c r="BEW78" s="44"/>
      <c r="BEX78" s="44"/>
      <c r="BEY78" s="44"/>
      <c r="BEZ78" s="44"/>
      <c r="BFA78" s="44"/>
      <c r="BFB78" s="44"/>
      <c r="BFC78" s="44"/>
      <c r="BFD78" s="44"/>
      <c r="BFE78" s="44"/>
      <c r="BFF78" s="44"/>
      <c r="BFG78" s="44"/>
      <c r="BFH78" s="44"/>
      <c r="BFI78" s="44"/>
      <c r="BFJ78" s="44"/>
      <c r="BFK78" s="44"/>
      <c r="BFL78" s="44"/>
      <c r="BFM78" s="44"/>
      <c r="BFN78" s="44"/>
      <c r="BFO78" s="44"/>
      <c r="BFP78" s="44"/>
      <c r="BFQ78" s="44"/>
      <c r="BFR78" s="44"/>
      <c r="BFS78" s="44"/>
      <c r="BFT78" s="44"/>
      <c r="BFU78" s="44"/>
      <c r="BFV78" s="44"/>
      <c r="BFW78" s="44"/>
      <c r="BFX78" s="44"/>
      <c r="BFY78" s="44"/>
      <c r="BFZ78" s="44"/>
      <c r="BGA78" s="44"/>
      <c r="BGB78" s="44"/>
      <c r="BGC78" s="44"/>
      <c r="BGD78" s="44"/>
      <c r="BGE78" s="44"/>
      <c r="BGF78" s="44"/>
      <c r="BGG78" s="44"/>
      <c r="BGH78" s="44"/>
      <c r="BGI78" s="44"/>
      <c r="BGJ78" s="44"/>
      <c r="BGK78" s="44"/>
      <c r="BGL78" s="44"/>
      <c r="BGM78" s="44"/>
      <c r="BGN78" s="44"/>
      <c r="BGO78" s="44"/>
      <c r="BGP78" s="44"/>
      <c r="BGQ78" s="44"/>
      <c r="BGR78" s="44"/>
      <c r="BGS78" s="44"/>
      <c r="BGT78" s="44"/>
      <c r="BGU78" s="44"/>
      <c r="BGV78" s="44"/>
      <c r="BGW78" s="44"/>
      <c r="BGX78" s="44"/>
      <c r="BGY78" s="44"/>
      <c r="BGZ78" s="44"/>
      <c r="BHA78" s="44"/>
      <c r="BHB78" s="44"/>
      <c r="BHC78" s="44"/>
      <c r="BHD78" s="44"/>
      <c r="BHE78" s="44"/>
      <c r="BHF78" s="44"/>
      <c r="BHG78" s="44"/>
      <c r="BHH78" s="44"/>
      <c r="BHI78" s="44"/>
      <c r="BHJ78" s="44"/>
      <c r="BHK78" s="44"/>
      <c r="BHL78" s="44"/>
      <c r="BHM78" s="44"/>
      <c r="BHN78" s="44"/>
      <c r="BHO78" s="44"/>
      <c r="BHP78" s="44"/>
      <c r="BHQ78" s="44"/>
      <c r="BHR78" s="44"/>
      <c r="BHS78" s="44"/>
      <c r="BHT78" s="44"/>
      <c r="BHU78" s="44"/>
      <c r="BHV78" s="44"/>
      <c r="BHW78" s="44"/>
      <c r="BHX78" s="44"/>
      <c r="BHY78" s="44"/>
      <c r="BHZ78" s="44"/>
      <c r="BIA78" s="44"/>
      <c r="BIB78" s="44"/>
      <c r="BIC78" s="44"/>
      <c r="BID78" s="44"/>
      <c r="BIE78" s="44"/>
      <c r="BIF78" s="44"/>
      <c r="BIG78" s="44"/>
      <c r="BIH78" s="44"/>
      <c r="BII78" s="44"/>
      <c r="BIJ78" s="44"/>
      <c r="BIK78" s="44"/>
      <c r="BIL78" s="44"/>
      <c r="BIM78" s="44"/>
      <c r="BIN78" s="44"/>
      <c r="BIO78" s="44"/>
      <c r="BIP78" s="44"/>
      <c r="BIQ78" s="44"/>
      <c r="BIR78" s="44"/>
      <c r="BIS78" s="44"/>
      <c r="BIT78" s="44"/>
      <c r="BIU78" s="44"/>
      <c r="BIV78" s="44"/>
      <c r="BIW78" s="44"/>
      <c r="BIX78" s="44"/>
      <c r="BIY78" s="44"/>
      <c r="BIZ78" s="44"/>
      <c r="BJA78" s="44"/>
      <c r="BJB78" s="44"/>
      <c r="BJC78" s="44"/>
      <c r="BJD78" s="44"/>
      <c r="BJE78" s="44"/>
      <c r="BJF78" s="44"/>
      <c r="BJG78" s="44"/>
      <c r="BJH78" s="44"/>
      <c r="BJI78" s="44"/>
      <c r="BJJ78" s="44"/>
      <c r="BJK78" s="44"/>
      <c r="BJL78" s="44"/>
      <c r="BJM78" s="44"/>
      <c r="BJN78" s="44"/>
      <c r="BJO78" s="44"/>
      <c r="BJP78" s="44"/>
      <c r="BJQ78" s="44"/>
      <c r="BJR78" s="44"/>
      <c r="BJS78" s="44"/>
      <c r="BJT78" s="44"/>
      <c r="BJU78" s="44"/>
      <c r="BJV78" s="44"/>
      <c r="BJW78" s="44"/>
      <c r="BJX78" s="44"/>
      <c r="BJY78" s="44"/>
      <c r="BJZ78" s="44"/>
      <c r="BKA78" s="44"/>
      <c r="BKB78" s="44"/>
      <c r="BKC78" s="44"/>
      <c r="BKD78" s="44"/>
      <c r="BKE78" s="44"/>
      <c r="BKF78" s="44"/>
      <c r="BKG78" s="44"/>
      <c r="BKH78" s="44"/>
      <c r="BKI78" s="44"/>
      <c r="BKJ78" s="44"/>
      <c r="BKK78" s="44"/>
      <c r="BKL78" s="44"/>
      <c r="BKM78" s="44"/>
      <c r="BKN78" s="44"/>
      <c r="BKO78" s="44"/>
      <c r="BKP78" s="44"/>
      <c r="BKQ78" s="44"/>
      <c r="BKR78" s="44"/>
      <c r="BKS78" s="44"/>
      <c r="BKT78" s="44"/>
      <c r="BKU78" s="44"/>
      <c r="BKV78" s="44"/>
      <c r="BKW78" s="44"/>
      <c r="BKX78" s="44"/>
      <c r="BKY78" s="44"/>
      <c r="BKZ78" s="44"/>
      <c r="BLA78" s="44"/>
      <c r="BLB78" s="44"/>
      <c r="BLC78" s="44"/>
      <c r="BLD78" s="44"/>
      <c r="BLE78" s="44"/>
      <c r="BLF78" s="44"/>
      <c r="BLG78" s="44"/>
      <c r="BLH78" s="44"/>
      <c r="BLI78" s="44"/>
      <c r="BLJ78" s="44"/>
      <c r="BLK78" s="44"/>
      <c r="BLL78" s="44"/>
      <c r="BLM78" s="44"/>
      <c r="BLN78" s="44"/>
      <c r="BLO78" s="44"/>
      <c r="BLP78" s="44"/>
      <c r="BLQ78" s="44"/>
      <c r="BLR78" s="44"/>
      <c r="BLS78" s="44"/>
      <c r="BLT78" s="44"/>
      <c r="BLU78" s="44"/>
      <c r="BLV78" s="44"/>
      <c r="BLW78" s="44"/>
      <c r="BLX78" s="44"/>
      <c r="BLY78" s="44"/>
      <c r="BLZ78" s="44"/>
      <c r="BMA78" s="44"/>
      <c r="BMB78" s="44"/>
      <c r="BMC78" s="44"/>
      <c r="BMD78" s="44"/>
      <c r="BME78" s="44"/>
      <c r="BMF78" s="44"/>
      <c r="BMG78" s="44"/>
      <c r="BMH78" s="44"/>
      <c r="BMI78" s="44"/>
      <c r="BMJ78" s="44"/>
      <c r="BMK78" s="44"/>
      <c r="BML78" s="44"/>
      <c r="BMM78" s="44"/>
      <c r="BMN78" s="44"/>
      <c r="BMO78" s="44"/>
      <c r="BMP78" s="44"/>
      <c r="BMQ78" s="44"/>
      <c r="BMR78" s="44"/>
      <c r="BMS78" s="44"/>
      <c r="BMT78" s="44"/>
      <c r="BMU78" s="44"/>
      <c r="BMV78" s="44"/>
      <c r="BMW78" s="44"/>
      <c r="BMX78" s="44"/>
      <c r="BMY78" s="44"/>
      <c r="BMZ78" s="44"/>
      <c r="BNA78" s="44"/>
      <c r="BNB78" s="44"/>
      <c r="BNC78" s="44"/>
      <c r="BND78" s="44"/>
      <c r="BNE78" s="44"/>
      <c r="BNF78" s="44"/>
      <c r="BNG78" s="44"/>
      <c r="BNH78" s="44"/>
      <c r="BNI78" s="44"/>
      <c r="BNJ78" s="44"/>
      <c r="BNK78" s="44"/>
      <c r="BNL78" s="44"/>
      <c r="BNM78" s="44"/>
      <c r="BNN78" s="44"/>
      <c r="BNO78" s="44"/>
      <c r="BNP78" s="44"/>
      <c r="BNQ78" s="44"/>
      <c r="BNR78" s="44"/>
      <c r="BNS78" s="44"/>
      <c r="BNT78" s="44"/>
      <c r="BNU78" s="44"/>
      <c r="BNV78" s="44"/>
      <c r="BNW78" s="44"/>
      <c r="BNX78" s="44"/>
      <c r="BNY78" s="44"/>
      <c r="BNZ78" s="44"/>
      <c r="BOA78" s="44"/>
      <c r="BOB78" s="44"/>
      <c r="BOC78" s="44"/>
      <c r="BOD78" s="44"/>
      <c r="BOE78" s="44"/>
      <c r="BOF78" s="44"/>
      <c r="BOG78" s="44"/>
      <c r="BOH78" s="44"/>
      <c r="BOI78" s="44"/>
      <c r="BOJ78" s="44"/>
      <c r="BOK78" s="44"/>
      <c r="BOL78" s="44"/>
      <c r="BOM78" s="44"/>
      <c r="BON78" s="44"/>
      <c r="BOO78" s="44"/>
      <c r="BOP78" s="44"/>
      <c r="BOQ78" s="44"/>
      <c r="BOR78" s="44"/>
      <c r="BOS78" s="44"/>
      <c r="BOT78" s="44"/>
      <c r="BOU78" s="44"/>
      <c r="BOV78" s="44"/>
      <c r="BOW78" s="44"/>
      <c r="BOX78" s="44"/>
      <c r="BOY78" s="44"/>
      <c r="BOZ78" s="44"/>
      <c r="BPA78" s="44"/>
      <c r="BPB78" s="44"/>
      <c r="BPC78" s="44"/>
      <c r="BPD78" s="44"/>
      <c r="BPE78" s="44"/>
      <c r="BPF78" s="44"/>
      <c r="BPG78" s="44"/>
      <c r="BPH78" s="44"/>
      <c r="BPI78" s="44"/>
      <c r="BPJ78" s="44"/>
      <c r="BPK78" s="44"/>
      <c r="BPL78" s="44"/>
      <c r="BPM78" s="44"/>
      <c r="BPN78" s="44"/>
      <c r="BPO78" s="44"/>
      <c r="BPP78" s="44"/>
      <c r="BPQ78" s="44"/>
      <c r="BPR78" s="44"/>
      <c r="BPS78" s="44"/>
      <c r="BPT78" s="44"/>
      <c r="BPU78" s="44"/>
      <c r="BPV78" s="44"/>
      <c r="BPW78" s="44"/>
      <c r="BPX78" s="44"/>
      <c r="BPY78" s="44"/>
      <c r="BPZ78" s="44"/>
      <c r="BQA78" s="44"/>
      <c r="BQB78" s="44"/>
      <c r="BQC78" s="44"/>
      <c r="BQD78" s="44"/>
      <c r="BQE78" s="44"/>
      <c r="BQF78" s="44"/>
      <c r="BQG78" s="44"/>
      <c r="BQH78" s="44"/>
      <c r="BQI78" s="44"/>
      <c r="BQJ78" s="44"/>
      <c r="BQK78" s="44"/>
      <c r="BQL78" s="44"/>
      <c r="BQM78" s="44"/>
      <c r="BQN78" s="44"/>
      <c r="BQO78" s="44"/>
      <c r="BQP78" s="44"/>
      <c r="BQQ78" s="44"/>
      <c r="BQR78" s="44"/>
      <c r="BQS78" s="44"/>
      <c r="BQT78" s="44"/>
      <c r="BQU78" s="44"/>
      <c r="BQV78" s="44"/>
      <c r="BQW78" s="44"/>
      <c r="BQX78" s="44"/>
      <c r="BQY78" s="44"/>
      <c r="BQZ78" s="44"/>
      <c r="BRA78" s="44"/>
      <c r="BRB78" s="44"/>
      <c r="BRC78" s="44"/>
      <c r="BRD78" s="44"/>
      <c r="BRE78" s="44"/>
      <c r="BRF78" s="44"/>
      <c r="BRG78" s="44"/>
      <c r="BRH78" s="44"/>
      <c r="BRI78" s="44"/>
      <c r="BRJ78" s="44"/>
      <c r="BRK78" s="44"/>
      <c r="BRL78" s="44"/>
      <c r="BRM78" s="44"/>
      <c r="BRN78" s="44"/>
      <c r="BRO78" s="44"/>
      <c r="BRP78" s="44"/>
      <c r="BRQ78" s="44"/>
      <c r="BRR78" s="44"/>
      <c r="BRS78" s="44"/>
      <c r="BRT78" s="44"/>
      <c r="BRU78" s="44"/>
      <c r="BRV78" s="44"/>
      <c r="BRW78" s="44"/>
      <c r="BRX78" s="44"/>
      <c r="BRY78" s="44"/>
      <c r="BRZ78" s="44"/>
      <c r="BSA78" s="44"/>
      <c r="BSB78" s="44"/>
      <c r="BSC78" s="44"/>
      <c r="BSD78" s="44"/>
      <c r="BSE78" s="44"/>
      <c r="BSF78" s="44"/>
      <c r="BSG78" s="44"/>
      <c r="BSH78" s="44"/>
      <c r="BSI78" s="44"/>
      <c r="BSJ78" s="44"/>
      <c r="BSK78" s="44"/>
      <c r="BSL78" s="44"/>
      <c r="BSM78" s="44"/>
      <c r="BSN78" s="44"/>
      <c r="BSO78" s="44"/>
      <c r="BSP78" s="44"/>
      <c r="BSQ78" s="44"/>
      <c r="BSR78" s="44"/>
      <c r="BSS78" s="44"/>
      <c r="BST78" s="44"/>
      <c r="BSU78" s="44"/>
      <c r="BSV78" s="44"/>
      <c r="BSW78" s="44"/>
      <c r="BSX78" s="44"/>
      <c r="BSY78" s="44"/>
      <c r="BSZ78" s="44"/>
      <c r="BTA78" s="44"/>
      <c r="BTB78" s="44"/>
      <c r="BTC78" s="44"/>
      <c r="BTD78" s="44"/>
      <c r="BTE78" s="44"/>
      <c r="BTF78" s="44"/>
      <c r="BTG78" s="44"/>
      <c r="BTH78" s="44"/>
      <c r="BTI78" s="44"/>
      <c r="BTJ78" s="44"/>
      <c r="BTK78" s="44"/>
      <c r="BTL78" s="44"/>
      <c r="BTM78" s="44"/>
      <c r="BTN78" s="44"/>
      <c r="BTO78" s="44"/>
      <c r="BTP78" s="44"/>
      <c r="BTQ78" s="44"/>
      <c r="BTR78" s="44"/>
      <c r="BTS78" s="44"/>
      <c r="BTT78" s="44"/>
      <c r="BTU78" s="44"/>
      <c r="BTV78" s="44"/>
      <c r="BTW78" s="44"/>
      <c r="BTX78" s="44"/>
      <c r="BTY78" s="44"/>
      <c r="BTZ78" s="44"/>
      <c r="BUA78" s="44"/>
      <c r="BUB78" s="44"/>
      <c r="BUC78" s="44"/>
      <c r="BUD78" s="44"/>
      <c r="BUE78" s="44"/>
      <c r="BUF78" s="44"/>
      <c r="BUG78" s="44"/>
      <c r="BUH78" s="44"/>
      <c r="BUI78" s="44"/>
      <c r="BUJ78" s="44"/>
      <c r="BUK78" s="44"/>
      <c r="BUL78" s="44"/>
      <c r="BUM78" s="44"/>
      <c r="BUN78" s="44"/>
      <c r="BUO78" s="44"/>
      <c r="BUP78" s="44"/>
      <c r="BUQ78" s="44"/>
      <c r="BUR78" s="44"/>
      <c r="BUS78" s="44"/>
      <c r="BUT78" s="44"/>
      <c r="BUU78" s="44"/>
      <c r="BUV78" s="44"/>
      <c r="BUW78" s="44"/>
      <c r="BUX78" s="44"/>
      <c r="BUY78" s="44"/>
      <c r="BUZ78" s="44"/>
      <c r="BVA78" s="44"/>
      <c r="BVB78" s="44"/>
      <c r="BVC78" s="44"/>
      <c r="BVD78" s="44"/>
      <c r="BVE78" s="44"/>
      <c r="BVF78" s="44"/>
      <c r="BVG78" s="44"/>
      <c r="BVH78" s="44"/>
      <c r="BVI78" s="44"/>
      <c r="BVJ78" s="44"/>
      <c r="BVK78" s="44"/>
      <c r="BVL78" s="44"/>
      <c r="BVM78" s="44"/>
      <c r="BVN78" s="44"/>
      <c r="BVO78" s="44"/>
      <c r="BVP78" s="44"/>
      <c r="BVQ78" s="44"/>
      <c r="BVR78" s="44"/>
      <c r="BVS78" s="44"/>
      <c r="BVT78" s="44"/>
      <c r="BVU78" s="44"/>
      <c r="BVV78" s="44"/>
      <c r="BVW78" s="44"/>
      <c r="BVX78" s="44"/>
      <c r="BVY78" s="44"/>
      <c r="BVZ78" s="44"/>
      <c r="BWA78" s="44"/>
      <c r="BWB78" s="44"/>
      <c r="BWC78" s="44"/>
      <c r="BWD78" s="44"/>
      <c r="BWE78" s="44"/>
      <c r="BWF78" s="44"/>
      <c r="BWG78" s="44"/>
      <c r="BWH78" s="44"/>
      <c r="BWI78" s="44"/>
      <c r="BWJ78" s="44"/>
      <c r="BWK78" s="44"/>
      <c r="BWL78" s="44"/>
      <c r="BWM78" s="44"/>
      <c r="BWN78" s="44"/>
      <c r="BWO78" s="44"/>
      <c r="BWP78" s="44"/>
      <c r="BWQ78" s="44"/>
      <c r="BWR78" s="44"/>
      <c r="BWS78" s="44"/>
      <c r="BWT78" s="44"/>
      <c r="BWU78" s="44"/>
      <c r="BWV78" s="44"/>
      <c r="BWW78" s="44"/>
      <c r="BWX78" s="44"/>
      <c r="BWY78" s="44"/>
      <c r="BWZ78" s="44"/>
      <c r="BXA78" s="44"/>
      <c r="BXB78" s="44"/>
      <c r="BXC78" s="44"/>
      <c r="BXD78" s="44"/>
      <c r="BXE78" s="44"/>
      <c r="BXF78" s="44"/>
      <c r="BXG78" s="44"/>
      <c r="BXH78" s="44"/>
      <c r="BXI78" s="44"/>
      <c r="BXJ78" s="44"/>
      <c r="BXK78" s="44"/>
      <c r="BXL78" s="44"/>
      <c r="BXM78" s="44"/>
      <c r="BXN78" s="44"/>
      <c r="BXO78" s="44"/>
      <c r="BXP78" s="44"/>
      <c r="BXQ78" s="44"/>
      <c r="BXR78" s="44"/>
      <c r="BXS78" s="44"/>
      <c r="BXT78" s="44"/>
      <c r="BXU78" s="44"/>
      <c r="BXV78" s="44"/>
      <c r="BXW78" s="44"/>
      <c r="BXX78" s="44"/>
      <c r="BXY78" s="44"/>
      <c r="BXZ78" s="44"/>
      <c r="BYA78" s="44"/>
      <c r="BYB78" s="44"/>
      <c r="BYC78" s="44"/>
      <c r="BYD78" s="44"/>
      <c r="BYE78" s="44"/>
      <c r="BYF78" s="44"/>
      <c r="BYG78" s="44"/>
      <c r="BYH78" s="44"/>
      <c r="BYI78" s="44"/>
      <c r="BYJ78" s="44"/>
      <c r="BYK78" s="44"/>
      <c r="BYL78" s="44"/>
      <c r="BYM78" s="44"/>
      <c r="BYN78" s="44"/>
      <c r="BYO78" s="44"/>
      <c r="BYP78" s="44"/>
      <c r="BYQ78" s="44"/>
      <c r="BYR78" s="44"/>
      <c r="BYS78" s="44"/>
      <c r="BYT78" s="44"/>
      <c r="BYU78" s="44"/>
      <c r="BYV78" s="44"/>
      <c r="BYW78" s="44"/>
      <c r="BYX78" s="44"/>
      <c r="BYY78" s="44"/>
      <c r="BYZ78" s="44"/>
      <c r="BZA78" s="44"/>
      <c r="BZB78" s="44"/>
      <c r="BZC78" s="44"/>
      <c r="BZD78" s="44"/>
      <c r="BZE78" s="44"/>
      <c r="BZF78" s="44"/>
      <c r="BZG78" s="44"/>
      <c r="BZH78" s="44"/>
      <c r="BZI78" s="44"/>
      <c r="BZJ78" s="44"/>
      <c r="BZK78" s="44"/>
      <c r="BZL78" s="44"/>
      <c r="BZM78" s="44"/>
      <c r="BZN78" s="44"/>
      <c r="BZO78" s="44"/>
      <c r="BZP78" s="44"/>
      <c r="BZQ78" s="44"/>
      <c r="BZR78" s="44"/>
      <c r="BZS78" s="44"/>
      <c r="BZT78" s="44"/>
      <c r="BZU78" s="44"/>
      <c r="BZV78" s="44"/>
      <c r="BZW78" s="44"/>
      <c r="BZX78" s="44"/>
      <c r="BZY78" s="44"/>
      <c r="BZZ78" s="44"/>
      <c r="CAA78" s="44"/>
      <c r="CAB78" s="44"/>
      <c r="CAC78" s="44"/>
      <c r="CAD78" s="44"/>
      <c r="CAE78" s="44"/>
      <c r="CAF78" s="44"/>
      <c r="CAG78" s="44"/>
      <c r="CAH78" s="44"/>
      <c r="CAI78" s="44"/>
      <c r="CAJ78" s="44"/>
      <c r="CAK78" s="44"/>
      <c r="CAL78" s="44"/>
      <c r="CAM78" s="44"/>
      <c r="CAN78" s="44"/>
      <c r="CAO78" s="44"/>
      <c r="CAP78" s="44"/>
      <c r="CAQ78" s="44"/>
      <c r="CAR78" s="44"/>
      <c r="CAS78" s="44"/>
      <c r="CAT78" s="44"/>
      <c r="CAU78" s="44"/>
      <c r="CAV78" s="44"/>
      <c r="CAW78" s="44"/>
      <c r="CAX78" s="44"/>
      <c r="CAY78" s="44"/>
      <c r="CAZ78" s="44"/>
      <c r="CBA78" s="44"/>
      <c r="CBB78" s="44"/>
      <c r="CBC78" s="44"/>
      <c r="CBD78" s="44"/>
      <c r="CBE78" s="44"/>
      <c r="CBF78" s="44"/>
      <c r="CBG78" s="44"/>
      <c r="CBH78" s="44"/>
    </row>
    <row r="79" spans="1:2088" x14ac:dyDescent="0.2">
      <c r="A79" s="1" t="s">
        <v>169</v>
      </c>
      <c r="B79" s="57" t="str">
        <f t="shared" ref="B79" si="4">IF(OR(B22="",B23="",B62="",B41="",B35="",B37="",B39="",B38=""),"error: missing input",1/(1+EXP(-(-1.783+ (0.084*B22)+ (-1.026*IF(B23="female",1,IF(B23="male",0,""))) + (-0.526*IF(B35="no",1,IF(OR(B35="yes",B35="status post"),0,""))) + (-0.314*IF(B41="no",1,IF(B41="yes",0,""))) + (-0.412*IF(B38="no",1,IF(B38="yes",0,""))) + (-0.309*IF(B37="no",1,IF(B37="yes",0,""))) + (-0.408*IF(B39="no",1,IF(B39="yes",0,""))) + (-0.309*IF(B33="no",1,0)) + (-0.195*IF(B33="",1,0)) + (-0.006*B62) ))))</f>
        <v>error: missing input</v>
      </c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/>
      <c r="ASM79"/>
      <c r="ASN79"/>
      <c r="ASO79"/>
      <c r="ASP79"/>
      <c r="ASQ79"/>
      <c r="ASR79"/>
      <c r="ASS79"/>
      <c r="AST79"/>
      <c r="ASU79"/>
      <c r="ASV79"/>
      <c r="ASW79"/>
      <c r="ASX79"/>
      <c r="ASY79"/>
      <c r="ASZ79"/>
      <c r="ATA79"/>
      <c r="ATB79"/>
      <c r="ATC79"/>
      <c r="ATD79"/>
      <c r="ATE79"/>
      <c r="ATF79"/>
      <c r="ATG79"/>
      <c r="ATH79"/>
      <c r="ATI79"/>
      <c r="ATJ79"/>
      <c r="ATK79"/>
      <c r="ATL79"/>
      <c r="ATM79"/>
      <c r="ATN79"/>
      <c r="ATO79"/>
      <c r="ATP79"/>
      <c r="ATQ79"/>
      <c r="ATR79"/>
      <c r="ATS79"/>
      <c r="ATT79"/>
      <c r="ATU79"/>
      <c r="ATV79"/>
      <c r="ATW79"/>
      <c r="ATX79"/>
      <c r="ATY79"/>
      <c r="ATZ79"/>
      <c r="AUA79"/>
      <c r="AUB79"/>
      <c r="AUC79"/>
      <c r="AUD79"/>
      <c r="AUE79"/>
      <c r="AUF79"/>
      <c r="AUG79"/>
      <c r="AUH79"/>
      <c r="AUI79"/>
      <c r="AUJ79"/>
      <c r="AUK79"/>
      <c r="AUL79"/>
      <c r="AUM79"/>
      <c r="AUN79"/>
      <c r="AUO79"/>
      <c r="AUP79"/>
      <c r="AUQ79"/>
      <c r="AUR79"/>
      <c r="AUS79"/>
      <c r="AUT79"/>
      <c r="AUU79"/>
      <c r="AUV79"/>
      <c r="AUW79"/>
      <c r="AUX79"/>
      <c r="AUY79"/>
      <c r="AUZ79"/>
      <c r="AVA79"/>
      <c r="AVB79"/>
      <c r="AVC79"/>
      <c r="AVD79"/>
      <c r="AVE79"/>
      <c r="AVF79"/>
      <c r="AVG79"/>
      <c r="AVH79"/>
      <c r="AVI79"/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/>
      <c r="AWM79"/>
      <c r="AWN79"/>
      <c r="AWO79"/>
      <c r="AWP79"/>
      <c r="AWQ79"/>
      <c r="AWR79"/>
      <c r="AWS79"/>
      <c r="AWT79"/>
      <c r="AWU79"/>
      <c r="AWV79"/>
      <c r="AWW79"/>
      <c r="AWX79"/>
      <c r="AWY79"/>
      <c r="AWZ79"/>
      <c r="AXA79"/>
      <c r="AXB79"/>
      <c r="AXC79"/>
      <c r="AXD79"/>
      <c r="AXE79"/>
      <c r="AXF79"/>
      <c r="AXG79"/>
      <c r="AXH79"/>
      <c r="AXI79"/>
      <c r="AXJ79"/>
      <c r="AXK79"/>
      <c r="AXL79"/>
      <c r="AXM79"/>
      <c r="AXN79"/>
      <c r="AXO79"/>
      <c r="AXP79"/>
      <c r="AXQ79"/>
      <c r="AXR79"/>
      <c r="AXS79"/>
      <c r="AXT79"/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/>
      <c r="AYI79"/>
      <c r="AYJ79"/>
      <c r="AYK79"/>
      <c r="AYL79"/>
      <c r="AYM79"/>
      <c r="AYN79"/>
      <c r="AYO79"/>
      <c r="AYP79"/>
      <c r="AYQ79"/>
      <c r="AYR79"/>
      <c r="AYS79"/>
      <c r="AYT79"/>
      <c r="AYU79"/>
      <c r="AYV79"/>
      <c r="AYW79"/>
      <c r="AYX79"/>
      <c r="AYY79"/>
      <c r="AYZ79"/>
      <c r="AZA79"/>
      <c r="AZB79"/>
      <c r="AZC79"/>
      <c r="AZD79"/>
      <c r="AZE79"/>
      <c r="AZF79"/>
      <c r="AZG79"/>
      <c r="AZH79"/>
      <c r="AZI79"/>
      <c r="AZJ79"/>
      <c r="AZK79"/>
      <c r="AZL79"/>
      <c r="AZM79"/>
      <c r="AZN79"/>
      <c r="AZO79"/>
      <c r="AZP79"/>
      <c r="AZQ79"/>
      <c r="AZR79"/>
      <c r="AZS79"/>
      <c r="AZT79"/>
      <c r="AZU79"/>
      <c r="AZV79"/>
      <c r="AZW79"/>
      <c r="AZX79"/>
      <c r="AZY79"/>
      <c r="AZZ79"/>
      <c r="BAA79"/>
      <c r="BAB79"/>
      <c r="BAC79"/>
      <c r="BAD79"/>
      <c r="BAE79"/>
      <c r="BAF79"/>
      <c r="BAG79"/>
      <c r="BAH79"/>
      <c r="BAI79"/>
      <c r="BAJ79"/>
      <c r="BAK79"/>
      <c r="BAL79"/>
      <c r="BAM79"/>
      <c r="BAN79"/>
      <c r="BAO79"/>
      <c r="BAP79"/>
      <c r="BAQ79"/>
      <c r="BAR79"/>
      <c r="BAS79"/>
      <c r="BAT79"/>
      <c r="BAU79"/>
      <c r="BAV79"/>
      <c r="BAW79"/>
      <c r="BAX79"/>
      <c r="BAY79"/>
      <c r="BAZ79"/>
      <c r="BBA79"/>
      <c r="BBB79"/>
      <c r="BBC79"/>
      <c r="BBD79"/>
      <c r="BBE79"/>
      <c r="BBF79"/>
      <c r="BBG79"/>
      <c r="BBH79"/>
      <c r="BBI79"/>
      <c r="BBJ79"/>
      <c r="BBK79"/>
      <c r="BBL79"/>
      <c r="BBM79"/>
      <c r="BBN79"/>
      <c r="BBO79"/>
      <c r="BBP79"/>
      <c r="BBQ79"/>
      <c r="BBR79"/>
      <c r="BBS79"/>
      <c r="BBT79"/>
      <c r="BBU79"/>
      <c r="BBV79"/>
      <c r="BBW79"/>
      <c r="BBX79"/>
      <c r="BBY79"/>
      <c r="BBZ79"/>
      <c r="BCA79"/>
      <c r="BCB79"/>
      <c r="BCC79"/>
      <c r="BCD79"/>
      <c r="BCE79"/>
      <c r="BCF79"/>
      <c r="BCG79"/>
      <c r="BCH79"/>
      <c r="BCI79"/>
      <c r="BCJ79"/>
      <c r="BCK79"/>
      <c r="BCL79"/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/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/>
      <c r="BEN79"/>
      <c r="BEO79"/>
      <c r="BEP79"/>
      <c r="BEQ79"/>
      <c r="BER79"/>
      <c r="BES79"/>
      <c r="BET79"/>
      <c r="BEU79"/>
      <c r="BEV79"/>
      <c r="BEW79"/>
      <c r="BEX79"/>
      <c r="BEY79"/>
      <c r="BEZ79"/>
      <c r="BFA79"/>
      <c r="BFB79"/>
      <c r="BFC79"/>
      <c r="BFD79"/>
      <c r="BFE79"/>
      <c r="BFF79"/>
      <c r="BFG79"/>
      <c r="BFH79"/>
      <c r="BFI79"/>
      <c r="BFJ79"/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/>
      <c r="BFY79"/>
      <c r="BFZ79"/>
      <c r="BGA79"/>
      <c r="BGB79"/>
      <c r="BGC79"/>
      <c r="BGD79"/>
      <c r="BGE79"/>
      <c r="BGF79"/>
      <c r="BGG79"/>
      <c r="BGH79"/>
      <c r="BGI79"/>
      <c r="BGJ79"/>
      <c r="BGK79"/>
      <c r="BGL79"/>
      <c r="BGM79"/>
      <c r="BGN79"/>
      <c r="BGO79"/>
      <c r="BGP79"/>
      <c r="BGQ79"/>
      <c r="BGR79"/>
      <c r="BGS79"/>
      <c r="BGT79"/>
      <c r="BGU79"/>
      <c r="BGV79"/>
      <c r="BGW79"/>
      <c r="BGX79"/>
      <c r="BGY79"/>
      <c r="BGZ79"/>
      <c r="BHA79"/>
      <c r="BHB79"/>
      <c r="BHC79"/>
      <c r="BHD79"/>
      <c r="BHE79"/>
      <c r="BHF79"/>
      <c r="BHG79"/>
      <c r="BHH79"/>
      <c r="BHI79"/>
      <c r="BHJ79"/>
      <c r="BHK79"/>
      <c r="BHL79"/>
      <c r="BHM79"/>
      <c r="BHN79"/>
      <c r="BHO79"/>
      <c r="BHP79"/>
      <c r="BHQ79"/>
      <c r="BHR79"/>
      <c r="BHS79"/>
      <c r="BHT79"/>
      <c r="BHU79"/>
      <c r="BHV79"/>
      <c r="BHW79"/>
      <c r="BHX79"/>
      <c r="BHY79"/>
      <c r="BHZ79"/>
      <c r="BIA79"/>
      <c r="BIB79"/>
      <c r="BIC79"/>
      <c r="BID79"/>
      <c r="BIE79"/>
      <c r="BIF79"/>
      <c r="BIG79"/>
      <c r="BIH79"/>
      <c r="BII79"/>
      <c r="BIJ79"/>
      <c r="BIK79"/>
      <c r="BIL79"/>
      <c r="BIM79"/>
      <c r="BIN79"/>
      <c r="BIO79"/>
      <c r="BIP79"/>
      <c r="BIQ79"/>
      <c r="BIR79"/>
      <c r="BIS79"/>
      <c r="BIT79"/>
      <c r="BIU79"/>
      <c r="BIV79"/>
      <c r="BIW79"/>
      <c r="BIX79"/>
      <c r="BIY79"/>
      <c r="BIZ79"/>
      <c r="BJA79"/>
      <c r="BJB79"/>
      <c r="BJC79"/>
      <c r="BJD79"/>
      <c r="BJE79"/>
      <c r="BJF79"/>
      <c r="BJG79"/>
      <c r="BJH79"/>
      <c r="BJI79"/>
      <c r="BJJ79"/>
      <c r="BJK79"/>
      <c r="BJL79"/>
      <c r="BJM79"/>
      <c r="BJN79"/>
      <c r="BJO79"/>
      <c r="BJP79"/>
      <c r="BJQ79"/>
      <c r="BJR79"/>
      <c r="BJS79"/>
      <c r="BJT79"/>
      <c r="BJU79"/>
      <c r="BJV79"/>
      <c r="BJW79"/>
      <c r="BJX79"/>
      <c r="BJY79"/>
      <c r="BJZ79"/>
      <c r="BKA79"/>
      <c r="BKB79"/>
      <c r="BKC79"/>
      <c r="BKD79"/>
      <c r="BKE79"/>
      <c r="BKF79"/>
      <c r="BKG79"/>
      <c r="BKH79"/>
      <c r="BKI79"/>
      <c r="BKJ79"/>
      <c r="BKK79"/>
      <c r="BKL79"/>
      <c r="BKM79"/>
      <c r="BKN79"/>
      <c r="BKO79"/>
      <c r="BKP79"/>
      <c r="BKQ79"/>
      <c r="BKR79"/>
      <c r="BKS79"/>
      <c r="BKT79"/>
      <c r="BKU79"/>
      <c r="BKV79"/>
      <c r="BKW79"/>
      <c r="BKX79"/>
      <c r="BKY79"/>
      <c r="BKZ79"/>
      <c r="BLA79"/>
      <c r="BLB79"/>
      <c r="BLC79"/>
      <c r="BLD79"/>
      <c r="BLE79"/>
      <c r="BLF79"/>
      <c r="BLG79"/>
      <c r="BLH79"/>
      <c r="BLI79"/>
      <c r="BLJ79"/>
      <c r="BLK79"/>
      <c r="BLL79"/>
      <c r="BLM79"/>
      <c r="BLN79"/>
      <c r="BLO79"/>
      <c r="BLP79"/>
      <c r="BLQ79"/>
      <c r="BLR79"/>
      <c r="BLS79"/>
      <c r="BLT79"/>
      <c r="BLU79"/>
      <c r="BLV79"/>
      <c r="BLW79"/>
      <c r="BLX79"/>
      <c r="BLY79"/>
      <c r="BLZ79"/>
      <c r="BMA79"/>
      <c r="BMB79"/>
      <c r="BMC79"/>
      <c r="BMD79"/>
      <c r="BME79"/>
      <c r="BMF79"/>
      <c r="BMG79"/>
      <c r="BMH79"/>
      <c r="BMI79"/>
      <c r="BMJ79"/>
      <c r="BMK79"/>
      <c r="BML79"/>
      <c r="BMM79"/>
      <c r="BMN79"/>
      <c r="BMO79"/>
      <c r="BMP79"/>
      <c r="BMQ79"/>
      <c r="BMR79"/>
      <c r="BMS79"/>
      <c r="BMT79"/>
      <c r="BMU79"/>
      <c r="BMV79"/>
      <c r="BMW79"/>
      <c r="BMX79"/>
      <c r="BMY79"/>
      <c r="BMZ79"/>
      <c r="BNA79"/>
      <c r="BNB79"/>
      <c r="BNC79"/>
      <c r="BND79"/>
      <c r="BNE79"/>
      <c r="BNF79"/>
      <c r="BNG79"/>
      <c r="BNH79"/>
      <c r="BNI79"/>
      <c r="BNJ79"/>
      <c r="BNK79"/>
      <c r="BNL79"/>
      <c r="BNM79"/>
      <c r="BNN79"/>
      <c r="BNO79"/>
      <c r="BNP79"/>
      <c r="BNQ79"/>
      <c r="BNR79"/>
      <c r="BNS79"/>
      <c r="BNT79"/>
      <c r="BNU79"/>
      <c r="BNV79"/>
      <c r="BNW79"/>
      <c r="BNX79"/>
      <c r="BNY79"/>
      <c r="BNZ79"/>
      <c r="BOA79"/>
      <c r="BOB79"/>
      <c r="BOC79"/>
      <c r="BOD79"/>
      <c r="BOE79"/>
      <c r="BOF79"/>
      <c r="BOG79"/>
      <c r="BOH79"/>
      <c r="BOI79"/>
      <c r="BOJ79"/>
      <c r="BOK79"/>
      <c r="BOL79"/>
      <c r="BOM79"/>
      <c r="BON79"/>
      <c r="BOO79"/>
      <c r="BOP79"/>
      <c r="BOQ79"/>
      <c r="BOR79"/>
      <c r="BOS79"/>
      <c r="BOT79"/>
      <c r="BOU79"/>
      <c r="BOV79"/>
      <c r="BOW79"/>
      <c r="BOX79"/>
      <c r="BOY79"/>
      <c r="BOZ79"/>
      <c r="BPA79"/>
      <c r="BPB79"/>
      <c r="BPC79"/>
      <c r="BPD79"/>
      <c r="BPE79"/>
      <c r="BPF79"/>
      <c r="BPG79"/>
      <c r="BPH79"/>
      <c r="BPI79"/>
      <c r="BPJ79"/>
      <c r="BPK79"/>
      <c r="BPL79"/>
      <c r="BPM79"/>
      <c r="BPN79"/>
      <c r="BPO79"/>
      <c r="BPP79"/>
      <c r="BPQ79"/>
      <c r="BPR79"/>
      <c r="BPS79"/>
      <c r="BPT79"/>
      <c r="BPU79"/>
      <c r="BPV79"/>
      <c r="BPW79"/>
      <c r="BPX79"/>
      <c r="BPY79"/>
      <c r="BPZ79"/>
      <c r="BQA79"/>
      <c r="BQB79"/>
      <c r="BQC79"/>
      <c r="BQD79"/>
      <c r="BQE79"/>
      <c r="BQF79"/>
      <c r="BQG79"/>
      <c r="BQH79"/>
      <c r="BQI79"/>
      <c r="BQJ79"/>
      <c r="BQK79"/>
      <c r="BQL79"/>
      <c r="BQM79"/>
      <c r="BQN79"/>
      <c r="BQO79"/>
      <c r="BQP79"/>
      <c r="BQQ79"/>
      <c r="BQR79"/>
      <c r="BQS79"/>
      <c r="BQT79"/>
      <c r="BQU79"/>
      <c r="BQV79"/>
      <c r="BQW79"/>
      <c r="BQX79"/>
      <c r="BQY79"/>
      <c r="BQZ79"/>
      <c r="BRA79"/>
      <c r="BRB79"/>
      <c r="BRC79"/>
      <c r="BRD79"/>
      <c r="BRE79"/>
      <c r="BRF79"/>
      <c r="BRG79"/>
      <c r="BRH79"/>
      <c r="BRI79"/>
      <c r="BRJ79"/>
      <c r="BRK79"/>
      <c r="BRL79"/>
      <c r="BRM79"/>
      <c r="BRN79"/>
      <c r="BRO79"/>
      <c r="BRP79"/>
      <c r="BRQ79"/>
      <c r="BRR79"/>
      <c r="BRS79"/>
      <c r="BRT79"/>
      <c r="BRU79"/>
      <c r="BRV79"/>
      <c r="BRW79"/>
      <c r="BRX79"/>
      <c r="BRY79"/>
      <c r="BRZ79"/>
      <c r="BSA79"/>
      <c r="BSB79"/>
      <c r="BSC79"/>
      <c r="BSD79"/>
      <c r="BSE79"/>
      <c r="BSF79"/>
      <c r="BSG79"/>
      <c r="BSH79"/>
      <c r="BSI79"/>
      <c r="BSJ79"/>
      <c r="BSK79"/>
      <c r="BSL79"/>
      <c r="BSM79"/>
      <c r="BSN79"/>
      <c r="BSO79"/>
      <c r="BSP79"/>
      <c r="BSQ79"/>
      <c r="BSR79"/>
      <c r="BSS79"/>
      <c r="BST79"/>
      <c r="BSU79"/>
      <c r="BSV79"/>
      <c r="BSW79"/>
      <c r="BSX79"/>
      <c r="BSY79"/>
      <c r="BSZ79"/>
      <c r="BTA79"/>
      <c r="BTB79"/>
      <c r="BTC79"/>
      <c r="BTD79"/>
      <c r="BTE79"/>
      <c r="BTF79"/>
      <c r="BTG79"/>
      <c r="BTH79"/>
      <c r="BTI79"/>
      <c r="BTJ79"/>
      <c r="BTK79"/>
      <c r="BTL79"/>
      <c r="BTM79"/>
      <c r="BTN79"/>
      <c r="BTO79"/>
      <c r="BTP79"/>
      <c r="BTQ79"/>
      <c r="BTR79"/>
      <c r="BTS79"/>
      <c r="BTT79"/>
      <c r="BTU79"/>
      <c r="BTV79"/>
      <c r="BTW79"/>
      <c r="BTX79"/>
      <c r="BTY79"/>
      <c r="BTZ79"/>
      <c r="BUA79"/>
      <c r="BUB79"/>
      <c r="BUC79"/>
      <c r="BUD79"/>
      <c r="BUE79"/>
      <c r="BUF79"/>
      <c r="BUG79"/>
      <c r="BUH79"/>
      <c r="BUI79"/>
      <c r="BUJ79"/>
      <c r="BUK79"/>
      <c r="BUL79"/>
      <c r="BUM79"/>
      <c r="BUN79"/>
      <c r="BUO79"/>
      <c r="BUP79"/>
      <c r="BUQ79"/>
      <c r="BUR79"/>
      <c r="BUS79"/>
      <c r="BUT79"/>
      <c r="BUU79"/>
      <c r="BUV79"/>
      <c r="BUW79"/>
      <c r="BUX79"/>
      <c r="BUY79"/>
      <c r="BUZ79"/>
      <c r="BVA79"/>
      <c r="BVB79"/>
      <c r="BVC79"/>
      <c r="BVD79"/>
      <c r="BVE79"/>
      <c r="BVF79"/>
      <c r="BVG79"/>
      <c r="BVH79"/>
      <c r="BVI79"/>
      <c r="BVJ79"/>
      <c r="BVK79"/>
      <c r="BVL79"/>
      <c r="BVM79"/>
      <c r="BVN79"/>
      <c r="BVO79"/>
      <c r="BVP79"/>
      <c r="BVQ79"/>
      <c r="BVR79"/>
      <c r="BVS79"/>
      <c r="BVT79"/>
      <c r="BVU79"/>
      <c r="BVV79"/>
      <c r="BVW79"/>
      <c r="BVX79"/>
      <c r="BVY79"/>
      <c r="BVZ79"/>
      <c r="BWA79"/>
      <c r="BWB79"/>
      <c r="BWC79"/>
      <c r="BWD79"/>
      <c r="BWE79"/>
      <c r="BWF79"/>
      <c r="BWG79"/>
      <c r="BWH79"/>
      <c r="BWI79"/>
      <c r="BWJ79"/>
      <c r="BWK79"/>
      <c r="BWL79"/>
      <c r="BWM79"/>
      <c r="BWN79"/>
      <c r="BWO79"/>
      <c r="BWP79"/>
      <c r="BWQ79"/>
      <c r="BWR79"/>
      <c r="BWS79"/>
      <c r="BWT79"/>
      <c r="BWU79"/>
      <c r="BWV79"/>
      <c r="BWW79"/>
      <c r="BWX79"/>
      <c r="BWY79"/>
      <c r="BWZ79"/>
      <c r="BXA79"/>
      <c r="BXB79"/>
      <c r="BXC79"/>
      <c r="BXD79"/>
      <c r="BXE79"/>
      <c r="BXF79"/>
      <c r="BXG79"/>
      <c r="BXH79"/>
      <c r="BXI79"/>
      <c r="BXJ79"/>
      <c r="BXK79"/>
      <c r="BXL79"/>
      <c r="BXM79"/>
      <c r="BXN79"/>
      <c r="BXO79"/>
      <c r="BXP79"/>
      <c r="BXQ79"/>
      <c r="BXR79"/>
      <c r="BXS79"/>
      <c r="BXT79"/>
      <c r="BXU79"/>
      <c r="BXV79"/>
      <c r="BXW79"/>
      <c r="BXX79"/>
      <c r="BXY79"/>
      <c r="BXZ79"/>
      <c r="BYA79"/>
      <c r="BYB79"/>
      <c r="BYC79"/>
      <c r="BYD79"/>
      <c r="BYE79"/>
      <c r="BYF79"/>
      <c r="BYG79"/>
      <c r="BYH79"/>
      <c r="BYI79"/>
      <c r="BYJ79"/>
      <c r="BYK79"/>
      <c r="BYL79"/>
      <c r="BYM79"/>
      <c r="BYN79"/>
      <c r="BYO79"/>
      <c r="BYP79"/>
      <c r="BYQ79"/>
      <c r="BYR79"/>
      <c r="BYS79"/>
      <c r="BYT79"/>
      <c r="BYU79"/>
      <c r="BYV79"/>
      <c r="BYW79"/>
      <c r="BYX79"/>
      <c r="BYY79"/>
      <c r="BYZ79"/>
      <c r="BZA79"/>
      <c r="BZB79"/>
      <c r="BZC79"/>
      <c r="BZD79"/>
      <c r="BZE79"/>
      <c r="BZF79"/>
      <c r="BZG79"/>
      <c r="BZH79"/>
      <c r="BZI79"/>
      <c r="BZJ79"/>
      <c r="BZK79"/>
      <c r="BZL79"/>
      <c r="BZM79"/>
      <c r="BZN79"/>
      <c r="BZO79"/>
      <c r="BZP79"/>
      <c r="BZQ79"/>
      <c r="BZR79"/>
      <c r="BZS79"/>
      <c r="BZT79"/>
      <c r="BZU79"/>
      <c r="BZV79"/>
      <c r="BZW79"/>
      <c r="BZX79"/>
      <c r="BZY79"/>
      <c r="BZZ79"/>
      <c r="CAA79"/>
      <c r="CAB79"/>
      <c r="CAC79"/>
      <c r="CAD79"/>
      <c r="CAE79"/>
      <c r="CAF79"/>
      <c r="CAG79"/>
      <c r="CAH79"/>
      <c r="CAI79"/>
      <c r="CAJ79"/>
      <c r="CAK79"/>
      <c r="CAL79"/>
      <c r="CAM79"/>
      <c r="CAN79"/>
      <c r="CAO79"/>
      <c r="CAP79"/>
      <c r="CAQ79"/>
      <c r="CAR79"/>
      <c r="CAS79"/>
      <c r="CAT79"/>
      <c r="CAU79"/>
      <c r="CAV79"/>
      <c r="CAW79"/>
      <c r="CAX79"/>
      <c r="CAY79"/>
      <c r="CAZ79"/>
      <c r="CBA79"/>
      <c r="CBB79"/>
      <c r="CBC79"/>
      <c r="CBD79"/>
      <c r="CBE79"/>
      <c r="CBF79"/>
      <c r="CBG79"/>
      <c r="CBH79"/>
    </row>
    <row r="80" spans="1:2088" x14ac:dyDescent="0.2">
      <c r="A80" t="s">
        <v>163</v>
      </c>
      <c r="B80" s="26" t="str">
        <f t="array" ref="B80">IF(OR(B124="", B121="", B23="", B123=""), "error: missing input", INDEX(scores!$AI$6:$AZ$10, MATCH(B124, scores!$AH$6:$AH$10, 0), (MATCH(B121, scores!$AI$3:$AZ$3, 0)-1) + (IF(B23 = INDEX(scores!$AI$4:$AZ$4, MATCH(B121, scores!$AI$3:$AZ$3, 0)), 0, 1))*3 + MATCH(B123, INDEX(scores!$AI$5:$AZ$5, (MATCH(B121, scores!$AI$3:$AZ$3, 0)-1) + (IF(B23 = INDEX(scores!$AI$4:$AZ$4, MATCH(B121, scores!$AI$3:$AZ$3, 0)), 0, 1))*3 + {1,2,3}), 0)))</f>
        <v>error: missing input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 s="43"/>
      <c r="MP80" s="43"/>
      <c r="MQ80" s="43"/>
      <c r="MR80" s="43"/>
      <c r="MS80" s="43"/>
      <c r="MT80" s="43"/>
      <c r="MU80" s="43"/>
      <c r="MV80" s="43"/>
      <c r="MW80" s="43"/>
      <c r="MX80" s="43"/>
      <c r="MY80" s="43"/>
      <c r="MZ80" s="43"/>
      <c r="NA80" s="43"/>
      <c r="NB80" s="43"/>
      <c r="NC80" s="43"/>
      <c r="ND80" s="43"/>
      <c r="NE80" s="43"/>
      <c r="NF80" s="43"/>
      <c r="NG80" s="43"/>
      <c r="NH80" s="43"/>
      <c r="NI80" s="43"/>
      <c r="NJ80" s="43"/>
      <c r="NK80" s="43"/>
      <c r="NL80" s="43"/>
      <c r="NM80" s="43"/>
      <c r="NN80" s="43"/>
      <c r="NO80" s="43"/>
      <c r="NP80" s="43"/>
      <c r="NQ80" s="43"/>
      <c r="NR80" s="43"/>
      <c r="NS80" s="43"/>
      <c r="NT80" s="43"/>
      <c r="NU80" s="43"/>
      <c r="NV80" s="43"/>
      <c r="NW80" s="43"/>
      <c r="NX80" s="43"/>
      <c r="NY80" s="43"/>
      <c r="NZ80" s="43"/>
      <c r="OA80" s="43"/>
      <c r="OB80" s="43"/>
      <c r="OC80" s="43"/>
      <c r="OD80" s="43"/>
      <c r="OE80" s="43"/>
      <c r="OF80" s="43"/>
      <c r="OG80" s="43"/>
      <c r="OH80" s="43"/>
      <c r="OI80" s="43"/>
      <c r="OJ80" s="43"/>
      <c r="OK80" s="43"/>
      <c r="OL80" s="43"/>
      <c r="OM80" s="43"/>
      <c r="ON80" s="43"/>
      <c r="OO80" s="43"/>
      <c r="OP80" s="43"/>
      <c r="OQ80" s="43"/>
      <c r="OR80" s="43"/>
      <c r="OS80" s="43"/>
      <c r="OT80" s="43"/>
      <c r="OU80" s="43"/>
      <c r="OV80" s="43"/>
      <c r="OW80" s="43"/>
      <c r="OX80" s="43"/>
      <c r="OY80" s="43"/>
      <c r="OZ80" s="43"/>
      <c r="PA80" s="43"/>
      <c r="PB80" s="43"/>
      <c r="PC80" s="43"/>
      <c r="PD80" s="43"/>
      <c r="PE80" s="43"/>
      <c r="PF80" s="43"/>
      <c r="PG80" s="43"/>
      <c r="PH80" s="43"/>
      <c r="PI80" s="43"/>
      <c r="PJ80" s="43"/>
      <c r="PK80" s="43"/>
      <c r="PL80" s="43"/>
      <c r="PM80" s="43"/>
      <c r="PN80" s="43"/>
      <c r="PO80" s="43"/>
      <c r="PP80" s="43"/>
      <c r="PQ80" s="43"/>
      <c r="PR80" s="43"/>
      <c r="PS80" s="43"/>
      <c r="PT80" s="43"/>
      <c r="PU80" s="43"/>
      <c r="PV80" s="43"/>
      <c r="PW80" s="43"/>
      <c r="PX80" s="43"/>
      <c r="PY80" s="43"/>
      <c r="PZ80" s="43"/>
      <c r="QA80" s="43"/>
      <c r="QB80" s="43"/>
      <c r="QC80" s="43"/>
      <c r="QD80" s="43"/>
      <c r="QE80" s="43"/>
      <c r="QF80" s="43"/>
      <c r="QG80" s="43"/>
      <c r="QH80" s="43"/>
      <c r="QI80" s="43"/>
      <c r="QJ80" s="43"/>
      <c r="QK80" s="43"/>
      <c r="QL80" s="43"/>
      <c r="QM80" s="43"/>
      <c r="QN80" s="43"/>
      <c r="QO80" s="43"/>
      <c r="QP80" s="43"/>
      <c r="QQ80" s="43"/>
      <c r="QR80" s="43"/>
      <c r="QS80" s="43"/>
      <c r="QT80" s="43"/>
      <c r="QU80" s="43"/>
      <c r="QV80" s="43"/>
      <c r="QW80" s="43"/>
      <c r="QX80" s="43"/>
      <c r="QY80" s="43"/>
      <c r="QZ80" s="43"/>
      <c r="RA80" s="43"/>
      <c r="RB80" s="43"/>
      <c r="RC80" s="43"/>
      <c r="RD80" s="43"/>
      <c r="RE80" s="43"/>
      <c r="RF80" s="43"/>
      <c r="RG80" s="43"/>
      <c r="RH80" s="43"/>
      <c r="RI80" s="43"/>
      <c r="RJ80" s="43"/>
      <c r="RK80" s="43"/>
      <c r="RL80" s="43"/>
      <c r="RM80" s="43"/>
      <c r="RN80" s="43"/>
      <c r="RO80" s="43"/>
      <c r="RP80" s="43"/>
      <c r="RQ80" s="43"/>
      <c r="RR80" s="43"/>
      <c r="RS80" s="43"/>
      <c r="RT80" s="43"/>
      <c r="RU80" s="43"/>
      <c r="RV80" s="43"/>
      <c r="RW80" s="43"/>
      <c r="RX80" s="43"/>
      <c r="RY80" s="43"/>
      <c r="RZ80" s="43"/>
      <c r="SA80" s="43"/>
      <c r="SB80" s="43"/>
      <c r="SC80" s="43"/>
      <c r="SD80" s="43"/>
      <c r="SE80" s="43"/>
      <c r="SF80" s="43"/>
      <c r="SG80" s="43"/>
      <c r="SH80" s="43"/>
      <c r="SI80" s="43"/>
      <c r="SJ80" s="43"/>
      <c r="SK80" s="43"/>
      <c r="SL80" s="43"/>
      <c r="SM80" s="43"/>
      <c r="SN80" s="43"/>
      <c r="SO80" s="43"/>
      <c r="SP80" s="43"/>
      <c r="SQ80" s="43"/>
      <c r="SR80" s="43"/>
      <c r="SS80" s="43"/>
      <c r="ST80" s="43"/>
      <c r="SU80" s="43"/>
      <c r="SV80" s="43"/>
      <c r="SW80" s="43"/>
      <c r="SX80" s="43"/>
      <c r="SY80" s="43"/>
      <c r="SZ80" s="43"/>
      <c r="TA80" s="43"/>
      <c r="TB80" s="43"/>
      <c r="TC80" s="43"/>
      <c r="TD80" s="43"/>
      <c r="TE80" s="43"/>
      <c r="TF80" s="43"/>
      <c r="TG80" s="43"/>
      <c r="TH80" s="43"/>
      <c r="TI80" s="43"/>
      <c r="TJ80" s="43"/>
      <c r="TK80" s="43"/>
      <c r="TL80" s="43"/>
      <c r="TM80" s="43"/>
      <c r="TN80" s="43"/>
      <c r="TO80" s="43"/>
      <c r="TP80" s="43"/>
      <c r="TQ80" s="43"/>
      <c r="TR80" s="43"/>
      <c r="TS80" s="43"/>
      <c r="TT80" s="43"/>
      <c r="TU80" s="43"/>
      <c r="TV80" s="43"/>
      <c r="TW80" s="43"/>
      <c r="TX80" s="43"/>
      <c r="TY80" s="43"/>
      <c r="TZ80" s="43"/>
      <c r="UA80" s="43"/>
      <c r="UB80" s="43"/>
      <c r="UC80" s="43"/>
      <c r="UD80" s="43"/>
      <c r="UE80" s="43"/>
      <c r="UF80" s="43"/>
      <c r="UG80" s="43"/>
      <c r="UH80" s="43"/>
      <c r="UI80" s="43"/>
      <c r="UJ80" s="43"/>
      <c r="UK80" s="43"/>
      <c r="UL80" s="43"/>
      <c r="UM80" s="43"/>
      <c r="UN80" s="43"/>
      <c r="UO80" s="43"/>
      <c r="UP80" s="43"/>
      <c r="UQ80" s="43"/>
      <c r="UR80" s="43"/>
      <c r="US80" s="43"/>
      <c r="UT80" s="43"/>
      <c r="UU80" s="43"/>
      <c r="UV80" s="43"/>
      <c r="UW80" s="43"/>
      <c r="UX80" s="43"/>
      <c r="UY80" s="43"/>
      <c r="UZ80" s="43"/>
      <c r="VA80" s="43"/>
      <c r="VB80" s="43"/>
      <c r="VC80" s="43"/>
      <c r="VD80" s="43"/>
      <c r="VE80" s="43"/>
      <c r="VF80" s="43"/>
      <c r="VG80" s="43"/>
      <c r="VH80" s="43"/>
      <c r="VI80" s="43"/>
      <c r="VJ80" s="43"/>
      <c r="VK80" s="43"/>
      <c r="VL80" s="43"/>
      <c r="VM80" s="43"/>
      <c r="VN80" s="43"/>
      <c r="VO80" s="43"/>
      <c r="VP80" s="43"/>
      <c r="VQ80" s="43"/>
      <c r="VR80" s="43"/>
      <c r="VS80" s="43"/>
      <c r="VT80" s="43"/>
      <c r="VU80" s="43"/>
      <c r="VV80" s="43"/>
      <c r="VW80" s="43"/>
      <c r="VX80" s="43"/>
      <c r="VY80" s="43"/>
      <c r="VZ80" s="43"/>
      <c r="WA80" s="43"/>
      <c r="WB80" s="43"/>
      <c r="WC80" s="43"/>
      <c r="WD80" s="43"/>
      <c r="WE80" s="43"/>
      <c r="WF80" s="43"/>
      <c r="WG80" s="43"/>
      <c r="WH80" s="43"/>
      <c r="WI80" s="43"/>
      <c r="WJ80" s="43"/>
      <c r="WK80" s="43"/>
      <c r="WL80" s="43"/>
      <c r="WM80" s="43"/>
      <c r="WN80" s="43"/>
      <c r="WO80" s="43"/>
      <c r="WP80" s="43"/>
      <c r="WQ80" s="43"/>
      <c r="WR80" s="43"/>
      <c r="WS80" s="43"/>
      <c r="WT80" s="43"/>
      <c r="WU80" s="43"/>
      <c r="WV80" s="43"/>
      <c r="WW80" s="43"/>
      <c r="WX80" s="43"/>
      <c r="WY80" s="43"/>
      <c r="WZ80" s="43"/>
      <c r="XA80" s="43"/>
      <c r="XB80" s="43"/>
      <c r="XC80" s="43"/>
      <c r="XD80" s="43"/>
      <c r="XE80" s="43"/>
      <c r="XF80" s="43"/>
      <c r="XG80" s="43"/>
      <c r="XH80" s="43"/>
      <c r="XI80" s="43"/>
      <c r="XJ80" s="43"/>
      <c r="XK80" s="43"/>
      <c r="XL80" s="43"/>
      <c r="XM80" s="43"/>
      <c r="XN80" s="43"/>
      <c r="XO80" s="43"/>
      <c r="XP80" s="43"/>
      <c r="XQ80" s="43"/>
      <c r="XR80" s="43"/>
      <c r="XS80" s="43"/>
      <c r="XT80" s="43"/>
      <c r="XU80" s="43"/>
      <c r="XV80" s="43"/>
      <c r="XW80" s="43"/>
      <c r="XX80" s="43"/>
      <c r="XY80" s="43"/>
      <c r="XZ80" s="43"/>
      <c r="YA80" s="43"/>
      <c r="YB80" s="43"/>
      <c r="YC80" s="43"/>
      <c r="YD80" s="43"/>
      <c r="YE80" s="43"/>
      <c r="YF80" s="43"/>
      <c r="YG80" s="43"/>
      <c r="YH80" s="43"/>
      <c r="YI80" s="43"/>
      <c r="YJ80" s="43"/>
      <c r="YK80" s="43"/>
      <c r="YL80" s="43"/>
      <c r="YM80" s="43"/>
      <c r="YN80" s="43"/>
      <c r="YO80" s="43"/>
      <c r="YP80" s="43"/>
      <c r="YQ80" s="43"/>
      <c r="YR80" s="43"/>
      <c r="YS80" s="43"/>
      <c r="YT80" s="43"/>
      <c r="YU80" s="43"/>
      <c r="YV80" s="43"/>
      <c r="YW80" s="43"/>
      <c r="YX80" s="43"/>
      <c r="YY80" s="43"/>
      <c r="YZ80" s="43"/>
      <c r="ZA80" s="43"/>
      <c r="ZB80" s="43"/>
      <c r="ZC80" s="43"/>
      <c r="ZD80" s="43"/>
      <c r="ZE80" s="43"/>
      <c r="ZF80" s="43"/>
      <c r="ZG80" s="43"/>
      <c r="ZH80" s="43"/>
      <c r="ZI80" s="43"/>
      <c r="ZJ80" s="43"/>
      <c r="ZK80" s="43"/>
      <c r="ZL80" s="43"/>
      <c r="ZM80" s="43"/>
      <c r="ZN80" s="43"/>
      <c r="ZO80" s="43"/>
      <c r="ZP80" s="43"/>
      <c r="ZQ80" s="43"/>
      <c r="ZR80" s="43"/>
      <c r="ZS80" s="43"/>
      <c r="ZT80" s="43"/>
      <c r="ZU80" s="43"/>
      <c r="ZV80" s="43"/>
      <c r="ZW80" s="43"/>
      <c r="ZX80" s="43"/>
      <c r="ZY80" s="43"/>
      <c r="ZZ80" s="43"/>
      <c r="AAA80" s="43"/>
      <c r="AAB80" s="43"/>
      <c r="AAC80" s="43"/>
      <c r="AAD80" s="43"/>
      <c r="AAE80" s="43"/>
      <c r="AAF80" s="43"/>
      <c r="AAG80" s="43"/>
      <c r="AAH80" s="43"/>
      <c r="AAI80" s="43"/>
      <c r="AAJ80" s="43"/>
      <c r="AAK80" s="43"/>
      <c r="AAL80" s="43"/>
      <c r="AAM80" s="43"/>
      <c r="AAN80" s="43"/>
      <c r="AAO80" s="43"/>
      <c r="AAP80" s="43"/>
      <c r="AAQ80" s="43"/>
      <c r="AAR80" s="43"/>
      <c r="AAS80" s="43"/>
      <c r="AAT80" s="43"/>
      <c r="AAU80" s="43"/>
      <c r="AAV80" s="43"/>
      <c r="AAW80" s="43"/>
      <c r="AAX80" s="43"/>
      <c r="AAY80" s="43"/>
      <c r="AAZ80" s="43"/>
      <c r="ABA80" s="43"/>
      <c r="ABB80" s="43"/>
      <c r="ABC80" s="43"/>
      <c r="ABD80" s="43"/>
      <c r="ABE80" s="43"/>
      <c r="ABF80" s="43"/>
      <c r="ABG80" s="43"/>
      <c r="ABH80" s="43"/>
      <c r="ABI80" s="43"/>
      <c r="ABJ80" s="43"/>
      <c r="ABK80" s="43"/>
      <c r="ABL80" s="43"/>
      <c r="ABM80" s="43"/>
      <c r="ABN80" s="43"/>
      <c r="ABO80" s="43"/>
      <c r="ABP80" s="43"/>
      <c r="ABQ80" s="43"/>
      <c r="ABR80" s="43"/>
      <c r="ABS80" s="43"/>
      <c r="ABT80" s="43"/>
      <c r="ABU80" s="43"/>
      <c r="ABV80" s="43"/>
      <c r="ABW80" s="43"/>
      <c r="ABX80" s="43"/>
      <c r="ABY80" s="43"/>
      <c r="ABZ80" s="43"/>
      <c r="ACA80" s="43"/>
      <c r="ACB80" s="43"/>
      <c r="ACC80" s="43"/>
      <c r="ACD80" s="43"/>
      <c r="ACE80" s="43"/>
      <c r="ACF80" s="43"/>
      <c r="ACG80" s="43"/>
      <c r="ACH80" s="43"/>
      <c r="ACI80" s="43"/>
      <c r="ACJ80" s="43"/>
      <c r="ACK80" s="43"/>
      <c r="ACL80" s="43"/>
      <c r="ACM80" s="43"/>
      <c r="ACN80" s="43"/>
      <c r="ACO80" s="43"/>
      <c r="ACP80" s="43"/>
      <c r="ACQ80" s="43"/>
      <c r="ACR80" s="43"/>
      <c r="ACS80" s="43"/>
      <c r="ACT80" s="43"/>
      <c r="ACU80" s="43"/>
      <c r="ACV80" s="43"/>
      <c r="ACW80" s="43"/>
      <c r="ACX80" s="43"/>
      <c r="ACY80" s="43"/>
      <c r="ACZ80" s="43"/>
      <c r="ADA80" s="43"/>
      <c r="ADB80" s="43"/>
      <c r="ADC80" s="43"/>
      <c r="ADD80" s="43"/>
      <c r="ADE80" s="43"/>
      <c r="ADF80" s="43"/>
      <c r="ADG80" s="43"/>
      <c r="ADH80" s="43"/>
      <c r="ADI80" s="43"/>
      <c r="ADJ80" s="43"/>
      <c r="ADK80" s="43"/>
      <c r="ADL80" s="43"/>
      <c r="ADM80" s="43"/>
      <c r="ADN80" s="43"/>
      <c r="ADO80" s="43"/>
      <c r="ADP80" s="43"/>
      <c r="ADQ80" s="43"/>
      <c r="ADR80" s="43"/>
      <c r="ADS80" s="43"/>
      <c r="ADT80" s="43"/>
      <c r="ADU80" s="43"/>
      <c r="ADV80" s="43"/>
      <c r="ADW80" s="43"/>
      <c r="ADX80" s="43"/>
      <c r="ADY80" s="43"/>
      <c r="ADZ80" s="43"/>
      <c r="AEA80" s="43"/>
      <c r="AEB80" s="43"/>
      <c r="AEC80" s="43"/>
      <c r="AED80" s="43"/>
      <c r="AEE80" s="43"/>
      <c r="AEF80" s="43"/>
      <c r="AEG80" s="43"/>
      <c r="AEH80" s="43"/>
      <c r="AEI80" s="43"/>
      <c r="AEJ80" s="43"/>
      <c r="AEK80" s="43"/>
      <c r="AEL80" s="43"/>
      <c r="AEM80" s="43"/>
      <c r="AEN80" s="43"/>
      <c r="AEO80" s="43"/>
      <c r="AEP80" s="43"/>
      <c r="AEQ80" s="43"/>
      <c r="AER80" s="43"/>
      <c r="AES80" s="43"/>
      <c r="AET80" s="43"/>
      <c r="AEU80" s="43"/>
      <c r="AEV80" s="43"/>
      <c r="AEW80" s="43"/>
      <c r="AEX80" s="43"/>
      <c r="AEY80" s="43"/>
      <c r="AEZ80" s="43"/>
      <c r="AFA80" s="43"/>
      <c r="AFB80" s="43"/>
      <c r="AFC80" s="43"/>
      <c r="AFD80" s="43"/>
      <c r="AFE80" s="43"/>
      <c r="AFF80" s="43"/>
      <c r="AFG80" s="43"/>
      <c r="AFH80" s="43"/>
      <c r="AFI80" s="43"/>
      <c r="AFJ80" s="43"/>
      <c r="AFK80" s="43"/>
      <c r="AFL80" s="43"/>
      <c r="AFM80" s="43"/>
      <c r="AFN80" s="43"/>
      <c r="AFO80" s="43"/>
      <c r="AFP80" s="43"/>
      <c r="AFQ80" s="43"/>
      <c r="AFR80" s="43"/>
      <c r="AFS80" s="43"/>
      <c r="AFT80" s="43"/>
      <c r="AFU80" s="43"/>
      <c r="AFV80" s="43"/>
      <c r="AFW80" s="43"/>
      <c r="AFX80" s="43"/>
      <c r="AFY80" s="43"/>
      <c r="AFZ80" s="43"/>
      <c r="AGA80" s="43"/>
      <c r="AGB80" s="43"/>
      <c r="AGC80" s="43"/>
      <c r="AGD80" s="43"/>
      <c r="AGE80" s="43"/>
      <c r="AGF80" s="43"/>
      <c r="AGG80" s="43"/>
      <c r="AGH80" s="43"/>
      <c r="AGI80" s="43"/>
      <c r="AGJ80" s="43"/>
      <c r="AGK80" s="43"/>
      <c r="AGL80" s="43"/>
      <c r="AGM80" s="43"/>
      <c r="AGN80" s="43"/>
      <c r="AGO80" s="43"/>
      <c r="AGP80" s="43"/>
      <c r="AGQ80" s="43"/>
      <c r="AGR80" s="43"/>
      <c r="AGS80" s="43"/>
      <c r="AGT80" s="43"/>
      <c r="AGU80" s="43"/>
      <c r="AGV80" s="43"/>
      <c r="AGW80" s="43"/>
      <c r="AGX80" s="43"/>
      <c r="AGY80" s="43"/>
      <c r="AGZ80" s="43"/>
      <c r="AHA80" s="43"/>
      <c r="AHB80" s="43"/>
      <c r="AHC80" s="43"/>
      <c r="AHD80" s="43"/>
      <c r="AHE80" s="43"/>
      <c r="AHF80" s="43"/>
      <c r="AHG80" s="43"/>
      <c r="AHH80" s="43"/>
      <c r="AHI80" s="43"/>
      <c r="AHJ80" s="43"/>
      <c r="AHK80" s="43"/>
      <c r="AHL80" s="43"/>
      <c r="AHM80" s="43"/>
      <c r="AHN80" s="43"/>
      <c r="AHO80" s="43"/>
      <c r="AHP80" s="43"/>
      <c r="AHQ80" s="43"/>
      <c r="AHR80" s="43"/>
      <c r="AHS80" s="43"/>
      <c r="AHT80" s="43"/>
      <c r="AHU80" s="43"/>
      <c r="AHV80" s="43"/>
      <c r="AHW80" s="43"/>
      <c r="AHX80" s="43"/>
      <c r="AHY80" s="43"/>
      <c r="AHZ80" s="43"/>
      <c r="AIA80" s="43"/>
      <c r="AIB80" s="43"/>
      <c r="AIC80" s="43"/>
      <c r="AID80" s="43"/>
      <c r="AIE80" s="43"/>
      <c r="AIF80" s="43"/>
      <c r="AIG80" s="43"/>
      <c r="AIH80" s="43"/>
      <c r="AII80" s="43"/>
      <c r="AIJ80" s="43"/>
      <c r="AIK80" s="43"/>
      <c r="AIL80" s="43"/>
      <c r="AIM80" s="43"/>
      <c r="AIN80" s="43"/>
      <c r="AIO80" s="43"/>
      <c r="AIP80" s="43"/>
      <c r="AIQ80" s="43"/>
      <c r="AIR80" s="43"/>
      <c r="AIS80" s="43"/>
      <c r="AIT80" s="43"/>
      <c r="AIU80" s="43"/>
      <c r="AIV80" s="43"/>
      <c r="AIW80" s="43"/>
      <c r="AIX80" s="43"/>
      <c r="AIY80" s="43"/>
      <c r="AIZ80" s="43"/>
      <c r="AJA80" s="43"/>
      <c r="AJB80" s="43"/>
      <c r="AJC80" s="43"/>
      <c r="AJD80" s="43"/>
      <c r="AJE80" s="43"/>
      <c r="AJF80" s="43"/>
      <c r="AJG80" s="43"/>
      <c r="AJH80" s="43"/>
      <c r="AJI80" s="43"/>
      <c r="AJJ80" s="43"/>
      <c r="AJK80" s="43"/>
      <c r="AJL80" s="43"/>
      <c r="AJM80" s="43"/>
      <c r="AJN80" s="43"/>
      <c r="AJO80" s="43"/>
      <c r="AJP80" s="43"/>
      <c r="AJQ80" s="43"/>
      <c r="AJR80" s="43"/>
      <c r="AJS80" s="43"/>
      <c r="AJT80" s="43"/>
      <c r="AJU80" s="43"/>
      <c r="AJV80" s="43"/>
      <c r="AJW80" s="43"/>
      <c r="AJX80" s="43"/>
      <c r="AJY80" s="43"/>
      <c r="AJZ80" s="43"/>
      <c r="AKA80" s="43"/>
      <c r="AKB80" s="43"/>
      <c r="AKC80" s="43"/>
      <c r="AKD80" s="43"/>
      <c r="AKE80" s="43"/>
      <c r="AKF80" s="43"/>
      <c r="AKG80" s="43"/>
      <c r="AKH80" s="43"/>
      <c r="AKI80" s="43"/>
      <c r="AKJ80" s="43"/>
      <c r="AKK80" s="43"/>
      <c r="AKL80" s="43"/>
      <c r="AKM80" s="43"/>
      <c r="AKN80" s="43"/>
      <c r="AKO80" s="43"/>
      <c r="AKP80" s="43"/>
      <c r="AKQ80" s="43"/>
      <c r="AKR80" s="43"/>
      <c r="AKS80" s="43"/>
      <c r="AKT80" s="43"/>
      <c r="AKU80" s="43"/>
      <c r="AKV80" s="43"/>
      <c r="AKW80" s="43"/>
      <c r="AKX80" s="43"/>
      <c r="AKY80" s="43"/>
      <c r="AKZ80" s="43"/>
      <c r="ALA80" s="43"/>
      <c r="ALB80" s="43"/>
      <c r="ALC80" s="43"/>
      <c r="ALD80" s="43"/>
      <c r="ALE80" s="43"/>
      <c r="ALF80" s="43"/>
      <c r="ALG80" s="43"/>
      <c r="ALH80" s="43"/>
      <c r="ALI80" s="43"/>
      <c r="ALJ80" s="43"/>
      <c r="ALK80" s="43"/>
      <c r="ALL80" s="43"/>
      <c r="ALM80" s="43"/>
      <c r="ALN80" s="43"/>
      <c r="ALO80" s="43"/>
      <c r="ALP80" s="43"/>
      <c r="ALQ80" s="43"/>
      <c r="ALR80" s="43"/>
      <c r="ALS80" s="43"/>
      <c r="ALT80" s="43"/>
      <c r="ALU80" s="43"/>
      <c r="ALV80" s="43"/>
      <c r="ALW80" s="43"/>
      <c r="ALX80" s="43"/>
      <c r="ALY80" s="43"/>
      <c r="ALZ80" s="43"/>
      <c r="AMA80" s="43"/>
      <c r="AMB80" s="43"/>
      <c r="AMC80" s="43"/>
      <c r="AMD80" s="43"/>
      <c r="AME80" s="43"/>
      <c r="AMF80" s="43"/>
      <c r="AMG80" s="43"/>
      <c r="AMH80" s="43"/>
      <c r="AMI80" s="43"/>
      <c r="AMJ80" s="43"/>
      <c r="AMK80" s="43"/>
      <c r="AML80" s="43"/>
      <c r="AMM80" s="43"/>
      <c r="AMN80" s="43"/>
      <c r="AMO80" s="43"/>
      <c r="AMP80" s="43"/>
      <c r="AMQ80" s="43"/>
      <c r="AMR80" s="43"/>
      <c r="AMS80" s="43"/>
      <c r="AMT80" s="43"/>
      <c r="AMU80" s="43"/>
      <c r="AMV80" s="43"/>
      <c r="AMW80" s="43"/>
      <c r="AMX80" s="43"/>
      <c r="AMY80" s="43"/>
      <c r="AMZ80" s="43"/>
      <c r="ANA80" s="43"/>
      <c r="ANB80" s="43"/>
      <c r="ANC80" s="43"/>
      <c r="AND80" s="43"/>
      <c r="ANE80" s="43"/>
      <c r="ANF80" s="43"/>
      <c r="ANG80" s="43"/>
      <c r="ANH80" s="43"/>
      <c r="ANI80" s="43"/>
      <c r="ANJ80" s="43"/>
      <c r="ANK80" s="43"/>
      <c r="ANL80" s="43"/>
      <c r="ANM80" s="43"/>
      <c r="ANN80" s="43"/>
      <c r="ANO80" s="43"/>
      <c r="ANP80" s="43"/>
      <c r="ANQ80" s="43"/>
      <c r="ANR80" s="43"/>
      <c r="ANS80" s="43"/>
      <c r="ANT80" s="43"/>
      <c r="ANU80" s="43"/>
      <c r="ANV80" s="43"/>
      <c r="ANW80" s="43"/>
      <c r="ANX80" s="43"/>
      <c r="ANY80" s="43"/>
      <c r="ANZ80" s="43"/>
      <c r="AOA80" s="43"/>
      <c r="AOB80" s="43"/>
      <c r="AOC80" s="43"/>
      <c r="AOD80" s="43"/>
      <c r="AOE80" s="43"/>
      <c r="AOF80" s="43"/>
      <c r="AOG80" s="43"/>
      <c r="AOH80" s="43"/>
      <c r="AOI80" s="43"/>
      <c r="AOJ80" s="43"/>
      <c r="AOK80" s="43"/>
      <c r="AOL80" s="43"/>
      <c r="AOM80" s="43"/>
      <c r="AON80" s="43"/>
      <c r="AOO80" s="43"/>
      <c r="AOP80" s="43"/>
      <c r="AOQ80" s="43"/>
      <c r="AOR80" s="43"/>
      <c r="AOS80" s="43"/>
      <c r="AOT80" s="43"/>
      <c r="AOU80" s="43"/>
      <c r="AOV80" s="43"/>
      <c r="AOW80" s="43"/>
      <c r="AOX80" s="43"/>
      <c r="AOY80" s="43"/>
      <c r="AOZ80" s="43"/>
      <c r="APA80" s="43"/>
      <c r="APB80" s="43"/>
      <c r="APC80" s="43"/>
      <c r="APD80" s="43"/>
      <c r="APE80" s="43"/>
      <c r="APF80" s="43"/>
      <c r="APG80" s="43"/>
      <c r="APH80" s="43"/>
      <c r="API80" s="43"/>
      <c r="APJ80" s="43"/>
      <c r="APK80" s="43"/>
      <c r="APL80" s="43"/>
      <c r="APM80" s="43"/>
      <c r="APN80" s="43"/>
      <c r="APO80" s="43"/>
      <c r="APP80" s="43"/>
      <c r="APQ80" s="43"/>
      <c r="APR80" s="43"/>
      <c r="APS80" s="43"/>
      <c r="APT80" s="43"/>
      <c r="APU80" s="43"/>
      <c r="APV80" s="43"/>
      <c r="APW80" s="43"/>
      <c r="APX80" s="43"/>
      <c r="APY80" s="43"/>
      <c r="APZ80" s="43"/>
      <c r="AQA80" s="43"/>
      <c r="AQB80" s="43"/>
      <c r="AQC80" s="43"/>
      <c r="AQD80" s="43"/>
      <c r="AQE80" s="43"/>
      <c r="AQF80" s="43"/>
      <c r="AQG80" s="43"/>
      <c r="AQH80" s="43"/>
      <c r="AQI80" s="43"/>
      <c r="AQJ80" s="43"/>
      <c r="AQK80" s="43"/>
      <c r="AQL80" s="43"/>
      <c r="AQM80" s="43"/>
      <c r="AQN80" s="43"/>
      <c r="AQO80" s="43"/>
      <c r="AQP80" s="43"/>
      <c r="AQQ80" s="43"/>
      <c r="AQR80" s="43"/>
      <c r="AQS80" s="43"/>
      <c r="AQT80" s="43"/>
      <c r="AQU80" s="43"/>
      <c r="AQV80" s="43"/>
      <c r="AQW80" s="43"/>
      <c r="AQX80" s="43"/>
      <c r="AQY80" s="43"/>
      <c r="AQZ80" s="43"/>
      <c r="ARA80" s="43"/>
      <c r="ARB80" s="43"/>
      <c r="ARC80" s="43"/>
      <c r="ARD80" s="43"/>
      <c r="ARE80" s="43"/>
      <c r="ARF80" s="43"/>
      <c r="ARG80" s="43"/>
      <c r="ARH80" s="43"/>
      <c r="ARI80" s="43"/>
      <c r="ARJ80" s="43"/>
      <c r="ARK80" s="43"/>
      <c r="ARL80" s="43"/>
      <c r="ARM80" s="43"/>
      <c r="ARN80" s="43"/>
      <c r="ARO80" s="43"/>
      <c r="ARP80" s="43"/>
      <c r="ARQ80" s="43"/>
      <c r="ARR80" s="43"/>
      <c r="ARS80" s="43"/>
      <c r="ART80" s="43"/>
      <c r="ARU80" s="43"/>
      <c r="ARV80" s="43"/>
      <c r="ARW80" s="43"/>
      <c r="ARX80" s="43"/>
      <c r="ARY80" s="43"/>
      <c r="ARZ80" s="43"/>
      <c r="ASA80" s="43"/>
      <c r="ASB80" s="43"/>
      <c r="ASC80" s="43"/>
      <c r="ASD80" s="43"/>
      <c r="ASE80" s="43"/>
      <c r="ASF80" s="43"/>
      <c r="ASG80" s="43"/>
      <c r="ASH80" s="43"/>
      <c r="ASI80" s="43"/>
      <c r="ASJ80" s="43"/>
      <c r="ASK80" s="43"/>
      <c r="ASL80" s="43"/>
      <c r="ASM80" s="43"/>
      <c r="ASN80" s="43"/>
      <c r="ASO80" s="43"/>
      <c r="ASP80" s="43"/>
      <c r="ASQ80" s="43"/>
      <c r="ASR80" s="43"/>
      <c r="ASS80" s="43"/>
      <c r="AST80" s="43"/>
      <c r="ASU80" s="43"/>
      <c r="ASV80" s="43"/>
      <c r="ASW80" s="43"/>
      <c r="ASX80" s="43"/>
      <c r="ASY80" s="43"/>
      <c r="ASZ80" s="43"/>
      <c r="ATA80" s="43"/>
      <c r="ATB80" s="43"/>
      <c r="ATC80" s="43"/>
      <c r="ATD80" s="43"/>
      <c r="ATE80" s="43"/>
      <c r="ATF80" s="43"/>
      <c r="ATG80" s="43"/>
      <c r="ATH80" s="43"/>
      <c r="ATI80" s="43"/>
      <c r="ATJ80" s="43"/>
      <c r="ATK80" s="43"/>
      <c r="ATL80" s="43"/>
      <c r="ATM80" s="43"/>
      <c r="ATN80" s="43"/>
      <c r="ATO80" s="43"/>
      <c r="ATP80" s="43"/>
      <c r="ATQ80" s="43"/>
      <c r="ATR80" s="43"/>
      <c r="ATS80" s="43"/>
      <c r="ATT80" s="43"/>
      <c r="ATU80" s="43"/>
      <c r="ATV80" s="43"/>
      <c r="ATW80" s="43"/>
      <c r="ATX80" s="43"/>
      <c r="ATY80" s="43"/>
      <c r="ATZ80" s="43"/>
      <c r="AUA80" s="43"/>
      <c r="AUB80" s="43"/>
      <c r="AUC80" s="43"/>
      <c r="AUD80" s="43"/>
      <c r="AUE80" s="43"/>
      <c r="AUF80" s="43"/>
      <c r="AUG80" s="43"/>
      <c r="AUH80" s="43"/>
      <c r="AUI80" s="43"/>
      <c r="AUJ80" s="43"/>
      <c r="AUK80" s="43"/>
      <c r="AUL80" s="43"/>
      <c r="AUM80" s="43"/>
      <c r="AUN80" s="43"/>
      <c r="AUO80" s="43"/>
      <c r="AUP80" s="43"/>
      <c r="AUQ80" s="43"/>
      <c r="AUR80" s="43"/>
      <c r="AUS80" s="43"/>
      <c r="AUT80" s="43"/>
      <c r="AUU80" s="43"/>
      <c r="AUV80" s="43"/>
      <c r="AUW80" s="43"/>
      <c r="AUX80" s="43"/>
      <c r="AUY80" s="43"/>
      <c r="AUZ80" s="43"/>
      <c r="AVA80" s="43"/>
      <c r="AVB80" s="43"/>
      <c r="AVC80" s="43"/>
      <c r="AVD80" s="43"/>
      <c r="AVE80" s="43"/>
      <c r="AVF80" s="43"/>
      <c r="AVG80" s="43"/>
      <c r="AVH80" s="43"/>
      <c r="AVI80" s="43"/>
      <c r="AVJ80" s="43"/>
      <c r="AVK80" s="43"/>
      <c r="AVL80" s="43"/>
      <c r="AVM80" s="43"/>
      <c r="AVN80" s="43"/>
      <c r="AVO80" s="43"/>
      <c r="AVP80" s="43"/>
      <c r="AVQ80" s="43"/>
      <c r="AVR80" s="43"/>
      <c r="AVS80" s="43"/>
      <c r="AVT80" s="43"/>
      <c r="AVU80" s="43"/>
      <c r="AVV80" s="43"/>
      <c r="AVW80" s="43"/>
      <c r="AVX80" s="43"/>
      <c r="AVY80" s="43"/>
      <c r="AVZ80" s="43"/>
      <c r="AWA80" s="43"/>
      <c r="AWB80" s="43"/>
      <c r="AWC80" s="43"/>
      <c r="AWD80" s="43"/>
      <c r="AWE80" s="43"/>
      <c r="AWF80" s="43"/>
      <c r="AWG80" s="43"/>
      <c r="AWH80" s="43"/>
      <c r="AWI80" s="43"/>
      <c r="AWJ80" s="43"/>
      <c r="AWK80" s="43"/>
      <c r="AWL80" s="43"/>
      <c r="AWM80" s="43"/>
      <c r="AWN80" s="43"/>
      <c r="AWO80" s="43"/>
      <c r="AWP80" s="43"/>
      <c r="AWQ80" s="43"/>
      <c r="AWR80" s="43"/>
      <c r="AWS80" s="43"/>
      <c r="AWT80" s="43"/>
      <c r="AWU80" s="43"/>
      <c r="AWV80" s="43"/>
      <c r="AWW80" s="43"/>
      <c r="AWX80" s="43"/>
      <c r="AWY80" s="43"/>
      <c r="AWZ80" s="43"/>
      <c r="AXA80" s="43"/>
      <c r="AXB80" s="43"/>
      <c r="AXC80" s="43"/>
      <c r="AXD80" s="43"/>
      <c r="AXE80" s="43"/>
      <c r="AXF80" s="43"/>
      <c r="AXG80" s="43"/>
      <c r="AXH80" s="43"/>
      <c r="AXI80" s="43"/>
      <c r="AXJ80" s="43"/>
      <c r="AXK80" s="43"/>
      <c r="AXL80" s="43"/>
      <c r="AXM80" s="43"/>
      <c r="AXN80" s="43"/>
      <c r="AXO80" s="43"/>
      <c r="AXP80" s="43"/>
      <c r="AXQ80" s="43"/>
      <c r="AXR80" s="43"/>
      <c r="AXS80" s="43"/>
      <c r="AXT80" s="43"/>
      <c r="AXU80" s="43"/>
      <c r="AXV80" s="43"/>
      <c r="AXW80" s="43"/>
      <c r="AXX80" s="43"/>
      <c r="AXY80" s="43"/>
      <c r="AXZ80" s="43"/>
      <c r="AYA80" s="43"/>
      <c r="AYB80" s="43"/>
      <c r="AYC80" s="43"/>
      <c r="AYD80" s="43"/>
      <c r="AYE80" s="43"/>
      <c r="AYF80" s="43"/>
      <c r="AYG80" s="43"/>
      <c r="AYH80" s="43"/>
      <c r="AYI80" s="43"/>
      <c r="AYJ80" s="43"/>
      <c r="AYK80" s="43"/>
      <c r="AYL80" s="43"/>
      <c r="AYM80" s="43"/>
      <c r="AYN80" s="43"/>
      <c r="AYO80" s="43"/>
      <c r="AYP80" s="43"/>
      <c r="AYQ80" s="43"/>
      <c r="AYR80" s="43"/>
      <c r="AYS80" s="43"/>
      <c r="AYT80" s="43"/>
      <c r="AYU80" s="43"/>
      <c r="AYV80" s="43"/>
      <c r="AYW80" s="43"/>
      <c r="AYX80" s="43"/>
      <c r="AYY80" s="43"/>
      <c r="AYZ80" s="43"/>
      <c r="AZA80" s="43"/>
      <c r="AZB80" s="43"/>
      <c r="AZC80" s="43"/>
      <c r="AZD80" s="43"/>
      <c r="AZE80" s="43"/>
      <c r="AZF80" s="43"/>
      <c r="AZG80" s="43"/>
      <c r="AZH80" s="43"/>
      <c r="AZI80" s="43"/>
      <c r="AZJ80" s="43"/>
      <c r="AZK80" s="43"/>
      <c r="AZL80" s="43"/>
      <c r="AZM80" s="43"/>
      <c r="AZN80" s="43"/>
      <c r="AZO80" s="43"/>
      <c r="AZP80" s="43"/>
      <c r="AZQ80" s="43"/>
      <c r="AZR80" s="43"/>
      <c r="AZS80" s="43"/>
      <c r="AZT80" s="43"/>
      <c r="AZU80" s="43"/>
      <c r="AZV80" s="43"/>
      <c r="AZW80" s="43"/>
      <c r="AZX80" s="43"/>
      <c r="AZY80" s="43"/>
      <c r="AZZ80" s="43"/>
      <c r="BAA80" s="43"/>
      <c r="BAB80" s="43"/>
      <c r="BAC80" s="43"/>
      <c r="BAD80" s="43"/>
      <c r="BAE80" s="43"/>
      <c r="BAF80" s="43"/>
      <c r="BAG80" s="43"/>
      <c r="BAH80" s="43"/>
      <c r="BAI80" s="43"/>
      <c r="BAJ80" s="43"/>
      <c r="BAK80" s="43"/>
      <c r="BAL80" s="43"/>
      <c r="BAM80" s="43"/>
      <c r="BAN80" s="43"/>
      <c r="BAO80" s="43"/>
      <c r="BAP80" s="43"/>
      <c r="BAQ80" s="43"/>
      <c r="BAR80" s="43"/>
      <c r="BAS80" s="43"/>
      <c r="BAT80" s="43"/>
      <c r="BAU80" s="43"/>
      <c r="BAV80" s="43"/>
      <c r="BAW80" s="43"/>
      <c r="BAX80" s="43"/>
      <c r="BAY80" s="43"/>
      <c r="BAZ80" s="43"/>
      <c r="BBA80" s="43"/>
      <c r="BBB80" s="43"/>
      <c r="BBC80" s="43"/>
      <c r="BBD80" s="43"/>
      <c r="BBE80" s="43"/>
      <c r="BBF80" s="43"/>
      <c r="BBG80" s="43"/>
      <c r="BBH80" s="43"/>
      <c r="BBI80" s="43"/>
      <c r="BBJ80" s="43"/>
      <c r="BBK80" s="43"/>
      <c r="BBL80" s="43"/>
      <c r="BBM80" s="43"/>
      <c r="BBN80" s="43"/>
      <c r="BBO80" s="43"/>
      <c r="BBP80" s="43"/>
      <c r="BBQ80" s="43"/>
      <c r="BBR80" s="43"/>
      <c r="BBS80" s="43"/>
      <c r="BBT80" s="43"/>
      <c r="BBU80" s="43"/>
      <c r="BBV80" s="43"/>
      <c r="BBW80" s="43"/>
      <c r="BBX80" s="43"/>
      <c r="BBY80" s="43"/>
      <c r="BBZ80" s="43"/>
      <c r="BCA80" s="43"/>
      <c r="BCB80" s="43"/>
      <c r="BCC80" s="43"/>
      <c r="BCD80" s="43"/>
      <c r="BCE80" s="43"/>
      <c r="BCF80" s="43"/>
      <c r="BCG80" s="43"/>
      <c r="BCH80" s="43"/>
      <c r="BCI80" s="43"/>
      <c r="BCJ80" s="43"/>
      <c r="BCK80" s="43"/>
      <c r="BCL80" s="43"/>
      <c r="BCM80" s="43"/>
      <c r="BCN80" s="43"/>
      <c r="BCO80" s="43"/>
      <c r="BCP80" s="43"/>
      <c r="BCQ80" s="43"/>
      <c r="BCR80" s="43"/>
      <c r="BCS80" s="43"/>
      <c r="BCT80" s="43"/>
      <c r="BCU80" s="43"/>
      <c r="BCV80" s="43"/>
      <c r="BCW80" s="43"/>
      <c r="BCX80" s="43"/>
      <c r="BCY80" s="43"/>
      <c r="BCZ80" s="43"/>
      <c r="BDA80" s="43"/>
      <c r="BDB80" s="43"/>
      <c r="BDC80" s="43"/>
      <c r="BDD80" s="43"/>
      <c r="BDE80" s="43"/>
      <c r="BDF80" s="43"/>
      <c r="BDG80" s="43"/>
      <c r="BDH80" s="43"/>
      <c r="BDI80" s="43"/>
      <c r="BDJ80" s="43"/>
      <c r="BDK80" s="43"/>
      <c r="BDL80" s="43"/>
      <c r="BDM80" s="43"/>
      <c r="BDN80" s="43"/>
      <c r="BDO80" s="43"/>
      <c r="BDP80" s="43"/>
      <c r="BDQ80" s="43"/>
      <c r="BDR80" s="43"/>
      <c r="BDS80" s="43"/>
      <c r="BDT80" s="43"/>
      <c r="BDU80" s="43"/>
      <c r="BDV80" s="43"/>
      <c r="BDW80" s="43"/>
      <c r="BDX80" s="43"/>
      <c r="BDY80" s="43"/>
      <c r="BDZ80" s="43"/>
      <c r="BEA80" s="43"/>
      <c r="BEB80" s="43"/>
      <c r="BEC80" s="43"/>
      <c r="BED80" s="43"/>
      <c r="BEE80" s="43"/>
      <c r="BEF80" s="43"/>
      <c r="BEG80" s="43"/>
      <c r="BEH80" s="43"/>
      <c r="BEI80" s="43"/>
      <c r="BEJ80" s="43"/>
      <c r="BEK80" s="43"/>
      <c r="BEL80" s="43"/>
      <c r="BEM80" s="43"/>
      <c r="BEN80" s="43"/>
      <c r="BEO80" s="43"/>
      <c r="BEP80" s="43"/>
      <c r="BEQ80" s="43"/>
      <c r="BER80" s="43"/>
      <c r="BES80" s="43"/>
      <c r="BET80" s="43"/>
      <c r="BEU80" s="43"/>
      <c r="BEV80" s="43"/>
      <c r="BEW80" s="43"/>
      <c r="BEX80" s="43"/>
      <c r="BEY80" s="43"/>
      <c r="BEZ80" s="43"/>
      <c r="BFA80" s="43"/>
      <c r="BFB80" s="43"/>
      <c r="BFC80" s="43"/>
      <c r="BFD80" s="43"/>
      <c r="BFE80" s="43"/>
      <c r="BFF80" s="43"/>
      <c r="BFG80" s="43"/>
      <c r="BFH80" s="43"/>
      <c r="BFI80" s="43"/>
      <c r="BFJ80" s="43"/>
      <c r="BFK80" s="43"/>
      <c r="BFL80" s="43"/>
      <c r="BFM80" s="43"/>
      <c r="BFN80" s="43"/>
      <c r="BFO80" s="43"/>
      <c r="BFP80" s="43"/>
      <c r="BFQ80" s="43"/>
      <c r="BFR80" s="43"/>
      <c r="BFS80" s="43"/>
      <c r="BFT80" s="43"/>
      <c r="BFU80" s="43"/>
      <c r="BFV80" s="43"/>
      <c r="BFW80" s="43"/>
      <c r="BFX80" s="43"/>
      <c r="BFY80" s="43"/>
      <c r="BFZ80" s="43"/>
      <c r="BGA80" s="43"/>
      <c r="BGB80" s="43"/>
      <c r="BGC80" s="43"/>
      <c r="BGD80" s="43"/>
      <c r="BGE80" s="43"/>
      <c r="BGF80" s="43"/>
      <c r="BGG80" s="43"/>
      <c r="BGH80" s="43"/>
      <c r="BGI80" s="43"/>
      <c r="BGJ80" s="43"/>
      <c r="BGK80" s="43"/>
      <c r="BGL80" s="43"/>
      <c r="BGM80" s="43"/>
      <c r="BGN80" s="43"/>
      <c r="BGO80" s="43"/>
      <c r="BGP80" s="43"/>
      <c r="BGQ80" s="43"/>
      <c r="BGR80" s="43"/>
      <c r="BGS80" s="43"/>
      <c r="BGT80" s="43"/>
      <c r="BGU80" s="43"/>
      <c r="BGV80" s="43"/>
      <c r="BGW80" s="43"/>
      <c r="BGX80" s="43"/>
      <c r="BGY80" s="43"/>
      <c r="BGZ80" s="43"/>
      <c r="BHA80" s="43"/>
      <c r="BHB80" s="43"/>
      <c r="BHC80" s="43"/>
      <c r="BHD80" s="43"/>
      <c r="BHE80" s="43"/>
      <c r="BHF80" s="43"/>
      <c r="BHG80" s="43"/>
      <c r="BHH80" s="43"/>
      <c r="BHI80" s="43"/>
      <c r="BHJ80" s="43"/>
      <c r="BHK80" s="43"/>
      <c r="BHL80" s="43"/>
      <c r="BHM80" s="43"/>
      <c r="BHN80" s="43"/>
      <c r="BHO80" s="43"/>
      <c r="BHP80" s="43"/>
      <c r="BHQ80" s="43"/>
      <c r="BHR80" s="43"/>
      <c r="BHS80" s="43"/>
      <c r="BHT80" s="43"/>
      <c r="BHU80" s="43"/>
      <c r="BHV80" s="43"/>
      <c r="BHW80" s="43"/>
      <c r="BHX80" s="43"/>
      <c r="BHY80" s="43"/>
      <c r="BHZ80" s="43"/>
      <c r="BIA80" s="43"/>
      <c r="BIB80" s="43"/>
      <c r="BIC80" s="43"/>
      <c r="BID80" s="43"/>
      <c r="BIE80" s="43"/>
      <c r="BIF80" s="43"/>
      <c r="BIG80" s="43"/>
      <c r="BIH80" s="43"/>
      <c r="BII80" s="43"/>
      <c r="BIJ80" s="43"/>
      <c r="BIK80" s="43"/>
      <c r="BIL80" s="43"/>
      <c r="BIM80" s="43"/>
      <c r="BIN80" s="43"/>
      <c r="BIO80" s="43"/>
      <c r="BIP80" s="43"/>
      <c r="BIQ80" s="43"/>
      <c r="BIR80" s="43"/>
      <c r="BIS80" s="43"/>
      <c r="BIT80" s="43"/>
      <c r="BIU80" s="43"/>
      <c r="BIV80" s="43"/>
      <c r="BIW80" s="43"/>
      <c r="BIX80" s="43"/>
      <c r="BIY80" s="43"/>
      <c r="BIZ80" s="43"/>
      <c r="BJA80" s="43"/>
      <c r="BJB80" s="43"/>
      <c r="BJC80" s="43"/>
      <c r="BJD80" s="43"/>
      <c r="BJE80" s="43"/>
      <c r="BJF80" s="43"/>
      <c r="BJG80" s="43"/>
      <c r="BJH80" s="43"/>
      <c r="BJI80" s="43"/>
      <c r="BJJ80" s="43"/>
      <c r="BJK80" s="43"/>
      <c r="BJL80" s="43"/>
      <c r="BJM80" s="43"/>
      <c r="BJN80" s="43"/>
      <c r="BJO80" s="43"/>
      <c r="BJP80" s="43"/>
      <c r="BJQ80" s="43"/>
      <c r="BJR80" s="43"/>
      <c r="BJS80" s="43"/>
      <c r="BJT80" s="43"/>
      <c r="BJU80" s="43"/>
      <c r="BJV80" s="43"/>
      <c r="BJW80" s="43"/>
      <c r="BJX80" s="43"/>
      <c r="BJY80" s="43"/>
      <c r="BJZ80" s="43"/>
      <c r="BKA80" s="43"/>
      <c r="BKB80" s="43"/>
      <c r="BKC80" s="43"/>
      <c r="BKD80" s="43"/>
      <c r="BKE80" s="43"/>
      <c r="BKF80" s="43"/>
      <c r="BKG80" s="43"/>
      <c r="BKH80" s="43"/>
      <c r="BKI80" s="43"/>
      <c r="BKJ80" s="43"/>
      <c r="BKK80" s="43"/>
      <c r="BKL80" s="43"/>
      <c r="BKM80" s="43"/>
      <c r="BKN80" s="43"/>
      <c r="BKO80" s="43"/>
      <c r="BKP80" s="43"/>
      <c r="BKQ80" s="43"/>
      <c r="BKR80" s="43"/>
      <c r="BKS80" s="43"/>
      <c r="BKT80" s="43"/>
      <c r="BKU80" s="43"/>
      <c r="BKV80" s="43"/>
      <c r="BKW80" s="43"/>
      <c r="BKX80" s="43"/>
      <c r="BKY80" s="43"/>
      <c r="BKZ80" s="43"/>
      <c r="BLA80" s="43"/>
      <c r="BLB80" s="43"/>
      <c r="BLC80" s="43"/>
      <c r="BLD80" s="43"/>
      <c r="BLE80" s="43"/>
      <c r="BLF80" s="43"/>
      <c r="BLG80" s="43"/>
      <c r="BLH80" s="43"/>
      <c r="BLI80" s="43"/>
      <c r="BLJ80" s="43"/>
      <c r="BLK80" s="43"/>
      <c r="BLL80" s="43"/>
      <c r="BLM80" s="43"/>
      <c r="BLN80" s="43"/>
      <c r="BLO80" s="43"/>
      <c r="BLP80" s="43"/>
      <c r="BLQ80" s="43"/>
      <c r="BLR80" s="43"/>
      <c r="BLS80" s="43"/>
      <c r="BLT80" s="43"/>
      <c r="BLU80" s="43"/>
      <c r="BLV80" s="43"/>
      <c r="BLW80" s="43"/>
      <c r="BLX80" s="43"/>
      <c r="BLY80" s="43"/>
      <c r="BLZ80" s="43"/>
      <c r="BMA80" s="43"/>
      <c r="BMB80" s="43"/>
      <c r="BMC80" s="43"/>
      <c r="BMD80" s="43"/>
      <c r="BME80" s="43"/>
      <c r="BMF80" s="43"/>
      <c r="BMG80" s="43"/>
      <c r="BMH80" s="43"/>
      <c r="BMI80" s="43"/>
      <c r="BMJ80" s="43"/>
      <c r="BMK80" s="43"/>
      <c r="BML80" s="43"/>
      <c r="BMM80" s="43"/>
      <c r="BMN80" s="43"/>
      <c r="BMO80" s="43"/>
      <c r="BMP80" s="43"/>
      <c r="BMQ80" s="43"/>
      <c r="BMR80" s="43"/>
      <c r="BMS80" s="43"/>
      <c r="BMT80" s="43"/>
      <c r="BMU80" s="43"/>
      <c r="BMV80" s="43"/>
      <c r="BMW80" s="43"/>
      <c r="BMX80" s="43"/>
      <c r="BMY80" s="43"/>
      <c r="BMZ80" s="43"/>
      <c r="BNA80" s="43"/>
      <c r="BNB80" s="43"/>
      <c r="BNC80" s="43"/>
      <c r="BND80" s="43"/>
      <c r="BNE80" s="43"/>
      <c r="BNF80" s="43"/>
      <c r="BNG80" s="43"/>
      <c r="BNH80" s="43"/>
      <c r="BNI80" s="43"/>
      <c r="BNJ80" s="43"/>
      <c r="BNK80" s="43"/>
      <c r="BNL80" s="43"/>
      <c r="BNM80" s="43"/>
      <c r="BNN80" s="43"/>
      <c r="BNO80" s="43"/>
      <c r="BNP80" s="43"/>
      <c r="BNQ80" s="43"/>
      <c r="BNR80" s="43"/>
      <c r="BNS80" s="43"/>
      <c r="BNT80" s="43"/>
      <c r="BNU80" s="43"/>
      <c r="BNV80" s="43"/>
      <c r="BNW80" s="43"/>
      <c r="BNX80" s="43"/>
      <c r="BNY80" s="43"/>
      <c r="BNZ80" s="43"/>
      <c r="BOA80" s="43"/>
      <c r="BOB80" s="43"/>
      <c r="BOC80" s="43"/>
      <c r="BOD80" s="43"/>
      <c r="BOE80" s="43"/>
      <c r="BOF80" s="43"/>
      <c r="BOG80" s="43"/>
      <c r="BOH80" s="43"/>
      <c r="BOI80" s="43"/>
      <c r="BOJ80" s="43"/>
      <c r="BOK80" s="43"/>
      <c r="BOL80" s="43"/>
      <c r="BOM80" s="43"/>
      <c r="BON80" s="43"/>
      <c r="BOO80" s="43"/>
      <c r="BOP80" s="43"/>
      <c r="BOQ80" s="43"/>
      <c r="BOR80" s="43"/>
      <c r="BOS80" s="43"/>
      <c r="BOT80" s="43"/>
      <c r="BOU80" s="43"/>
      <c r="BOV80" s="43"/>
      <c r="BOW80" s="43"/>
      <c r="BOX80" s="43"/>
      <c r="BOY80" s="43"/>
      <c r="BOZ80" s="43"/>
      <c r="BPA80" s="43"/>
      <c r="BPB80" s="43"/>
      <c r="BPC80" s="43"/>
      <c r="BPD80" s="43"/>
      <c r="BPE80" s="43"/>
      <c r="BPF80" s="43"/>
      <c r="BPG80" s="43"/>
      <c r="BPH80" s="43"/>
      <c r="BPI80" s="43"/>
      <c r="BPJ80" s="43"/>
      <c r="BPK80" s="43"/>
      <c r="BPL80" s="43"/>
      <c r="BPM80" s="43"/>
      <c r="BPN80" s="43"/>
      <c r="BPO80" s="43"/>
      <c r="BPP80" s="43"/>
      <c r="BPQ80" s="43"/>
      <c r="BPR80" s="43"/>
      <c r="BPS80" s="43"/>
      <c r="BPT80" s="43"/>
      <c r="BPU80" s="43"/>
      <c r="BPV80" s="43"/>
      <c r="BPW80" s="43"/>
      <c r="BPX80" s="43"/>
      <c r="BPY80" s="43"/>
      <c r="BPZ80" s="43"/>
      <c r="BQA80" s="43"/>
      <c r="BQB80" s="43"/>
      <c r="BQC80" s="43"/>
      <c r="BQD80" s="43"/>
      <c r="BQE80" s="43"/>
      <c r="BQF80" s="43"/>
      <c r="BQG80" s="43"/>
      <c r="BQH80" s="43"/>
      <c r="BQI80" s="43"/>
      <c r="BQJ80" s="43"/>
      <c r="BQK80" s="43"/>
      <c r="BQL80" s="43"/>
      <c r="BQM80" s="43"/>
      <c r="BQN80" s="43"/>
      <c r="BQO80" s="43"/>
      <c r="BQP80" s="43"/>
      <c r="BQQ80" s="43"/>
      <c r="BQR80" s="43"/>
      <c r="BQS80" s="43"/>
      <c r="BQT80" s="43"/>
      <c r="BQU80" s="43"/>
      <c r="BQV80" s="43"/>
      <c r="BQW80" s="43"/>
      <c r="BQX80" s="43"/>
      <c r="BQY80" s="43"/>
      <c r="BQZ80" s="43"/>
      <c r="BRA80" s="43"/>
      <c r="BRB80" s="43"/>
      <c r="BRC80" s="43"/>
      <c r="BRD80" s="43"/>
      <c r="BRE80" s="43"/>
      <c r="BRF80" s="43"/>
      <c r="BRG80" s="43"/>
      <c r="BRH80" s="43"/>
      <c r="BRI80" s="43"/>
      <c r="BRJ80" s="43"/>
      <c r="BRK80" s="43"/>
      <c r="BRL80" s="43"/>
      <c r="BRM80" s="43"/>
      <c r="BRN80" s="43"/>
      <c r="BRO80" s="43"/>
      <c r="BRP80" s="43"/>
      <c r="BRQ80" s="43"/>
      <c r="BRR80" s="43"/>
      <c r="BRS80" s="43"/>
      <c r="BRT80" s="43"/>
      <c r="BRU80" s="43"/>
      <c r="BRV80" s="43"/>
      <c r="BRW80" s="43"/>
      <c r="BRX80" s="43"/>
      <c r="BRY80" s="43"/>
      <c r="BRZ80" s="43"/>
      <c r="BSA80" s="43"/>
      <c r="BSB80" s="43"/>
      <c r="BSC80" s="43"/>
      <c r="BSD80" s="43"/>
      <c r="BSE80" s="43"/>
      <c r="BSF80" s="43"/>
      <c r="BSG80" s="43"/>
      <c r="BSH80" s="43"/>
      <c r="BSI80" s="43"/>
      <c r="BSJ80" s="43"/>
      <c r="BSK80" s="43"/>
      <c r="BSL80" s="43"/>
      <c r="BSM80" s="43"/>
      <c r="BSN80" s="43"/>
      <c r="BSO80" s="43"/>
      <c r="BSP80" s="43"/>
      <c r="BSQ80" s="43"/>
      <c r="BSR80" s="43"/>
      <c r="BSS80" s="43"/>
      <c r="BST80" s="43"/>
      <c r="BSU80" s="43"/>
      <c r="BSV80" s="43"/>
      <c r="BSW80" s="43"/>
      <c r="BSX80" s="43"/>
      <c r="BSY80" s="43"/>
      <c r="BSZ80" s="43"/>
      <c r="BTA80" s="43"/>
      <c r="BTB80" s="43"/>
      <c r="BTC80" s="43"/>
      <c r="BTD80" s="43"/>
      <c r="BTE80" s="43"/>
      <c r="BTF80" s="43"/>
      <c r="BTG80" s="43"/>
      <c r="BTH80" s="43"/>
      <c r="BTI80" s="43"/>
      <c r="BTJ80" s="43"/>
      <c r="BTK80" s="43"/>
      <c r="BTL80" s="43"/>
      <c r="BTM80" s="43"/>
      <c r="BTN80" s="43"/>
      <c r="BTO80" s="43"/>
      <c r="BTP80" s="43"/>
      <c r="BTQ80" s="43"/>
      <c r="BTR80" s="43"/>
      <c r="BTS80" s="43"/>
      <c r="BTT80" s="43"/>
      <c r="BTU80" s="43"/>
      <c r="BTV80" s="43"/>
      <c r="BTW80" s="43"/>
      <c r="BTX80" s="43"/>
      <c r="BTY80" s="43"/>
      <c r="BTZ80" s="43"/>
      <c r="BUA80" s="43"/>
      <c r="BUB80" s="43"/>
      <c r="BUC80" s="43"/>
      <c r="BUD80" s="43"/>
      <c r="BUE80" s="43"/>
      <c r="BUF80" s="43"/>
      <c r="BUG80" s="43"/>
      <c r="BUH80" s="43"/>
      <c r="BUI80" s="43"/>
      <c r="BUJ80" s="43"/>
      <c r="BUK80" s="43"/>
      <c r="BUL80" s="43"/>
      <c r="BUM80" s="43"/>
      <c r="BUN80" s="43"/>
      <c r="BUO80" s="43"/>
      <c r="BUP80" s="43"/>
      <c r="BUQ80" s="43"/>
      <c r="BUR80" s="43"/>
      <c r="BUS80" s="43"/>
      <c r="BUT80" s="43"/>
      <c r="BUU80" s="43"/>
      <c r="BUV80" s="43"/>
      <c r="BUW80" s="43"/>
      <c r="BUX80" s="43"/>
      <c r="BUY80" s="43"/>
      <c r="BUZ80" s="43"/>
      <c r="BVA80" s="43"/>
      <c r="BVB80" s="43"/>
      <c r="BVC80" s="43"/>
      <c r="BVD80" s="43"/>
      <c r="BVE80" s="43"/>
      <c r="BVF80" s="43"/>
      <c r="BVG80" s="43"/>
      <c r="BVH80" s="43"/>
      <c r="BVI80" s="43"/>
      <c r="BVJ80" s="43"/>
      <c r="BVK80" s="43"/>
      <c r="BVL80" s="43"/>
      <c r="BVM80" s="43"/>
      <c r="BVN80" s="43"/>
      <c r="BVO80" s="43"/>
      <c r="BVP80" s="43"/>
      <c r="BVQ80" s="43"/>
      <c r="BVR80" s="43"/>
      <c r="BVS80" s="43"/>
      <c r="BVT80" s="43"/>
      <c r="BVU80" s="43"/>
      <c r="BVV80" s="43"/>
      <c r="BVW80" s="43"/>
      <c r="BVX80" s="43"/>
      <c r="BVY80" s="43"/>
      <c r="BVZ80" s="43"/>
      <c r="BWA80" s="43"/>
      <c r="BWB80" s="43"/>
      <c r="BWC80" s="43"/>
      <c r="BWD80" s="43"/>
      <c r="BWE80" s="43"/>
      <c r="BWF80" s="43"/>
      <c r="BWG80" s="43"/>
      <c r="BWH80" s="43"/>
      <c r="BWI80" s="43"/>
      <c r="BWJ80" s="43"/>
      <c r="BWK80" s="43"/>
      <c r="BWL80" s="43"/>
      <c r="BWM80" s="43"/>
      <c r="BWN80" s="43"/>
      <c r="BWO80" s="43"/>
      <c r="BWP80" s="43"/>
      <c r="BWQ80" s="43"/>
      <c r="BWR80" s="43"/>
      <c r="BWS80" s="43"/>
      <c r="BWT80" s="43"/>
      <c r="BWU80" s="43"/>
      <c r="BWV80" s="43"/>
      <c r="BWW80" s="43"/>
      <c r="BWX80" s="43"/>
      <c r="BWY80" s="43"/>
      <c r="BWZ80" s="43"/>
      <c r="BXA80" s="43"/>
      <c r="BXB80" s="43"/>
      <c r="BXC80" s="43"/>
      <c r="BXD80" s="43"/>
      <c r="BXE80" s="43"/>
      <c r="BXF80" s="43"/>
      <c r="BXG80" s="43"/>
      <c r="BXH80" s="43"/>
      <c r="BXI80" s="43"/>
      <c r="BXJ80" s="43"/>
      <c r="BXK80" s="43"/>
      <c r="BXL80" s="43"/>
      <c r="BXM80" s="43"/>
      <c r="BXN80" s="43"/>
      <c r="BXO80" s="43"/>
      <c r="BXP80" s="43"/>
      <c r="BXQ80" s="43"/>
      <c r="BXR80" s="43"/>
      <c r="BXS80" s="43"/>
      <c r="BXT80" s="43"/>
      <c r="BXU80" s="43"/>
      <c r="BXV80" s="43"/>
      <c r="BXW80" s="43"/>
      <c r="BXX80" s="43"/>
      <c r="BXY80" s="43"/>
      <c r="BXZ80" s="43"/>
      <c r="BYA80" s="43"/>
      <c r="BYB80" s="43"/>
      <c r="BYC80" s="43"/>
      <c r="BYD80" s="43"/>
      <c r="BYE80" s="43"/>
      <c r="BYF80" s="43"/>
      <c r="BYG80" s="43"/>
      <c r="BYH80" s="43"/>
      <c r="BYI80" s="43"/>
      <c r="BYJ80" s="43"/>
      <c r="BYK80" s="43"/>
      <c r="BYL80" s="43"/>
      <c r="BYM80" s="43"/>
      <c r="BYN80" s="43"/>
      <c r="BYO80" s="43"/>
      <c r="BYP80" s="43"/>
      <c r="BYQ80" s="43"/>
      <c r="BYR80" s="43"/>
      <c r="BYS80" s="43"/>
      <c r="BYT80" s="43"/>
      <c r="BYU80" s="43"/>
      <c r="BYV80" s="43"/>
      <c r="BYW80" s="43"/>
      <c r="BYX80" s="43"/>
      <c r="BYY80" s="43"/>
      <c r="BYZ80" s="43"/>
      <c r="BZA80" s="43"/>
      <c r="BZB80" s="43"/>
      <c r="BZC80" s="43"/>
      <c r="BZD80" s="43"/>
      <c r="BZE80" s="43"/>
      <c r="BZF80" s="43"/>
      <c r="BZG80" s="43"/>
      <c r="BZH80" s="43"/>
      <c r="BZI80" s="43"/>
      <c r="BZJ80" s="43"/>
      <c r="BZK80" s="43"/>
      <c r="BZL80" s="43"/>
      <c r="BZM80" s="43"/>
      <c r="BZN80" s="43"/>
      <c r="BZO80" s="43"/>
      <c r="BZP80" s="43"/>
      <c r="BZQ80" s="43"/>
      <c r="BZR80" s="43"/>
      <c r="BZS80" s="43"/>
      <c r="BZT80" s="43"/>
      <c r="BZU80" s="43"/>
      <c r="BZV80" s="43"/>
      <c r="BZW80" s="43"/>
      <c r="BZX80" s="43"/>
      <c r="BZY80" s="43"/>
      <c r="BZZ80" s="43"/>
      <c r="CAA80" s="43"/>
      <c r="CAB80" s="43"/>
      <c r="CAC80" s="43"/>
      <c r="CAD80" s="43"/>
      <c r="CAE80" s="43"/>
      <c r="CAF80" s="43"/>
      <c r="CAG80" s="43"/>
      <c r="CAH80" s="43"/>
      <c r="CAI80" s="43"/>
      <c r="CAJ80" s="43"/>
      <c r="CAK80" s="43"/>
      <c r="CAL80" s="43"/>
      <c r="CAM80" s="43"/>
      <c r="CAN80" s="43"/>
      <c r="CAO80" s="43"/>
      <c r="CAP80" s="43"/>
      <c r="CAQ80" s="43"/>
      <c r="CAR80" s="43"/>
      <c r="CAS80" s="43"/>
      <c r="CAT80" s="43"/>
      <c r="CAU80" s="43"/>
      <c r="CAV80" s="43"/>
      <c r="CAW80" s="43"/>
      <c r="CAX80" s="43"/>
      <c r="CAY80" s="43"/>
      <c r="CAZ80" s="43"/>
      <c r="CBA80" s="43"/>
      <c r="CBB80" s="43"/>
      <c r="CBC80" s="43"/>
      <c r="CBD80" s="43"/>
      <c r="CBE80" s="43"/>
      <c r="CBF80" s="43"/>
      <c r="CBG80" s="43"/>
      <c r="CBH80" s="43"/>
    </row>
    <row r="81" spans="1:2088" x14ac:dyDescent="0.2">
      <c r="A81" s="1" t="s">
        <v>170</v>
      </c>
      <c r="B81" s="58" t="str">
        <f t="shared" ref="B81" si="5">IF(OR(B23="",B22="",B120=""),"error: missing input",1/(1+EXP(-(-7.0753+(1.2308*IF(B23="male",1,0))+(0.0642*B22)+(2.2501*IF((B120-1)=2,1,0))+(-0.5095*IF((B120-1)=0,1,0))+(-0.0191*B22*IF((B120-1)=2,1,0))))))</f>
        <v>error: missing input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  <c r="IW81" s="43"/>
      <c r="IX81" s="43"/>
      <c r="IY81" s="43"/>
      <c r="IZ81" s="43"/>
      <c r="JA81" s="43"/>
      <c r="JB81" s="43"/>
      <c r="JC81" s="43"/>
      <c r="JD81" s="43"/>
      <c r="JE81" s="43"/>
      <c r="JF81" s="43"/>
      <c r="JG81" s="43"/>
      <c r="JH81" s="43"/>
      <c r="JI81" s="43"/>
      <c r="JJ81" s="43"/>
      <c r="JK81" s="43"/>
      <c r="JL81" s="43"/>
      <c r="JM81" s="43"/>
      <c r="JN81" s="43"/>
      <c r="JO81" s="43"/>
      <c r="JP81" s="43"/>
      <c r="JQ81" s="43"/>
      <c r="JR81" s="43"/>
      <c r="JS81" s="43"/>
      <c r="JT81" s="43"/>
      <c r="JU81" s="43"/>
      <c r="JV81" s="43"/>
      <c r="JW81" s="43"/>
      <c r="JX81" s="43"/>
      <c r="JY81" s="43"/>
      <c r="JZ81" s="43"/>
      <c r="KA81" s="43"/>
      <c r="KB81" s="43"/>
      <c r="KC81" s="43"/>
      <c r="KD81" s="43"/>
      <c r="KE81" s="43"/>
      <c r="KF81" s="43"/>
      <c r="KG81" s="43"/>
      <c r="KH81" s="43"/>
      <c r="KI81" s="43"/>
      <c r="KJ81" s="43"/>
      <c r="KK81" s="43"/>
      <c r="KL81" s="43"/>
      <c r="KM81" s="43"/>
      <c r="KN81" s="43"/>
      <c r="KO81" s="43"/>
      <c r="KP81" s="43"/>
      <c r="KQ81" s="43"/>
      <c r="KR81" s="43"/>
      <c r="KS81" s="43"/>
      <c r="KT81" s="43"/>
      <c r="KU81" s="43"/>
      <c r="KV81" s="43"/>
      <c r="KW81" s="43"/>
      <c r="KX81" s="43"/>
      <c r="KY81" s="43"/>
      <c r="KZ81" s="43"/>
      <c r="LA81" s="43"/>
      <c r="LB81" s="43"/>
      <c r="LC81" s="43"/>
      <c r="LD81" s="43"/>
      <c r="LE81" s="43"/>
      <c r="LF81" s="43"/>
      <c r="LG81" s="43"/>
      <c r="LH81" s="43"/>
      <c r="LI81" s="43"/>
      <c r="LJ81" s="43"/>
      <c r="LK81" s="43"/>
      <c r="LL81" s="43"/>
      <c r="LM81" s="43"/>
      <c r="LN81" s="43"/>
      <c r="LO81" s="43"/>
      <c r="LP81" s="43"/>
      <c r="LQ81" s="43"/>
      <c r="LR81" s="43"/>
      <c r="LS81" s="43"/>
      <c r="LT81" s="43"/>
      <c r="LU81" s="43"/>
      <c r="LV81" s="43"/>
      <c r="LW81" s="43"/>
      <c r="LX81" s="43"/>
      <c r="LY81" s="43"/>
      <c r="LZ81" s="43"/>
      <c r="MA81" s="43"/>
      <c r="MB81" s="43"/>
      <c r="MC81" s="43"/>
      <c r="MD81" s="43"/>
      <c r="ME81" s="43"/>
      <c r="MF81" s="43"/>
      <c r="MG81" s="43"/>
      <c r="MH81" s="43"/>
      <c r="MI81" s="43"/>
      <c r="MJ81" s="43"/>
      <c r="MK81" s="43"/>
      <c r="ML81" s="43"/>
      <c r="MM81" s="43"/>
      <c r="MN81" s="43"/>
      <c r="MO81" s="43"/>
      <c r="MP81" s="43"/>
      <c r="MQ81" s="43"/>
      <c r="MR81" s="43"/>
      <c r="MS81" s="43"/>
      <c r="MT81" s="43"/>
      <c r="MU81" s="43"/>
      <c r="MV81" s="43"/>
      <c r="MW81" s="43"/>
      <c r="MX81" s="43"/>
      <c r="MY81" s="43"/>
      <c r="MZ81" s="43"/>
      <c r="NA81" s="43"/>
      <c r="NB81" s="43"/>
      <c r="NC81" s="43"/>
      <c r="ND81" s="43"/>
      <c r="NE81" s="43"/>
      <c r="NF81" s="43"/>
      <c r="NG81" s="43"/>
      <c r="NH81" s="43"/>
      <c r="NI81" s="43"/>
      <c r="NJ81" s="43"/>
      <c r="NK81" s="43"/>
      <c r="NL81" s="43"/>
      <c r="NM81" s="43"/>
      <c r="NN81" s="43"/>
      <c r="NO81" s="43"/>
      <c r="NP81" s="43"/>
      <c r="NQ81" s="43"/>
      <c r="NR81" s="43"/>
      <c r="NS81" s="43"/>
      <c r="NT81" s="43"/>
      <c r="NU81" s="43"/>
      <c r="NV81" s="43"/>
      <c r="NW81" s="43"/>
      <c r="NX81" s="43"/>
      <c r="NY81" s="43"/>
      <c r="NZ81" s="43"/>
      <c r="OA81" s="43"/>
      <c r="OB81" s="43"/>
      <c r="OC81" s="43"/>
      <c r="OD81" s="43"/>
      <c r="OE81" s="43"/>
      <c r="OF81" s="43"/>
      <c r="OG81" s="43"/>
      <c r="OH81" s="43"/>
      <c r="OI81" s="43"/>
      <c r="OJ81" s="43"/>
      <c r="OK81" s="43"/>
      <c r="OL81" s="43"/>
      <c r="OM81" s="43"/>
      <c r="ON81" s="43"/>
      <c r="OO81" s="43"/>
      <c r="OP81" s="43"/>
      <c r="OQ81" s="43"/>
      <c r="OR81" s="43"/>
      <c r="OS81" s="43"/>
      <c r="OT81" s="43"/>
      <c r="OU81" s="43"/>
      <c r="OV81" s="43"/>
      <c r="OW81" s="43"/>
      <c r="OX81" s="43"/>
      <c r="OY81" s="43"/>
      <c r="OZ81" s="43"/>
      <c r="PA81" s="43"/>
      <c r="PB81" s="43"/>
      <c r="PC81" s="43"/>
      <c r="PD81" s="43"/>
      <c r="PE81" s="43"/>
      <c r="PF81" s="43"/>
      <c r="PG81" s="43"/>
      <c r="PH81" s="43"/>
      <c r="PI81" s="43"/>
      <c r="PJ81" s="43"/>
      <c r="PK81" s="43"/>
      <c r="PL81" s="43"/>
      <c r="PM81" s="43"/>
      <c r="PN81" s="43"/>
      <c r="PO81" s="43"/>
      <c r="PP81" s="43"/>
      <c r="PQ81" s="43"/>
      <c r="PR81" s="43"/>
      <c r="PS81" s="43"/>
      <c r="PT81" s="43"/>
      <c r="PU81" s="43"/>
      <c r="PV81" s="43"/>
      <c r="PW81" s="43"/>
      <c r="PX81" s="43"/>
      <c r="PY81" s="43"/>
      <c r="PZ81" s="43"/>
      <c r="QA81" s="43"/>
      <c r="QB81" s="43"/>
      <c r="QC81" s="43"/>
      <c r="QD81" s="43"/>
      <c r="QE81" s="43"/>
      <c r="QF81" s="43"/>
      <c r="QG81" s="43"/>
      <c r="QH81" s="43"/>
      <c r="QI81" s="43"/>
      <c r="QJ81" s="43"/>
      <c r="QK81" s="43"/>
      <c r="QL81" s="43"/>
      <c r="QM81" s="43"/>
      <c r="QN81" s="43"/>
      <c r="QO81" s="43"/>
      <c r="QP81" s="43"/>
      <c r="QQ81" s="43"/>
      <c r="QR81" s="43"/>
      <c r="QS81" s="43"/>
      <c r="QT81" s="43"/>
      <c r="QU81" s="43"/>
      <c r="QV81" s="43"/>
      <c r="QW81" s="43"/>
      <c r="QX81" s="43"/>
      <c r="QY81" s="43"/>
      <c r="QZ81" s="43"/>
      <c r="RA81" s="43"/>
      <c r="RB81" s="43"/>
      <c r="RC81" s="43"/>
      <c r="RD81" s="43"/>
      <c r="RE81" s="43"/>
      <c r="RF81" s="43"/>
      <c r="RG81" s="43"/>
      <c r="RH81" s="43"/>
      <c r="RI81" s="43"/>
      <c r="RJ81" s="43"/>
      <c r="RK81" s="43"/>
      <c r="RL81" s="43"/>
      <c r="RM81" s="43"/>
      <c r="RN81" s="43"/>
      <c r="RO81" s="43"/>
      <c r="RP81" s="43"/>
      <c r="RQ81" s="43"/>
      <c r="RR81" s="43"/>
      <c r="RS81" s="43"/>
      <c r="RT81" s="43"/>
      <c r="RU81" s="43"/>
      <c r="RV81" s="43"/>
      <c r="RW81" s="43"/>
      <c r="RX81" s="43"/>
      <c r="RY81" s="43"/>
      <c r="RZ81" s="43"/>
      <c r="SA81" s="43"/>
      <c r="SB81" s="43"/>
      <c r="SC81" s="43"/>
      <c r="SD81" s="43"/>
      <c r="SE81" s="43"/>
      <c r="SF81" s="43"/>
      <c r="SG81" s="43"/>
      <c r="SH81" s="43"/>
      <c r="SI81" s="43"/>
      <c r="SJ81" s="43"/>
      <c r="SK81" s="43"/>
      <c r="SL81" s="43"/>
      <c r="SM81" s="43"/>
      <c r="SN81" s="43"/>
      <c r="SO81" s="43"/>
      <c r="SP81" s="43"/>
      <c r="SQ81" s="43"/>
      <c r="SR81" s="43"/>
      <c r="SS81" s="43"/>
      <c r="ST81" s="43"/>
      <c r="SU81" s="43"/>
      <c r="SV81" s="43"/>
      <c r="SW81" s="43"/>
      <c r="SX81" s="43"/>
      <c r="SY81" s="43"/>
      <c r="SZ81" s="43"/>
      <c r="TA81" s="43"/>
      <c r="TB81" s="43"/>
      <c r="TC81" s="43"/>
      <c r="TD81" s="43"/>
      <c r="TE81" s="43"/>
      <c r="TF81" s="43"/>
      <c r="TG81" s="43"/>
      <c r="TH81" s="43"/>
      <c r="TI81" s="43"/>
      <c r="TJ81" s="43"/>
      <c r="TK81" s="43"/>
      <c r="TL81" s="43"/>
      <c r="TM81" s="43"/>
      <c r="TN81" s="43"/>
      <c r="TO81" s="43"/>
      <c r="TP81" s="43"/>
      <c r="TQ81" s="43"/>
      <c r="TR81" s="43"/>
      <c r="TS81" s="43"/>
      <c r="TT81" s="43"/>
      <c r="TU81" s="43"/>
      <c r="TV81" s="43"/>
      <c r="TW81" s="43"/>
      <c r="TX81" s="43"/>
      <c r="TY81" s="43"/>
      <c r="TZ81" s="43"/>
      <c r="UA81" s="43"/>
      <c r="UB81" s="43"/>
      <c r="UC81" s="43"/>
      <c r="UD81" s="43"/>
      <c r="UE81" s="43"/>
      <c r="UF81" s="43"/>
      <c r="UG81" s="43"/>
      <c r="UH81" s="43"/>
      <c r="UI81" s="43"/>
      <c r="UJ81" s="43"/>
      <c r="UK81" s="43"/>
      <c r="UL81" s="43"/>
      <c r="UM81" s="43"/>
      <c r="UN81" s="43"/>
      <c r="UO81" s="43"/>
      <c r="UP81" s="43"/>
      <c r="UQ81" s="43"/>
      <c r="UR81" s="43"/>
      <c r="US81" s="43"/>
      <c r="UT81" s="43"/>
      <c r="UU81" s="43"/>
      <c r="UV81" s="43"/>
      <c r="UW81" s="43"/>
      <c r="UX81" s="43"/>
      <c r="UY81" s="43"/>
      <c r="UZ81" s="43"/>
      <c r="VA81" s="43"/>
      <c r="VB81" s="43"/>
      <c r="VC81" s="43"/>
      <c r="VD81" s="43"/>
      <c r="VE81" s="43"/>
      <c r="VF81" s="43"/>
      <c r="VG81" s="43"/>
      <c r="VH81" s="43"/>
      <c r="VI81" s="43"/>
      <c r="VJ81" s="43"/>
      <c r="VK81" s="43"/>
      <c r="VL81" s="43"/>
      <c r="VM81" s="43"/>
      <c r="VN81" s="43"/>
      <c r="VO81" s="43"/>
      <c r="VP81" s="43"/>
      <c r="VQ81" s="43"/>
      <c r="VR81" s="43"/>
      <c r="VS81" s="43"/>
      <c r="VT81" s="43"/>
      <c r="VU81" s="43"/>
      <c r="VV81" s="43"/>
      <c r="VW81" s="43"/>
      <c r="VX81" s="43"/>
      <c r="VY81" s="43"/>
      <c r="VZ81" s="43"/>
      <c r="WA81" s="43"/>
      <c r="WB81" s="43"/>
      <c r="WC81" s="43"/>
      <c r="WD81" s="43"/>
      <c r="WE81" s="43"/>
      <c r="WF81" s="43"/>
      <c r="WG81" s="43"/>
      <c r="WH81" s="43"/>
      <c r="WI81" s="43"/>
      <c r="WJ81" s="43"/>
      <c r="WK81" s="43"/>
      <c r="WL81" s="43"/>
      <c r="WM81" s="43"/>
      <c r="WN81" s="43"/>
      <c r="WO81" s="43"/>
      <c r="WP81" s="43"/>
      <c r="WQ81" s="43"/>
      <c r="WR81" s="43"/>
      <c r="WS81" s="43"/>
      <c r="WT81" s="43"/>
      <c r="WU81" s="43"/>
      <c r="WV81" s="43"/>
      <c r="WW81" s="43"/>
      <c r="WX81" s="43"/>
      <c r="WY81" s="43"/>
      <c r="WZ81" s="43"/>
      <c r="XA81" s="43"/>
      <c r="XB81" s="43"/>
      <c r="XC81" s="43"/>
      <c r="XD81" s="43"/>
      <c r="XE81" s="43"/>
      <c r="XF81" s="43"/>
      <c r="XG81" s="43"/>
      <c r="XH81" s="43"/>
      <c r="XI81" s="43"/>
      <c r="XJ81" s="43"/>
      <c r="XK81" s="43"/>
      <c r="XL81" s="43"/>
      <c r="XM81" s="43"/>
      <c r="XN81" s="43"/>
      <c r="XO81" s="43"/>
      <c r="XP81" s="43"/>
      <c r="XQ81" s="43"/>
      <c r="XR81" s="43"/>
      <c r="XS81" s="43"/>
      <c r="XT81" s="43"/>
      <c r="XU81" s="43"/>
      <c r="XV81" s="43"/>
      <c r="XW81" s="43"/>
      <c r="XX81" s="43"/>
      <c r="XY81" s="43"/>
      <c r="XZ81" s="43"/>
      <c r="YA81" s="43"/>
      <c r="YB81" s="43"/>
      <c r="YC81" s="43"/>
      <c r="YD81" s="43"/>
      <c r="YE81" s="43"/>
      <c r="YF81" s="43"/>
      <c r="YG81" s="43"/>
      <c r="YH81" s="43"/>
      <c r="YI81" s="43"/>
      <c r="YJ81" s="43"/>
      <c r="YK81" s="43"/>
      <c r="YL81" s="43"/>
      <c r="YM81" s="43"/>
      <c r="YN81" s="43"/>
      <c r="YO81" s="43"/>
      <c r="YP81" s="43"/>
      <c r="YQ81" s="43"/>
      <c r="YR81" s="43"/>
      <c r="YS81" s="43"/>
      <c r="YT81" s="43"/>
      <c r="YU81" s="43"/>
      <c r="YV81" s="43"/>
      <c r="YW81" s="43"/>
      <c r="YX81" s="43"/>
      <c r="YY81" s="43"/>
      <c r="YZ81" s="43"/>
      <c r="ZA81" s="43"/>
      <c r="ZB81" s="43"/>
      <c r="ZC81" s="43"/>
      <c r="ZD81" s="43"/>
      <c r="ZE81" s="43"/>
      <c r="ZF81" s="43"/>
      <c r="ZG81" s="43"/>
      <c r="ZH81" s="43"/>
      <c r="ZI81" s="43"/>
      <c r="ZJ81" s="43"/>
      <c r="ZK81" s="43"/>
      <c r="ZL81" s="43"/>
      <c r="ZM81" s="43"/>
      <c r="ZN81" s="43"/>
      <c r="ZO81" s="43"/>
      <c r="ZP81" s="43"/>
      <c r="ZQ81" s="43"/>
      <c r="ZR81" s="43"/>
      <c r="ZS81" s="43"/>
      <c r="ZT81" s="43"/>
      <c r="ZU81" s="43"/>
      <c r="ZV81" s="43"/>
      <c r="ZW81" s="43"/>
      <c r="ZX81" s="43"/>
      <c r="ZY81" s="43"/>
      <c r="ZZ81" s="43"/>
      <c r="AAA81" s="43"/>
      <c r="AAB81" s="43"/>
      <c r="AAC81" s="43"/>
      <c r="AAD81" s="43"/>
      <c r="AAE81" s="43"/>
      <c r="AAF81" s="43"/>
      <c r="AAG81" s="43"/>
      <c r="AAH81" s="43"/>
      <c r="AAI81" s="43"/>
      <c r="AAJ81" s="43"/>
      <c r="AAK81" s="43"/>
      <c r="AAL81" s="43"/>
      <c r="AAM81" s="43"/>
      <c r="AAN81" s="43"/>
      <c r="AAO81" s="43"/>
      <c r="AAP81" s="43"/>
      <c r="AAQ81" s="43"/>
      <c r="AAR81" s="43"/>
      <c r="AAS81" s="43"/>
      <c r="AAT81" s="43"/>
      <c r="AAU81" s="43"/>
      <c r="AAV81" s="43"/>
      <c r="AAW81" s="43"/>
      <c r="AAX81" s="43"/>
      <c r="AAY81" s="43"/>
      <c r="AAZ81" s="43"/>
      <c r="ABA81" s="43"/>
      <c r="ABB81" s="43"/>
      <c r="ABC81" s="43"/>
      <c r="ABD81" s="43"/>
      <c r="ABE81" s="43"/>
      <c r="ABF81" s="43"/>
      <c r="ABG81" s="43"/>
      <c r="ABH81" s="43"/>
      <c r="ABI81" s="43"/>
      <c r="ABJ81" s="43"/>
      <c r="ABK81" s="43"/>
      <c r="ABL81" s="43"/>
      <c r="ABM81" s="43"/>
      <c r="ABN81" s="43"/>
      <c r="ABO81" s="43"/>
      <c r="ABP81" s="43"/>
      <c r="ABQ81" s="43"/>
      <c r="ABR81" s="43"/>
      <c r="ABS81" s="43"/>
      <c r="ABT81" s="43"/>
      <c r="ABU81" s="43"/>
      <c r="ABV81" s="43"/>
      <c r="ABW81" s="43"/>
      <c r="ABX81" s="43"/>
      <c r="ABY81" s="43"/>
      <c r="ABZ81" s="43"/>
      <c r="ACA81" s="43"/>
      <c r="ACB81" s="43"/>
      <c r="ACC81" s="43"/>
      <c r="ACD81" s="43"/>
      <c r="ACE81" s="43"/>
      <c r="ACF81" s="43"/>
      <c r="ACG81" s="43"/>
      <c r="ACH81" s="43"/>
      <c r="ACI81" s="43"/>
      <c r="ACJ81" s="43"/>
      <c r="ACK81" s="43"/>
      <c r="ACL81" s="43"/>
      <c r="ACM81" s="43"/>
      <c r="ACN81" s="43"/>
      <c r="ACO81" s="43"/>
      <c r="ACP81" s="43"/>
      <c r="ACQ81" s="43"/>
      <c r="ACR81" s="43"/>
      <c r="ACS81" s="43"/>
      <c r="ACT81" s="43"/>
      <c r="ACU81" s="43"/>
      <c r="ACV81" s="43"/>
      <c r="ACW81" s="43"/>
      <c r="ACX81" s="43"/>
      <c r="ACY81" s="43"/>
      <c r="ACZ81" s="43"/>
      <c r="ADA81" s="43"/>
      <c r="ADB81" s="43"/>
      <c r="ADC81" s="43"/>
      <c r="ADD81" s="43"/>
      <c r="ADE81" s="43"/>
      <c r="ADF81" s="43"/>
      <c r="ADG81" s="43"/>
      <c r="ADH81" s="43"/>
      <c r="ADI81" s="43"/>
      <c r="ADJ81" s="43"/>
      <c r="ADK81" s="43"/>
      <c r="ADL81" s="43"/>
      <c r="ADM81" s="43"/>
      <c r="ADN81" s="43"/>
      <c r="ADO81" s="43"/>
      <c r="ADP81" s="43"/>
      <c r="ADQ81" s="43"/>
      <c r="ADR81" s="43"/>
      <c r="ADS81" s="43"/>
      <c r="ADT81" s="43"/>
      <c r="ADU81" s="43"/>
      <c r="ADV81" s="43"/>
      <c r="ADW81" s="43"/>
      <c r="ADX81" s="43"/>
      <c r="ADY81" s="43"/>
      <c r="ADZ81" s="43"/>
      <c r="AEA81" s="43"/>
      <c r="AEB81" s="43"/>
      <c r="AEC81" s="43"/>
      <c r="AED81" s="43"/>
      <c r="AEE81" s="43"/>
      <c r="AEF81" s="43"/>
      <c r="AEG81" s="43"/>
      <c r="AEH81" s="43"/>
      <c r="AEI81" s="43"/>
      <c r="AEJ81" s="43"/>
      <c r="AEK81" s="43"/>
      <c r="AEL81" s="43"/>
      <c r="AEM81" s="43"/>
      <c r="AEN81" s="43"/>
      <c r="AEO81" s="43"/>
      <c r="AEP81" s="43"/>
      <c r="AEQ81" s="43"/>
      <c r="AER81" s="43"/>
      <c r="AES81" s="43"/>
      <c r="AET81" s="43"/>
      <c r="AEU81" s="43"/>
      <c r="AEV81" s="43"/>
      <c r="AEW81" s="43"/>
      <c r="AEX81" s="43"/>
      <c r="AEY81" s="43"/>
      <c r="AEZ81" s="43"/>
      <c r="AFA81" s="43"/>
      <c r="AFB81" s="43"/>
      <c r="AFC81" s="43"/>
      <c r="AFD81" s="43"/>
      <c r="AFE81" s="43"/>
      <c r="AFF81" s="43"/>
      <c r="AFG81" s="43"/>
      <c r="AFH81" s="43"/>
      <c r="AFI81" s="43"/>
      <c r="AFJ81" s="43"/>
      <c r="AFK81" s="43"/>
      <c r="AFL81" s="43"/>
      <c r="AFM81" s="43"/>
      <c r="AFN81" s="43"/>
      <c r="AFO81" s="43"/>
      <c r="AFP81" s="43"/>
      <c r="AFQ81" s="43"/>
      <c r="AFR81" s="43"/>
      <c r="AFS81" s="43"/>
      <c r="AFT81" s="43"/>
      <c r="AFU81" s="43"/>
      <c r="AFV81" s="43"/>
      <c r="AFW81" s="43"/>
      <c r="AFX81" s="43"/>
      <c r="AFY81" s="43"/>
      <c r="AFZ81" s="43"/>
      <c r="AGA81" s="43"/>
      <c r="AGB81" s="43"/>
      <c r="AGC81" s="43"/>
      <c r="AGD81" s="43"/>
      <c r="AGE81" s="43"/>
      <c r="AGF81" s="43"/>
      <c r="AGG81" s="43"/>
      <c r="AGH81" s="43"/>
      <c r="AGI81" s="43"/>
      <c r="AGJ81" s="43"/>
      <c r="AGK81" s="43"/>
      <c r="AGL81" s="43"/>
      <c r="AGM81" s="43"/>
      <c r="AGN81" s="43"/>
      <c r="AGO81" s="43"/>
      <c r="AGP81" s="43"/>
      <c r="AGQ81" s="43"/>
      <c r="AGR81" s="43"/>
      <c r="AGS81" s="43"/>
      <c r="AGT81" s="43"/>
      <c r="AGU81" s="43"/>
      <c r="AGV81" s="43"/>
      <c r="AGW81" s="43"/>
      <c r="AGX81" s="43"/>
      <c r="AGY81" s="43"/>
      <c r="AGZ81" s="43"/>
      <c r="AHA81" s="43"/>
      <c r="AHB81" s="43"/>
      <c r="AHC81" s="43"/>
      <c r="AHD81" s="43"/>
      <c r="AHE81" s="43"/>
      <c r="AHF81" s="43"/>
      <c r="AHG81" s="43"/>
      <c r="AHH81" s="43"/>
      <c r="AHI81" s="43"/>
      <c r="AHJ81" s="43"/>
      <c r="AHK81" s="43"/>
      <c r="AHL81" s="43"/>
      <c r="AHM81" s="43"/>
      <c r="AHN81" s="43"/>
      <c r="AHO81" s="43"/>
      <c r="AHP81" s="43"/>
      <c r="AHQ81" s="43"/>
      <c r="AHR81" s="43"/>
      <c r="AHS81" s="43"/>
      <c r="AHT81" s="43"/>
      <c r="AHU81" s="43"/>
      <c r="AHV81" s="43"/>
      <c r="AHW81" s="43"/>
      <c r="AHX81" s="43"/>
      <c r="AHY81" s="43"/>
      <c r="AHZ81" s="43"/>
      <c r="AIA81" s="43"/>
      <c r="AIB81" s="43"/>
      <c r="AIC81" s="43"/>
      <c r="AID81" s="43"/>
      <c r="AIE81" s="43"/>
      <c r="AIF81" s="43"/>
      <c r="AIG81" s="43"/>
      <c r="AIH81" s="43"/>
      <c r="AII81" s="43"/>
      <c r="AIJ81" s="43"/>
      <c r="AIK81" s="43"/>
      <c r="AIL81" s="43"/>
      <c r="AIM81" s="43"/>
      <c r="AIN81" s="43"/>
      <c r="AIO81" s="43"/>
      <c r="AIP81" s="43"/>
      <c r="AIQ81" s="43"/>
      <c r="AIR81" s="43"/>
      <c r="AIS81" s="43"/>
      <c r="AIT81" s="43"/>
      <c r="AIU81" s="43"/>
      <c r="AIV81" s="43"/>
      <c r="AIW81" s="43"/>
      <c r="AIX81" s="43"/>
      <c r="AIY81" s="43"/>
      <c r="AIZ81" s="43"/>
      <c r="AJA81" s="43"/>
      <c r="AJB81" s="43"/>
      <c r="AJC81" s="43"/>
      <c r="AJD81" s="43"/>
      <c r="AJE81" s="43"/>
      <c r="AJF81" s="43"/>
      <c r="AJG81" s="43"/>
      <c r="AJH81" s="43"/>
      <c r="AJI81" s="43"/>
      <c r="AJJ81" s="43"/>
      <c r="AJK81" s="43"/>
      <c r="AJL81" s="43"/>
      <c r="AJM81" s="43"/>
      <c r="AJN81" s="43"/>
      <c r="AJO81" s="43"/>
      <c r="AJP81" s="43"/>
      <c r="AJQ81" s="43"/>
      <c r="AJR81" s="43"/>
      <c r="AJS81" s="43"/>
      <c r="AJT81" s="43"/>
      <c r="AJU81" s="43"/>
      <c r="AJV81" s="43"/>
      <c r="AJW81" s="43"/>
      <c r="AJX81" s="43"/>
      <c r="AJY81" s="43"/>
      <c r="AJZ81" s="43"/>
      <c r="AKA81" s="43"/>
      <c r="AKB81" s="43"/>
      <c r="AKC81" s="43"/>
      <c r="AKD81" s="43"/>
      <c r="AKE81" s="43"/>
      <c r="AKF81" s="43"/>
      <c r="AKG81" s="43"/>
      <c r="AKH81" s="43"/>
      <c r="AKI81" s="43"/>
      <c r="AKJ81" s="43"/>
      <c r="AKK81" s="43"/>
      <c r="AKL81" s="43"/>
      <c r="AKM81" s="43"/>
      <c r="AKN81" s="43"/>
      <c r="AKO81" s="43"/>
      <c r="AKP81" s="43"/>
      <c r="AKQ81" s="43"/>
      <c r="AKR81" s="43"/>
      <c r="AKS81" s="43"/>
      <c r="AKT81" s="43"/>
      <c r="AKU81" s="43"/>
      <c r="AKV81" s="43"/>
      <c r="AKW81" s="43"/>
      <c r="AKX81" s="43"/>
      <c r="AKY81" s="43"/>
      <c r="AKZ81" s="43"/>
      <c r="ALA81" s="43"/>
      <c r="ALB81" s="43"/>
      <c r="ALC81" s="43"/>
      <c r="ALD81" s="43"/>
      <c r="ALE81" s="43"/>
      <c r="ALF81" s="43"/>
      <c r="ALG81" s="43"/>
      <c r="ALH81" s="43"/>
      <c r="ALI81" s="43"/>
      <c r="ALJ81" s="43"/>
      <c r="ALK81" s="43"/>
      <c r="ALL81" s="43"/>
      <c r="ALM81" s="43"/>
      <c r="ALN81" s="43"/>
      <c r="ALO81" s="43"/>
      <c r="ALP81" s="43"/>
      <c r="ALQ81" s="43"/>
      <c r="ALR81" s="43"/>
      <c r="ALS81" s="43"/>
      <c r="ALT81" s="43"/>
      <c r="ALU81" s="43"/>
      <c r="ALV81" s="43"/>
      <c r="ALW81" s="43"/>
      <c r="ALX81" s="43"/>
      <c r="ALY81" s="43"/>
      <c r="ALZ81" s="43"/>
      <c r="AMA81" s="43"/>
      <c r="AMB81" s="43"/>
      <c r="AMC81" s="43"/>
      <c r="AMD81" s="43"/>
      <c r="AME81" s="43"/>
      <c r="AMF81" s="43"/>
      <c r="AMG81" s="43"/>
      <c r="AMH81" s="43"/>
      <c r="AMI81" s="43"/>
      <c r="AMJ81" s="43"/>
      <c r="AMK81" s="43"/>
      <c r="AML81" s="43"/>
      <c r="AMM81" s="43"/>
      <c r="AMN81" s="43"/>
      <c r="AMO81" s="43"/>
      <c r="AMP81" s="43"/>
      <c r="AMQ81" s="43"/>
      <c r="AMR81" s="43"/>
      <c r="AMS81" s="43"/>
      <c r="AMT81" s="43"/>
      <c r="AMU81" s="43"/>
      <c r="AMV81" s="43"/>
      <c r="AMW81" s="43"/>
      <c r="AMX81" s="43"/>
      <c r="AMY81" s="43"/>
      <c r="AMZ81" s="43"/>
      <c r="ANA81" s="43"/>
      <c r="ANB81" s="43"/>
      <c r="ANC81" s="43"/>
      <c r="AND81" s="43"/>
      <c r="ANE81" s="43"/>
      <c r="ANF81" s="43"/>
      <c r="ANG81" s="43"/>
      <c r="ANH81" s="43"/>
      <c r="ANI81" s="43"/>
      <c r="ANJ81" s="43"/>
      <c r="ANK81" s="43"/>
      <c r="ANL81" s="43"/>
      <c r="ANM81" s="43"/>
      <c r="ANN81" s="43"/>
      <c r="ANO81" s="43"/>
      <c r="ANP81" s="43"/>
      <c r="ANQ81" s="43"/>
      <c r="ANR81" s="43"/>
      <c r="ANS81" s="43"/>
      <c r="ANT81" s="43"/>
      <c r="ANU81" s="43"/>
      <c r="ANV81" s="43"/>
      <c r="ANW81" s="43"/>
      <c r="ANX81" s="43"/>
      <c r="ANY81" s="43"/>
      <c r="ANZ81" s="43"/>
      <c r="AOA81" s="43"/>
      <c r="AOB81" s="43"/>
      <c r="AOC81" s="43"/>
      <c r="AOD81" s="43"/>
      <c r="AOE81" s="43"/>
      <c r="AOF81" s="43"/>
      <c r="AOG81" s="43"/>
      <c r="AOH81" s="43"/>
      <c r="AOI81" s="43"/>
      <c r="AOJ81" s="43"/>
      <c r="AOK81" s="43"/>
      <c r="AOL81" s="43"/>
      <c r="AOM81" s="43"/>
      <c r="AON81" s="43"/>
      <c r="AOO81" s="43"/>
      <c r="AOP81" s="43"/>
      <c r="AOQ81" s="43"/>
      <c r="AOR81" s="43"/>
      <c r="AOS81" s="43"/>
      <c r="AOT81" s="43"/>
      <c r="AOU81" s="43"/>
      <c r="AOV81" s="43"/>
      <c r="AOW81" s="43"/>
      <c r="AOX81" s="43"/>
      <c r="AOY81" s="43"/>
      <c r="AOZ81" s="43"/>
      <c r="APA81" s="43"/>
      <c r="APB81" s="43"/>
      <c r="APC81" s="43"/>
      <c r="APD81" s="43"/>
      <c r="APE81" s="43"/>
      <c r="APF81" s="43"/>
      <c r="APG81" s="43"/>
      <c r="APH81" s="43"/>
      <c r="API81" s="43"/>
      <c r="APJ81" s="43"/>
      <c r="APK81" s="43"/>
      <c r="APL81" s="43"/>
      <c r="APM81" s="43"/>
      <c r="APN81" s="43"/>
      <c r="APO81" s="43"/>
      <c r="APP81" s="43"/>
      <c r="APQ81" s="43"/>
      <c r="APR81" s="43"/>
      <c r="APS81" s="43"/>
      <c r="APT81" s="43"/>
      <c r="APU81" s="43"/>
      <c r="APV81" s="43"/>
      <c r="APW81" s="43"/>
      <c r="APX81" s="43"/>
      <c r="APY81" s="43"/>
      <c r="APZ81" s="43"/>
      <c r="AQA81" s="43"/>
      <c r="AQB81" s="43"/>
      <c r="AQC81" s="43"/>
      <c r="AQD81" s="43"/>
      <c r="AQE81" s="43"/>
      <c r="AQF81" s="43"/>
      <c r="AQG81" s="43"/>
      <c r="AQH81" s="43"/>
      <c r="AQI81" s="43"/>
      <c r="AQJ81" s="43"/>
      <c r="AQK81" s="43"/>
      <c r="AQL81" s="43"/>
      <c r="AQM81" s="43"/>
      <c r="AQN81" s="43"/>
      <c r="AQO81" s="43"/>
      <c r="AQP81" s="43"/>
      <c r="AQQ81" s="43"/>
      <c r="AQR81" s="43"/>
      <c r="AQS81" s="43"/>
      <c r="AQT81" s="43"/>
      <c r="AQU81" s="43"/>
      <c r="AQV81" s="43"/>
      <c r="AQW81" s="43"/>
      <c r="AQX81" s="43"/>
      <c r="AQY81" s="43"/>
      <c r="AQZ81" s="43"/>
      <c r="ARA81" s="43"/>
      <c r="ARB81" s="43"/>
      <c r="ARC81" s="43"/>
      <c r="ARD81" s="43"/>
      <c r="ARE81" s="43"/>
      <c r="ARF81" s="43"/>
      <c r="ARG81" s="43"/>
      <c r="ARH81" s="43"/>
      <c r="ARI81" s="43"/>
      <c r="ARJ81" s="43"/>
      <c r="ARK81" s="43"/>
      <c r="ARL81" s="43"/>
      <c r="ARM81" s="43"/>
      <c r="ARN81" s="43"/>
      <c r="ARO81" s="43"/>
      <c r="ARP81" s="43"/>
      <c r="ARQ81" s="43"/>
      <c r="ARR81" s="43"/>
      <c r="ARS81" s="43"/>
      <c r="ART81" s="43"/>
      <c r="ARU81" s="43"/>
      <c r="ARV81" s="43"/>
      <c r="ARW81" s="43"/>
      <c r="ARX81" s="43"/>
      <c r="ARY81" s="43"/>
      <c r="ARZ81" s="43"/>
      <c r="ASA81" s="43"/>
      <c r="ASB81" s="43"/>
      <c r="ASC81" s="43"/>
      <c r="ASD81" s="43"/>
      <c r="ASE81" s="43"/>
      <c r="ASF81" s="43"/>
      <c r="ASG81" s="43"/>
      <c r="ASH81" s="43"/>
      <c r="ASI81" s="43"/>
      <c r="ASJ81" s="43"/>
      <c r="ASK81" s="43"/>
      <c r="ASL81" s="43"/>
      <c r="ASM81" s="43"/>
      <c r="ASN81" s="43"/>
      <c r="ASO81" s="43"/>
      <c r="ASP81" s="43"/>
      <c r="ASQ81" s="43"/>
      <c r="ASR81" s="43"/>
      <c r="ASS81" s="43"/>
      <c r="AST81" s="43"/>
      <c r="ASU81" s="43"/>
      <c r="ASV81" s="43"/>
      <c r="ASW81" s="43"/>
      <c r="ASX81" s="43"/>
      <c r="ASY81" s="43"/>
      <c r="ASZ81" s="43"/>
      <c r="ATA81" s="43"/>
      <c r="ATB81" s="43"/>
      <c r="ATC81" s="43"/>
      <c r="ATD81" s="43"/>
      <c r="ATE81" s="43"/>
      <c r="ATF81" s="43"/>
      <c r="ATG81" s="43"/>
      <c r="ATH81" s="43"/>
      <c r="ATI81" s="43"/>
      <c r="ATJ81" s="43"/>
      <c r="ATK81" s="43"/>
      <c r="ATL81" s="43"/>
      <c r="ATM81" s="43"/>
      <c r="ATN81" s="43"/>
      <c r="ATO81" s="43"/>
      <c r="ATP81" s="43"/>
      <c r="ATQ81" s="43"/>
      <c r="ATR81" s="43"/>
      <c r="ATS81" s="43"/>
      <c r="ATT81" s="43"/>
      <c r="ATU81" s="43"/>
      <c r="ATV81" s="43"/>
      <c r="ATW81" s="43"/>
      <c r="ATX81" s="43"/>
      <c r="ATY81" s="43"/>
      <c r="ATZ81" s="43"/>
      <c r="AUA81" s="43"/>
      <c r="AUB81" s="43"/>
      <c r="AUC81" s="43"/>
      <c r="AUD81" s="43"/>
      <c r="AUE81" s="43"/>
      <c r="AUF81" s="43"/>
      <c r="AUG81" s="43"/>
      <c r="AUH81" s="43"/>
      <c r="AUI81" s="43"/>
      <c r="AUJ81" s="43"/>
      <c r="AUK81" s="43"/>
      <c r="AUL81" s="43"/>
      <c r="AUM81" s="43"/>
      <c r="AUN81" s="43"/>
      <c r="AUO81" s="43"/>
      <c r="AUP81" s="43"/>
      <c r="AUQ81" s="43"/>
      <c r="AUR81" s="43"/>
      <c r="AUS81" s="43"/>
      <c r="AUT81" s="43"/>
      <c r="AUU81" s="43"/>
      <c r="AUV81" s="43"/>
      <c r="AUW81" s="43"/>
      <c r="AUX81" s="43"/>
      <c r="AUY81" s="43"/>
      <c r="AUZ81" s="43"/>
      <c r="AVA81" s="43"/>
      <c r="AVB81" s="43"/>
      <c r="AVC81" s="43"/>
      <c r="AVD81" s="43"/>
      <c r="AVE81" s="43"/>
      <c r="AVF81" s="43"/>
      <c r="AVG81" s="43"/>
      <c r="AVH81" s="43"/>
      <c r="AVI81" s="43"/>
      <c r="AVJ81" s="43"/>
      <c r="AVK81" s="43"/>
      <c r="AVL81" s="43"/>
      <c r="AVM81" s="43"/>
      <c r="AVN81" s="43"/>
      <c r="AVO81" s="43"/>
      <c r="AVP81" s="43"/>
      <c r="AVQ81" s="43"/>
      <c r="AVR81" s="43"/>
      <c r="AVS81" s="43"/>
      <c r="AVT81" s="43"/>
      <c r="AVU81" s="43"/>
      <c r="AVV81" s="43"/>
      <c r="AVW81" s="43"/>
      <c r="AVX81" s="43"/>
      <c r="AVY81" s="43"/>
      <c r="AVZ81" s="43"/>
      <c r="AWA81" s="43"/>
      <c r="AWB81" s="43"/>
      <c r="AWC81" s="43"/>
      <c r="AWD81" s="43"/>
      <c r="AWE81" s="43"/>
      <c r="AWF81" s="43"/>
      <c r="AWG81" s="43"/>
      <c r="AWH81" s="43"/>
      <c r="AWI81" s="43"/>
      <c r="AWJ81" s="43"/>
      <c r="AWK81" s="43"/>
      <c r="AWL81" s="43"/>
      <c r="AWM81" s="43"/>
      <c r="AWN81" s="43"/>
      <c r="AWO81" s="43"/>
      <c r="AWP81" s="43"/>
      <c r="AWQ81" s="43"/>
      <c r="AWR81" s="43"/>
      <c r="AWS81" s="43"/>
      <c r="AWT81" s="43"/>
      <c r="AWU81" s="43"/>
      <c r="AWV81" s="43"/>
      <c r="AWW81" s="43"/>
      <c r="AWX81" s="43"/>
      <c r="AWY81" s="43"/>
      <c r="AWZ81" s="43"/>
      <c r="AXA81" s="43"/>
      <c r="AXB81" s="43"/>
      <c r="AXC81" s="43"/>
      <c r="AXD81" s="43"/>
      <c r="AXE81" s="43"/>
      <c r="AXF81" s="43"/>
      <c r="AXG81" s="43"/>
      <c r="AXH81" s="43"/>
      <c r="AXI81" s="43"/>
      <c r="AXJ81" s="43"/>
      <c r="AXK81" s="43"/>
      <c r="AXL81" s="43"/>
      <c r="AXM81" s="43"/>
      <c r="AXN81" s="43"/>
      <c r="AXO81" s="43"/>
      <c r="AXP81" s="43"/>
      <c r="AXQ81" s="43"/>
      <c r="AXR81" s="43"/>
      <c r="AXS81" s="43"/>
      <c r="AXT81" s="43"/>
      <c r="AXU81" s="43"/>
      <c r="AXV81" s="43"/>
      <c r="AXW81" s="43"/>
      <c r="AXX81" s="43"/>
      <c r="AXY81" s="43"/>
      <c r="AXZ81" s="43"/>
      <c r="AYA81" s="43"/>
      <c r="AYB81" s="43"/>
      <c r="AYC81" s="43"/>
      <c r="AYD81" s="43"/>
      <c r="AYE81" s="43"/>
      <c r="AYF81" s="43"/>
      <c r="AYG81" s="43"/>
      <c r="AYH81" s="43"/>
      <c r="AYI81" s="43"/>
      <c r="AYJ81" s="43"/>
      <c r="AYK81" s="43"/>
      <c r="AYL81" s="43"/>
      <c r="AYM81" s="43"/>
      <c r="AYN81" s="43"/>
      <c r="AYO81" s="43"/>
      <c r="AYP81" s="43"/>
      <c r="AYQ81" s="43"/>
      <c r="AYR81" s="43"/>
      <c r="AYS81" s="43"/>
      <c r="AYT81" s="43"/>
      <c r="AYU81" s="43"/>
      <c r="AYV81" s="43"/>
      <c r="AYW81" s="43"/>
      <c r="AYX81" s="43"/>
      <c r="AYY81" s="43"/>
      <c r="AYZ81" s="43"/>
      <c r="AZA81" s="43"/>
      <c r="AZB81" s="43"/>
      <c r="AZC81" s="43"/>
      <c r="AZD81" s="43"/>
      <c r="AZE81" s="43"/>
      <c r="AZF81" s="43"/>
      <c r="AZG81" s="43"/>
      <c r="AZH81" s="43"/>
      <c r="AZI81" s="43"/>
      <c r="AZJ81" s="43"/>
      <c r="AZK81" s="43"/>
      <c r="AZL81" s="43"/>
      <c r="AZM81" s="43"/>
      <c r="AZN81" s="43"/>
      <c r="AZO81" s="43"/>
      <c r="AZP81" s="43"/>
      <c r="AZQ81" s="43"/>
      <c r="AZR81" s="43"/>
      <c r="AZS81" s="43"/>
      <c r="AZT81" s="43"/>
      <c r="AZU81" s="43"/>
      <c r="AZV81" s="43"/>
      <c r="AZW81" s="43"/>
      <c r="AZX81" s="43"/>
      <c r="AZY81" s="43"/>
      <c r="AZZ81" s="43"/>
      <c r="BAA81" s="43"/>
      <c r="BAB81" s="43"/>
      <c r="BAC81" s="43"/>
      <c r="BAD81" s="43"/>
      <c r="BAE81" s="43"/>
      <c r="BAF81" s="43"/>
      <c r="BAG81" s="43"/>
      <c r="BAH81" s="43"/>
      <c r="BAI81" s="43"/>
      <c r="BAJ81" s="43"/>
      <c r="BAK81" s="43"/>
      <c r="BAL81" s="43"/>
      <c r="BAM81" s="43"/>
      <c r="BAN81" s="43"/>
      <c r="BAO81" s="43"/>
      <c r="BAP81" s="43"/>
      <c r="BAQ81" s="43"/>
      <c r="BAR81" s="43"/>
      <c r="BAS81" s="43"/>
      <c r="BAT81" s="43"/>
      <c r="BAU81" s="43"/>
      <c r="BAV81" s="43"/>
      <c r="BAW81" s="43"/>
      <c r="BAX81" s="43"/>
      <c r="BAY81" s="43"/>
      <c r="BAZ81" s="43"/>
      <c r="BBA81" s="43"/>
      <c r="BBB81" s="43"/>
      <c r="BBC81" s="43"/>
      <c r="BBD81" s="43"/>
      <c r="BBE81" s="43"/>
      <c r="BBF81" s="43"/>
      <c r="BBG81" s="43"/>
      <c r="BBH81" s="43"/>
      <c r="BBI81" s="43"/>
      <c r="BBJ81" s="43"/>
      <c r="BBK81" s="43"/>
      <c r="BBL81" s="43"/>
      <c r="BBM81" s="43"/>
      <c r="BBN81" s="43"/>
      <c r="BBO81" s="43"/>
      <c r="BBP81" s="43"/>
      <c r="BBQ81" s="43"/>
      <c r="BBR81" s="43"/>
      <c r="BBS81" s="43"/>
      <c r="BBT81" s="43"/>
      <c r="BBU81" s="43"/>
      <c r="BBV81" s="43"/>
      <c r="BBW81" s="43"/>
      <c r="BBX81" s="43"/>
      <c r="BBY81" s="43"/>
      <c r="BBZ81" s="43"/>
      <c r="BCA81" s="43"/>
      <c r="BCB81" s="43"/>
      <c r="BCC81" s="43"/>
      <c r="BCD81" s="43"/>
      <c r="BCE81" s="43"/>
      <c r="BCF81" s="43"/>
      <c r="BCG81" s="43"/>
      <c r="BCH81" s="43"/>
      <c r="BCI81" s="43"/>
      <c r="BCJ81" s="43"/>
      <c r="BCK81" s="43"/>
      <c r="BCL81" s="43"/>
      <c r="BCM81" s="43"/>
      <c r="BCN81" s="43"/>
      <c r="BCO81" s="43"/>
      <c r="BCP81" s="43"/>
      <c r="BCQ81" s="43"/>
      <c r="BCR81" s="43"/>
      <c r="BCS81" s="43"/>
      <c r="BCT81" s="43"/>
      <c r="BCU81" s="43"/>
      <c r="BCV81" s="43"/>
      <c r="BCW81" s="43"/>
      <c r="BCX81" s="43"/>
      <c r="BCY81" s="43"/>
      <c r="BCZ81" s="43"/>
      <c r="BDA81" s="43"/>
      <c r="BDB81" s="43"/>
      <c r="BDC81" s="43"/>
      <c r="BDD81" s="43"/>
      <c r="BDE81" s="43"/>
      <c r="BDF81" s="43"/>
      <c r="BDG81" s="43"/>
      <c r="BDH81" s="43"/>
      <c r="BDI81" s="43"/>
      <c r="BDJ81" s="43"/>
      <c r="BDK81" s="43"/>
      <c r="BDL81" s="43"/>
      <c r="BDM81" s="43"/>
      <c r="BDN81" s="43"/>
      <c r="BDO81" s="43"/>
      <c r="BDP81" s="43"/>
      <c r="BDQ81" s="43"/>
      <c r="BDR81" s="43"/>
      <c r="BDS81" s="43"/>
      <c r="BDT81" s="43"/>
      <c r="BDU81" s="43"/>
      <c r="BDV81" s="43"/>
      <c r="BDW81" s="43"/>
      <c r="BDX81" s="43"/>
      <c r="BDY81" s="43"/>
      <c r="BDZ81" s="43"/>
      <c r="BEA81" s="43"/>
      <c r="BEB81" s="43"/>
      <c r="BEC81" s="43"/>
      <c r="BED81" s="43"/>
      <c r="BEE81" s="43"/>
      <c r="BEF81" s="43"/>
      <c r="BEG81" s="43"/>
      <c r="BEH81" s="43"/>
      <c r="BEI81" s="43"/>
      <c r="BEJ81" s="43"/>
      <c r="BEK81" s="43"/>
      <c r="BEL81" s="43"/>
      <c r="BEM81" s="43"/>
      <c r="BEN81" s="43"/>
      <c r="BEO81" s="43"/>
      <c r="BEP81" s="43"/>
      <c r="BEQ81" s="43"/>
      <c r="BER81" s="43"/>
      <c r="BES81" s="43"/>
      <c r="BET81" s="43"/>
      <c r="BEU81" s="43"/>
      <c r="BEV81" s="43"/>
      <c r="BEW81" s="43"/>
      <c r="BEX81" s="43"/>
      <c r="BEY81" s="43"/>
      <c r="BEZ81" s="43"/>
      <c r="BFA81" s="43"/>
      <c r="BFB81" s="43"/>
      <c r="BFC81" s="43"/>
      <c r="BFD81" s="43"/>
      <c r="BFE81" s="43"/>
      <c r="BFF81" s="43"/>
      <c r="BFG81" s="43"/>
      <c r="BFH81" s="43"/>
      <c r="BFI81" s="43"/>
      <c r="BFJ81" s="43"/>
      <c r="BFK81" s="43"/>
      <c r="BFL81" s="43"/>
      <c r="BFM81" s="43"/>
      <c r="BFN81" s="43"/>
      <c r="BFO81" s="43"/>
      <c r="BFP81" s="43"/>
      <c r="BFQ81" s="43"/>
      <c r="BFR81" s="43"/>
      <c r="BFS81" s="43"/>
      <c r="BFT81" s="43"/>
      <c r="BFU81" s="43"/>
      <c r="BFV81" s="43"/>
      <c r="BFW81" s="43"/>
      <c r="BFX81" s="43"/>
      <c r="BFY81" s="43"/>
      <c r="BFZ81" s="43"/>
      <c r="BGA81" s="43"/>
      <c r="BGB81" s="43"/>
      <c r="BGC81" s="43"/>
      <c r="BGD81" s="43"/>
      <c r="BGE81" s="43"/>
      <c r="BGF81" s="43"/>
      <c r="BGG81" s="43"/>
      <c r="BGH81" s="43"/>
      <c r="BGI81" s="43"/>
      <c r="BGJ81" s="43"/>
      <c r="BGK81" s="43"/>
      <c r="BGL81" s="43"/>
      <c r="BGM81" s="43"/>
      <c r="BGN81" s="43"/>
      <c r="BGO81" s="43"/>
      <c r="BGP81" s="43"/>
      <c r="BGQ81" s="43"/>
      <c r="BGR81" s="43"/>
      <c r="BGS81" s="43"/>
      <c r="BGT81" s="43"/>
      <c r="BGU81" s="43"/>
      <c r="BGV81" s="43"/>
      <c r="BGW81" s="43"/>
      <c r="BGX81" s="43"/>
      <c r="BGY81" s="43"/>
      <c r="BGZ81" s="43"/>
      <c r="BHA81" s="43"/>
      <c r="BHB81" s="43"/>
      <c r="BHC81" s="43"/>
      <c r="BHD81" s="43"/>
      <c r="BHE81" s="43"/>
      <c r="BHF81" s="43"/>
      <c r="BHG81" s="43"/>
      <c r="BHH81" s="43"/>
      <c r="BHI81" s="43"/>
      <c r="BHJ81" s="43"/>
      <c r="BHK81" s="43"/>
      <c r="BHL81" s="43"/>
      <c r="BHM81" s="43"/>
      <c r="BHN81" s="43"/>
      <c r="BHO81" s="43"/>
      <c r="BHP81" s="43"/>
      <c r="BHQ81" s="43"/>
      <c r="BHR81" s="43"/>
      <c r="BHS81" s="43"/>
      <c r="BHT81" s="43"/>
      <c r="BHU81" s="43"/>
      <c r="BHV81" s="43"/>
      <c r="BHW81" s="43"/>
      <c r="BHX81" s="43"/>
      <c r="BHY81" s="43"/>
      <c r="BHZ81" s="43"/>
      <c r="BIA81" s="43"/>
      <c r="BIB81" s="43"/>
      <c r="BIC81" s="43"/>
      <c r="BID81" s="43"/>
      <c r="BIE81" s="43"/>
      <c r="BIF81" s="43"/>
      <c r="BIG81" s="43"/>
      <c r="BIH81" s="43"/>
      <c r="BII81" s="43"/>
      <c r="BIJ81" s="43"/>
      <c r="BIK81" s="43"/>
      <c r="BIL81" s="43"/>
      <c r="BIM81" s="43"/>
      <c r="BIN81" s="43"/>
      <c r="BIO81" s="43"/>
      <c r="BIP81" s="43"/>
      <c r="BIQ81" s="43"/>
      <c r="BIR81" s="43"/>
      <c r="BIS81" s="43"/>
      <c r="BIT81" s="43"/>
      <c r="BIU81" s="43"/>
      <c r="BIV81" s="43"/>
      <c r="BIW81" s="43"/>
      <c r="BIX81" s="43"/>
      <c r="BIY81" s="43"/>
      <c r="BIZ81" s="43"/>
      <c r="BJA81" s="43"/>
      <c r="BJB81" s="43"/>
      <c r="BJC81" s="43"/>
      <c r="BJD81" s="43"/>
      <c r="BJE81" s="43"/>
      <c r="BJF81" s="43"/>
      <c r="BJG81" s="43"/>
      <c r="BJH81" s="43"/>
      <c r="BJI81" s="43"/>
      <c r="BJJ81" s="43"/>
      <c r="BJK81" s="43"/>
      <c r="BJL81" s="43"/>
      <c r="BJM81" s="43"/>
      <c r="BJN81" s="43"/>
      <c r="BJO81" s="43"/>
      <c r="BJP81" s="43"/>
      <c r="BJQ81" s="43"/>
      <c r="BJR81" s="43"/>
      <c r="BJS81" s="43"/>
      <c r="BJT81" s="43"/>
      <c r="BJU81" s="43"/>
      <c r="BJV81" s="43"/>
      <c r="BJW81" s="43"/>
      <c r="BJX81" s="43"/>
      <c r="BJY81" s="43"/>
      <c r="BJZ81" s="43"/>
      <c r="BKA81" s="43"/>
      <c r="BKB81" s="43"/>
      <c r="BKC81" s="43"/>
      <c r="BKD81" s="43"/>
      <c r="BKE81" s="43"/>
      <c r="BKF81" s="43"/>
      <c r="BKG81" s="43"/>
      <c r="BKH81" s="43"/>
      <c r="BKI81" s="43"/>
      <c r="BKJ81" s="43"/>
      <c r="BKK81" s="43"/>
      <c r="BKL81" s="43"/>
      <c r="BKM81" s="43"/>
      <c r="BKN81" s="43"/>
      <c r="BKO81" s="43"/>
      <c r="BKP81" s="43"/>
      <c r="BKQ81" s="43"/>
      <c r="BKR81" s="43"/>
      <c r="BKS81" s="43"/>
      <c r="BKT81" s="43"/>
      <c r="BKU81" s="43"/>
      <c r="BKV81" s="43"/>
      <c r="BKW81" s="43"/>
      <c r="BKX81" s="43"/>
      <c r="BKY81" s="43"/>
      <c r="BKZ81" s="43"/>
      <c r="BLA81" s="43"/>
      <c r="BLB81" s="43"/>
      <c r="BLC81" s="43"/>
      <c r="BLD81" s="43"/>
      <c r="BLE81" s="43"/>
      <c r="BLF81" s="43"/>
      <c r="BLG81" s="43"/>
      <c r="BLH81" s="43"/>
      <c r="BLI81" s="43"/>
      <c r="BLJ81" s="43"/>
      <c r="BLK81" s="43"/>
      <c r="BLL81" s="43"/>
      <c r="BLM81" s="43"/>
      <c r="BLN81" s="43"/>
      <c r="BLO81" s="43"/>
      <c r="BLP81" s="43"/>
      <c r="BLQ81" s="43"/>
      <c r="BLR81" s="43"/>
      <c r="BLS81" s="43"/>
      <c r="BLT81" s="43"/>
      <c r="BLU81" s="43"/>
      <c r="BLV81" s="43"/>
      <c r="BLW81" s="43"/>
      <c r="BLX81" s="43"/>
      <c r="BLY81" s="43"/>
      <c r="BLZ81" s="43"/>
      <c r="BMA81" s="43"/>
      <c r="BMB81" s="43"/>
      <c r="BMC81" s="43"/>
      <c r="BMD81" s="43"/>
      <c r="BME81" s="43"/>
      <c r="BMF81" s="43"/>
      <c r="BMG81" s="43"/>
      <c r="BMH81" s="43"/>
      <c r="BMI81" s="43"/>
      <c r="BMJ81" s="43"/>
      <c r="BMK81" s="43"/>
      <c r="BML81" s="43"/>
      <c r="BMM81" s="43"/>
      <c r="BMN81" s="43"/>
      <c r="BMO81" s="43"/>
      <c r="BMP81" s="43"/>
      <c r="BMQ81" s="43"/>
      <c r="BMR81" s="43"/>
      <c r="BMS81" s="43"/>
      <c r="BMT81" s="43"/>
      <c r="BMU81" s="43"/>
      <c r="BMV81" s="43"/>
      <c r="BMW81" s="43"/>
      <c r="BMX81" s="43"/>
      <c r="BMY81" s="43"/>
      <c r="BMZ81" s="43"/>
      <c r="BNA81" s="43"/>
      <c r="BNB81" s="43"/>
      <c r="BNC81" s="43"/>
      <c r="BND81" s="43"/>
      <c r="BNE81" s="43"/>
      <c r="BNF81" s="43"/>
      <c r="BNG81" s="43"/>
      <c r="BNH81" s="43"/>
      <c r="BNI81" s="43"/>
      <c r="BNJ81" s="43"/>
      <c r="BNK81" s="43"/>
      <c r="BNL81" s="43"/>
      <c r="BNM81" s="43"/>
      <c r="BNN81" s="43"/>
      <c r="BNO81" s="43"/>
      <c r="BNP81" s="43"/>
      <c r="BNQ81" s="43"/>
      <c r="BNR81" s="43"/>
      <c r="BNS81" s="43"/>
      <c r="BNT81" s="43"/>
      <c r="BNU81" s="43"/>
      <c r="BNV81" s="43"/>
      <c r="BNW81" s="43"/>
      <c r="BNX81" s="43"/>
      <c r="BNY81" s="43"/>
      <c r="BNZ81" s="43"/>
      <c r="BOA81" s="43"/>
      <c r="BOB81" s="43"/>
      <c r="BOC81" s="43"/>
      <c r="BOD81" s="43"/>
      <c r="BOE81" s="43"/>
      <c r="BOF81" s="43"/>
      <c r="BOG81" s="43"/>
      <c r="BOH81" s="43"/>
      <c r="BOI81" s="43"/>
      <c r="BOJ81" s="43"/>
      <c r="BOK81" s="43"/>
      <c r="BOL81" s="43"/>
      <c r="BOM81" s="43"/>
      <c r="BON81" s="43"/>
      <c r="BOO81" s="43"/>
      <c r="BOP81" s="43"/>
      <c r="BOQ81" s="43"/>
      <c r="BOR81" s="43"/>
      <c r="BOS81" s="43"/>
      <c r="BOT81" s="43"/>
      <c r="BOU81" s="43"/>
      <c r="BOV81" s="43"/>
      <c r="BOW81" s="43"/>
      <c r="BOX81" s="43"/>
      <c r="BOY81" s="43"/>
      <c r="BOZ81" s="43"/>
      <c r="BPA81" s="43"/>
      <c r="BPB81" s="43"/>
      <c r="BPC81" s="43"/>
      <c r="BPD81" s="43"/>
      <c r="BPE81" s="43"/>
      <c r="BPF81" s="43"/>
      <c r="BPG81" s="43"/>
      <c r="BPH81" s="43"/>
      <c r="BPI81" s="43"/>
      <c r="BPJ81" s="43"/>
      <c r="BPK81" s="43"/>
      <c r="BPL81" s="43"/>
      <c r="BPM81" s="43"/>
      <c r="BPN81" s="43"/>
      <c r="BPO81" s="43"/>
      <c r="BPP81" s="43"/>
      <c r="BPQ81" s="43"/>
      <c r="BPR81" s="43"/>
      <c r="BPS81" s="43"/>
      <c r="BPT81" s="43"/>
      <c r="BPU81" s="43"/>
      <c r="BPV81" s="43"/>
      <c r="BPW81" s="43"/>
      <c r="BPX81" s="43"/>
      <c r="BPY81" s="43"/>
      <c r="BPZ81" s="43"/>
      <c r="BQA81" s="43"/>
      <c r="BQB81" s="43"/>
      <c r="BQC81" s="43"/>
      <c r="BQD81" s="43"/>
      <c r="BQE81" s="43"/>
      <c r="BQF81" s="43"/>
      <c r="BQG81" s="43"/>
      <c r="BQH81" s="43"/>
      <c r="BQI81" s="43"/>
      <c r="BQJ81" s="43"/>
      <c r="BQK81" s="43"/>
      <c r="BQL81" s="43"/>
      <c r="BQM81" s="43"/>
      <c r="BQN81" s="43"/>
      <c r="BQO81" s="43"/>
      <c r="BQP81" s="43"/>
      <c r="BQQ81" s="43"/>
      <c r="BQR81" s="43"/>
      <c r="BQS81" s="43"/>
      <c r="BQT81" s="43"/>
      <c r="BQU81" s="43"/>
      <c r="BQV81" s="43"/>
      <c r="BQW81" s="43"/>
      <c r="BQX81" s="43"/>
      <c r="BQY81" s="43"/>
      <c r="BQZ81" s="43"/>
      <c r="BRA81" s="43"/>
      <c r="BRB81" s="43"/>
      <c r="BRC81" s="43"/>
      <c r="BRD81" s="43"/>
      <c r="BRE81" s="43"/>
      <c r="BRF81" s="43"/>
      <c r="BRG81" s="43"/>
      <c r="BRH81" s="43"/>
      <c r="BRI81" s="43"/>
      <c r="BRJ81" s="43"/>
      <c r="BRK81" s="43"/>
      <c r="BRL81" s="43"/>
      <c r="BRM81" s="43"/>
      <c r="BRN81" s="43"/>
      <c r="BRO81" s="43"/>
      <c r="BRP81" s="43"/>
      <c r="BRQ81" s="43"/>
      <c r="BRR81" s="43"/>
      <c r="BRS81" s="43"/>
      <c r="BRT81" s="43"/>
      <c r="BRU81" s="43"/>
      <c r="BRV81" s="43"/>
      <c r="BRW81" s="43"/>
      <c r="BRX81" s="43"/>
      <c r="BRY81" s="43"/>
      <c r="BRZ81" s="43"/>
      <c r="BSA81" s="43"/>
      <c r="BSB81" s="43"/>
      <c r="BSC81" s="43"/>
      <c r="BSD81" s="43"/>
      <c r="BSE81" s="43"/>
      <c r="BSF81" s="43"/>
      <c r="BSG81" s="43"/>
      <c r="BSH81" s="43"/>
      <c r="BSI81" s="43"/>
      <c r="BSJ81" s="43"/>
      <c r="BSK81" s="43"/>
      <c r="BSL81" s="43"/>
      <c r="BSM81" s="43"/>
      <c r="BSN81" s="43"/>
      <c r="BSO81" s="43"/>
      <c r="BSP81" s="43"/>
      <c r="BSQ81" s="43"/>
      <c r="BSR81" s="43"/>
      <c r="BSS81" s="43"/>
      <c r="BST81" s="43"/>
      <c r="BSU81" s="43"/>
      <c r="BSV81" s="43"/>
      <c r="BSW81" s="43"/>
      <c r="BSX81" s="43"/>
      <c r="BSY81" s="43"/>
      <c r="BSZ81" s="43"/>
      <c r="BTA81" s="43"/>
      <c r="BTB81" s="43"/>
      <c r="BTC81" s="43"/>
      <c r="BTD81" s="43"/>
      <c r="BTE81" s="43"/>
      <c r="BTF81" s="43"/>
      <c r="BTG81" s="43"/>
      <c r="BTH81" s="43"/>
      <c r="BTI81" s="43"/>
      <c r="BTJ81" s="43"/>
      <c r="BTK81" s="43"/>
      <c r="BTL81" s="43"/>
      <c r="BTM81" s="43"/>
      <c r="BTN81" s="43"/>
      <c r="BTO81" s="43"/>
      <c r="BTP81" s="43"/>
      <c r="BTQ81" s="43"/>
      <c r="BTR81" s="43"/>
      <c r="BTS81" s="43"/>
      <c r="BTT81" s="43"/>
      <c r="BTU81" s="43"/>
      <c r="BTV81" s="43"/>
      <c r="BTW81" s="43"/>
      <c r="BTX81" s="43"/>
      <c r="BTY81" s="43"/>
      <c r="BTZ81" s="43"/>
      <c r="BUA81" s="43"/>
      <c r="BUB81" s="43"/>
      <c r="BUC81" s="43"/>
      <c r="BUD81" s="43"/>
      <c r="BUE81" s="43"/>
      <c r="BUF81" s="43"/>
      <c r="BUG81" s="43"/>
      <c r="BUH81" s="43"/>
      <c r="BUI81" s="43"/>
      <c r="BUJ81" s="43"/>
      <c r="BUK81" s="43"/>
      <c r="BUL81" s="43"/>
      <c r="BUM81" s="43"/>
      <c r="BUN81" s="43"/>
      <c r="BUO81" s="43"/>
      <c r="BUP81" s="43"/>
      <c r="BUQ81" s="43"/>
      <c r="BUR81" s="43"/>
      <c r="BUS81" s="43"/>
      <c r="BUT81" s="43"/>
      <c r="BUU81" s="43"/>
      <c r="BUV81" s="43"/>
      <c r="BUW81" s="43"/>
      <c r="BUX81" s="43"/>
      <c r="BUY81" s="43"/>
      <c r="BUZ81" s="43"/>
      <c r="BVA81" s="43"/>
      <c r="BVB81" s="43"/>
      <c r="BVC81" s="43"/>
      <c r="BVD81" s="43"/>
      <c r="BVE81" s="43"/>
      <c r="BVF81" s="43"/>
      <c r="BVG81" s="43"/>
      <c r="BVH81" s="43"/>
      <c r="BVI81" s="43"/>
      <c r="BVJ81" s="43"/>
      <c r="BVK81" s="43"/>
      <c r="BVL81" s="43"/>
      <c r="BVM81" s="43"/>
      <c r="BVN81" s="43"/>
      <c r="BVO81" s="43"/>
      <c r="BVP81" s="43"/>
      <c r="BVQ81" s="43"/>
      <c r="BVR81" s="43"/>
      <c r="BVS81" s="43"/>
      <c r="BVT81" s="43"/>
      <c r="BVU81" s="43"/>
      <c r="BVV81" s="43"/>
      <c r="BVW81" s="43"/>
      <c r="BVX81" s="43"/>
      <c r="BVY81" s="43"/>
      <c r="BVZ81" s="43"/>
      <c r="BWA81" s="43"/>
      <c r="BWB81" s="43"/>
      <c r="BWC81" s="43"/>
      <c r="BWD81" s="43"/>
      <c r="BWE81" s="43"/>
      <c r="BWF81" s="43"/>
      <c r="BWG81" s="43"/>
      <c r="BWH81" s="43"/>
      <c r="BWI81" s="43"/>
      <c r="BWJ81" s="43"/>
      <c r="BWK81" s="43"/>
      <c r="BWL81" s="43"/>
      <c r="BWM81" s="43"/>
      <c r="BWN81" s="43"/>
      <c r="BWO81" s="43"/>
      <c r="BWP81" s="43"/>
      <c r="BWQ81" s="43"/>
      <c r="BWR81" s="43"/>
      <c r="BWS81" s="43"/>
      <c r="BWT81" s="43"/>
      <c r="BWU81" s="43"/>
      <c r="BWV81" s="43"/>
      <c r="BWW81" s="43"/>
      <c r="BWX81" s="43"/>
      <c r="BWY81" s="43"/>
      <c r="BWZ81" s="43"/>
      <c r="BXA81" s="43"/>
      <c r="BXB81" s="43"/>
      <c r="BXC81" s="43"/>
      <c r="BXD81" s="43"/>
      <c r="BXE81" s="43"/>
      <c r="BXF81" s="43"/>
      <c r="BXG81" s="43"/>
      <c r="BXH81" s="43"/>
      <c r="BXI81" s="43"/>
      <c r="BXJ81" s="43"/>
      <c r="BXK81" s="43"/>
      <c r="BXL81" s="43"/>
      <c r="BXM81" s="43"/>
      <c r="BXN81" s="43"/>
      <c r="BXO81" s="43"/>
      <c r="BXP81" s="43"/>
      <c r="BXQ81" s="43"/>
      <c r="BXR81" s="43"/>
      <c r="BXS81" s="43"/>
      <c r="BXT81" s="43"/>
      <c r="BXU81" s="43"/>
      <c r="BXV81" s="43"/>
      <c r="BXW81" s="43"/>
      <c r="BXX81" s="43"/>
      <c r="BXY81" s="43"/>
      <c r="BXZ81" s="43"/>
      <c r="BYA81" s="43"/>
      <c r="BYB81" s="43"/>
      <c r="BYC81" s="43"/>
      <c r="BYD81" s="43"/>
      <c r="BYE81" s="43"/>
      <c r="BYF81" s="43"/>
      <c r="BYG81" s="43"/>
      <c r="BYH81" s="43"/>
      <c r="BYI81" s="43"/>
      <c r="BYJ81" s="43"/>
      <c r="BYK81" s="43"/>
      <c r="BYL81" s="43"/>
      <c r="BYM81" s="43"/>
      <c r="BYN81" s="43"/>
      <c r="BYO81" s="43"/>
      <c r="BYP81" s="43"/>
      <c r="BYQ81" s="43"/>
      <c r="BYR81" s="43"/>
      <c r="BYS81" s="43"/>
      <c r="BYT81" s="43"/>
      <c r="BYU81" s="43"/>
      <c r="BYV81" s="43"/>
      <c r="BYW81" s="43"/>
      <c r="BYX81" s="43"/>
      <c r="BYY81" s="43"/>
      <c r="BYZ81" s="43"/>
      <c r="BZA81" s="43"/>
      <c r="BZB81" s="43"/>
      <c r="BZC81" s="43"/>
      <c r="BZD81" s="43"/>
      <c r="BZE81" s="43"/>
      <c r="BZF81" s="43"/>
      <c r="BZG81" s="43"/>
      <c r="BZH81" s="43"/>
      <c r="BZI81" s="43"/>
      <c r="BZJ81" s="43"/>
      <c r="BZK81" s="43"/>
      <c r="BZL81" s="43"/>
      <c r="BZM81" s="43"/>
      <c r="BZN81" s="43"/>
      <c r="BZO81" s="43"/>
      <c r="BZP81" s="43"/>
      <c r="BZQ81" s="43"/>
      <c r="BZR81" s="43"/>
      <c r="BZS81" s="43"/>
      <c r="BZT81" s="43"/>
      <c r="BZU81" s="43"/>
      <c r="BZV81" s="43"/>
      <c r="BZW81" s="43"/>
      <c r="BZX81" s="43"/>
      <c r="BZY81" s="43"/>
      <c r="BZZ81" s="43"/>
      <c r="CAA81" s="43"/>
      <c r="CAB81" s="43"/>
      <c r="CAC81" s="43"/>
      <c r="CAD81" s="43"/>
      <c r="CAE81" s="43"/>
      <c r="CAF81" s="43"/>
      <c r="CAG81" s="43"/>
      <c r="CAH81" s="43"/>
      <c r="CAI81" s="43"/>
      <c r="CAJ81" s="43"/>
      <c r="CAK81" s="43"/>
      <c r="CAL81" s="43"/>
      <c r="CAM81" s="43"/>
      <c r="CAN81" s="43"/>
      <c r="CAO81" s="43"/>
      <c r="CAP81" s="43"/>
      <c r="CAQ81" s="43"/>
      <c r="CAR81" s="43"/>
      <c r="CAS81" s="43"/>
      <c r="CAT81" s="43"/>
      <c r="CAU81" s="43"/>
      <c r="CAV81" s="43"/>
      <c r="CAW81" s="43"/>
      <c r="CAX81" s="43"/>
      <c r="CAY81" s="43"/>
      <c r="CAZ81" s="43"/>
      <c r="CBA81" s="43"/>
      <c r="CBB81" s="43"/>
      <c r="CBC81" s="43"/>
      <c r="CBD81" s="43"/>
      <c r="CBE81" s="43"/>
      <c r="CBF81" s="43"/>
      <c r="CBG81" s="43"/>
      <c r="CBH81" s="43"/>
    </row>
    <row r="82" spans="1:2088" x14ac:dyDescent="0.2">
      <c r="A82" s="1" t="s">
        <v>164</v>
      </c>
      <c r="B82" s="58" t="str">
        <f t="shared" ref="B82" si="6">IF(OR(B23="",B22="",B120="",B122=""),"error: missing input",1/(1+EXP(-(-9.526+(1.6128*IF(B23="male",1,0))+(0.0844*B22)+(2.7112*IF((B120-1)=2,1,0))+(-0.4675*IF((B120-1)=0,1,0))+(1.494*((B122&gt;=0)+(B122&gt;=2)+(B122&gt;=4)))+(-0.0187*B22*IF((B120-1)=2,1,0))+(-0.0131*B22*((B122&gt;=0)+(B122&gt;=2)+(B122&gt;=4)))+(-0.2799*IF((B120-1)=2,1,0)*((B122&gt;=0)+(B122&gt;=2)+(B122&gt;=4)))+(-0.2091*IF(B23="male",1,0)*((B122&gt;=0)+(B122&gt;=2)+(B122&gt;=4)))))))</f>
        <v>error: missing input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  <c r="IU82" s="43"/>
      <c r="IV82" s="43"/>
      <c r="IW82" s="43"/>
      <c r="IX82" s="43"/>
      <c r="IY82" s="43"/>
      <c r="IZ82" s="43"/>
      <c r="JA82" s="43"/>
      <c r="JB82" s="43"/>
      <c r="JC82" s="43"/>
      <c r="JD82" s="43"/>
      <c r="JE82" s="43"/>
      <c r="JF82" s="43"/>
      <c r="JG82" s="43"/>
      <c r="JH82" s="43"/>
      <c r="JI82" s="43"/>
      <c r="JJ82" s="43"/>
      <c r="JK82" s="43"/>
      <c r="JL82" s="43"/>
      <c r="JM82" s="43"/>
      <c r="JN82" s="43"/>
      <c r="JO82" s="43"/>
      <c r="JP82" s="43"/>
      <c r="JQ82" s="43"/>
      <c r="JR82" s="43"/>
      <c r="JS82" s="43"/>
      <c r="JT82" s="43"/>
      <c r="JU82" s="43"/>
      <c r="JV82" s="43"/>
      <c r="JW82" s="43"/>
      <c r="JX82" s="43"/>
      <c r="JY82" s="43"/>
      <c r="JZ82" s="43"/>
      <c r="KA82" s="43"/>
      <c r="KB82" s="43"/>
      <c r="KC82" s="43"/>
      <c r="KD82" s="43"/>
      <c r="KE82" s="43"/>
      <c r="KF82" s="43"/>
      <c r="KG82" s="43"/>
      <c r="KH82" s="43"/>
      <c r="KI82" s="43"/>
      <c r="KJ82" s="43"/>
      <c r="KK82" s="43"/>
      <c r="KL82" s="43"/>
      <c r="KM82" s="43"/>
      <c r="KN82" s="43"/>
      <c r="KO82" s="43"/>
      <c r="KP82" s="43"/>
      <c r="KQ82" s="43"/>
      <c r="KR82" s="43"/>
      <c r="KS82" s="43"/>
      <c r="KT82" s="43"/>
      <c r="KU82" s="43"/>
      <c r="KV82" s="43"/>
      <c r="KW82" s="43"/>
      <c r="KX82" s="43"/>
      <c r="KY82" s="43"/>
      <c r="KZ82" s="43"/>
      <c r="LA82" s="43"/>
      <c r="LB82" s="43"/>
      <c r="LC82" s="43"/>
      <c r="LD82" s="43"/>
      <c r="LE82" s="43"/>
      <c r="LF82" s="43"/>
      <c r="LG82" s="43"/>
      <c r="LH82" s="43"/>
      <c r="LI82" s="43"/>
      <c r="LJ82" s="43"/>
      <c r="LK82" s="43"/>
      <c r="LL82" s="43"/>
      <c r="LM82" s="43"/>
      <c r="LN82" s="43"/>
      <c r="LO82" s="43"/>
      <c r="LP82" s="43"/>
      <c r="LQ82" s="43"/>
      <c r="LR82" s="43"/>
      <c r="LS82" s="43"/>
      <c r="LT82" s="43"/>
      <c r="LU82" s="43"/>
      <c r="LV82" s="43"/>
      <c r="LW82" s="43"/>
      <c r="LX82" s="43"/>
      <c r="LY82" s="43"/>
      <c r="LZ82" s="43"/>
      <c r="MA82" s="43"/>
      <c r="MB82" s="43"/>
      <c r="MC82" s="43"/>
      <c r="MD82" s="43"/>
      <c r="ME82" s="43"/>
      <c r="MF82" s="43"/>
      <c r="MG82" s="43"/>
      <c r="MH82" s="43"/>
      <c r="MI82" s="43"/>
      <c r="MJ82" s="43"/>
      <c r="MK82" s="43"/>
      <c r="ML82" s="43"/>
      <c r="MM82" s="43"/>
      <c r="MN82" s="43"/>
      <c r="MO82" s="43"/>
      <c r="MP82" s="43"/>
      <c r="MQ82" s="43"/>
      <c r="MR82" s="43"/>
      <c r="MS82" s="43"/>
      <c r="MT82" s="43"/>
      <c r="MU82" s="43"/>
      <c r="MV82" s="43"/>
      <c r="MW82" s="43"/>
      <c r="MX82" s="43"/>
      <c r="MY82" s="43"/>
      <c r="MZ82" s="43"/>
      <c r="NA82" s="43"/>
      <c r="NB82" s="43"/>
      <c r="NC82" s="43"/>
      <c r="ND82" s="43"/>
      <c r="NE82" s="43"/>
      <c r="NF82" s="43"/>
      <c r="NG82" s="43"/>
      <c r="NH82" s="43"/>
      <c r="NI82" s="43"/>
      <c r="NJ82" s="43"/>
      <c r="NK82" s="43"/>
      <c r="NL82" s="43"/>
      <c r="NM82" s="43"/>
      <c r="NN82" s="43"/>
      <c r="NO82" s="43"/>
      <c r="NP82" s="43"/>
      <c r="NQ82" s="43"/>
      <c r="NR82" s="43"/>
      <c r="NS82" s="43"/>
      <c r="NT82" s="43"/>
      <c r="NU82" s="43"/>
      <c r="NV82" s="43"/>
      <c r="NW82" s="43"/>
      <c r="NX82" s="43"/>
      <c r="NY82" s="43"/>
      <c r="NZ82" s="43"/>
      <c r="OA82" s="43"/>
      <c r="OB82" s="43"/>
      <c r="OC82" s="43"/>
      <c r="OD82" s="43"/>
      <c r="OE82" s="43"/>
      <c r="OF82" s="43"/>
      <c r="OG82" s="43"/>
      <c r="OH82" s="43"/>
      <c r="OI82" s="43"/>
      <c r="OJ82" s="43"/>
      <c r="OK82" s="43"/>
      <c r="OL82" s="43"/>
      <c r="OM82" s="43"/>
      <c r="ON82" s="43"/>
      <c r="OO82" s="43"/>
      <c r="OP82" s="43"/>
      <c r="OQ82" s="43"/>
      <c r="OR82" s="43"/>
      <c r="OS82" s="43"/>
      <c r="OT82" s="43"/>
      <c r="OU82" s="43"/>
      <c r="OV82" s="43"/>
      <c r="OW82" s="43"/>
      <c r="OX82" s="43"/>
      <c r="OY82" s="43"/>
      <c r="OZ82" s="43"/>
      <c r="PA82" s="43"/>
      <c r="PB82" s="43"/>
      <c r="PC82" s="43"/>
      <c r="PD82" s="43"/>
      <c r="PE82" s="43"/>
      <c r="PF82" s="43"/>
      <c r="PG82" s="43"/>
      <c r="PH82" s="43"/>
      <c r="PI82" s="43"/>
      <c r="PJ82" s="43"/>
      <c r="PK82" s="43"/>
      <c r="PL82" s="43"/>
      <c r="PM82" s="43"/>
      <c r="PN82" s="43"/>
      <c r="PO82" s="43"/>
      <c r="PP82" s="43"/>
      <c r="PQ82" s="43"/>
      <c r="PR82" s="43"/>
      <c r="PS82" s="43"/>
      <c r="PT82" s="43"/>
      <c r="PU82" s="43"/>
      <c r="PV82" s="43"/>
      <c r="PW82" s="43"/>
      <c r="PX82" s="43"/>
      <c r="PY82" s="43"/>
      <c r="PZ82" s="43"/>
      <c r="QA82" s="43"/>
      <c r="QB82" s="43"/>
      <c r="QC82" s="43"/>
      <c r="QD82" s="43"/>
      <c r="QE82" s="43"/>
      <c r="QF82" s="43"/>
      <c r="QG82" s="43"/>
      <c r="QH82" s="43"/>
      <c r="QI82" s="43"/>
      <c r="QJ82" s="43"/>
      <c r="QK82" s="43"/>
      <c r="QL82" s="43"/>
      <c r="QM82" s="43"/>
      <c r="QN82" s="43"/>
      <c r="QO82" s="43"/>
      <c r="QP82" s="43"/>
      <c r="QQ82" s="43"/>
      <c r="QR82" s="43"/>
      <c r="QS82" s="43"/>
      <c r="QT82" s="43"/>
      <c r="QU82" s="43"/>
      <c r="QV82" s="43"/>
      <c r="QW82" s="43"/>
      <c r="QX82" s="43"/>
      <c r="QY82" s="43"/>
      <c r="QZ82" s="43"/>
      <c r="RA82" s="43"/>
      <c r="RB82" s="43"/>
      <c r="RC82" s="43"/>
      <c r="RD82" s="43"/>
      <c r="RE82" s="43"/>
      <c r="RF82" s="43"/>
      <c r="RG82" s="43"/>
      <c r="RH82" s="43"/>
      <c r="RI82" s="43"/>
      <c r="RJ82" s="43"/>
      <c r="RK82" s="43"/>
      <c r="RL82" s="43"/>
      <c r="RM82" s="43"/>
      <c r="RN82" s="43"/>
      <c r="RO82" s="43"/>
      <c r="RP82" s="43"/>
      <c r="RQ82" s="43"/>
      <c r="RR82" s="43"/>
      <c r="RS82" s="43"/>
      <c r="RT82" s="43"/>
      <c r="RU82" s="43"/>
      <c r="RV82" s="43"/>
      <c r="RW82" s="43"/>
      <c r="RX82" s="43"/>
      <c r="RY82" s="43"/>
      <c r="RZ82" s="43"/>
      <c r="SA82" s="43"/>
      <c r="SB82" s="43"/>
      <c r="SC82" s="43"/>
      <c r="SD82" s="43"/>
      <c r="SE82" s="43"/>
      <c r="SF82" s="43"/>
      <c r="SG82" s="43"/>
      <c r="SH82" s="43"/>
      <c r="SI82" s="43"/>
      <c r="SJ82" s="43"/>
      <c r="SK82" s="43"/>
      <c r="SL82" s="43"/>
      <c r="SM82" s="43"/>
      <c r="SN82" s="43"/>
      <c r="SO82" s="43"/>
      <c r="SP82" s="43"/>
      <c r="SQ82" s="43"/>
      <c r="SR82" s="43"/>
      <c r="SS82" s="43"/>
      <c r="ST82" s="43"/>
      <c r="SU82" s="43"/>
      <c r="SV82" s="43"/>
      <c r="SW82" s="43"/>
      <c r="SX82" s="43"/>
      <c r="SY82" s="43"/>
      <c r="SZ82" s="43"/>
      <c r="TA82" s="43"/>
      <c r="TB82" s="43"/>
      <c r="TC82" s="43"/>
      <c r="TD82" s="43"/>
      <c r="TE82" s="43"/>
      <c r="TF82" s="43"/>
      <c r="TG82" s="43"/>
      <c r="TH82" s="43"/>
      <c r="TI82" s="43"/>
      <c r="TJ82" s="43"/>
      <c r="TK82" s="43"/>
      <c r="TL82" s="43"/>
      <c r="TM82" s="43"/>
      <c r="TN82" s="43"/>
      <c r="TO82" s="43"/>
      <c r="TP82" s="43"/>
      <c r="TQ82" s="43"/>
      <c r="TR82" s="43"/>
      <c r="TS82" s="43"/>
      <c r="TT82" s="43"/>
      <c r="TU82" s="43"/>
      <c r="TV82" s="43"/>
      <c r="TW82" s="43"/>
      <c r="TX82" s="43"/>
      <c r="TY82" s="43"/>
      <c r="TZ82" s="43"/>
      <c r="UA82" s="43"/>
      <c r="UB82" s="43"/>
      <c r="UC82" s="43"/>
      <c r="UD82" s="43"/>
      <c r="UE82" s="43"/>
      <c r="UF82" s="43"/>
      <c r="UG82" s="43"/>
      <c r="UH82" s="43"/>
      <c r="UI82" s="43"/>
      <c r="UJ82" s="43"/>
      <c r="UK82" s="43"/>
      <c r="UL82" s="43"/>
      <c r="UM82" s="43"/>
      <c r="UN82" s="43"/>
      <c r="UO82" s="43"/>
      <c r="UP82" s="43"/>
      <c r="UQ82" s="43"/>
      <c r="UR82" s="43"/>
      <c r="US82" s="43"/>
      <c r="UT82" s="43"/>
      <c r="UU82" s="43"/>
      <c r="UV82" s="43"/>
      <c r="UW82" s="43"/>
      <c r="UX82" s="43"/>
      <c r="UY82" s="43"/>
      <c r="UZ82" s="43"/>
      <c r="VA82" s="43"/>
      <c r="VB82" s="43"/>
      <c r="VC82" s="43"/>
      <c r="VD82" s="43"/>
      <c r="VE82" s="43"/>
      <c r="VF82" s="43"/>
      <c r="VG82" s="43"/>
      <c r="VH82" s="43"/>
      <c r="VI82" s="43"/>
      <c r="VJ82" s="43"/>
      <c r="VK82" s="43"/>
      <c r="VL82" s="43"/>
      <c r="VM82" s="43"/>
      <c r="VN82" s="43"/>
      <c r="VO82" s="43"/>
      <c r="VP82" s="43"/>
      <c r="VQ82" s="43"/>
      <c r="VR82" s="43"/>
      <c r="VS82" s="43"/>
      <c r="VT82" s="43"/>
      <c r="VU82" s="43"/>
      <c r="VV82" s="43"/>
      <c r="VW82" s="43"/>
      <c r="VX82" s="43"/>
      <c r="VY82" s="43"/>
      <c r="VZ82" s="43"/>
      <c r="WA82" s="43"/>
      <c r="WB82" s="43"/>
      <c r="WC82" s="43"/>
      <c r="WD82" s="43"/>
      <c r="WE82" s="43"/>
      <c r="WF82" s="43"/>
      <c r="WG82" s="43"/>
      <c r="WH82" s="43"/>
      <c r="WI82" s="43"/>
      <c r="WJ82" s="43"/>
      <c r="WK82" s="43"/>
      <c r="WL82" s="43"/>
      <c r="WM82" s="43"/>
      <c r="WN82" s="43"/>
      <c r="WO82" s="43"/>
      <c r="WP82" s="43"/>
      <c r="WQ82" s="43"/>
      <c r="WR82" s="43"/>
      <c r="WS82" s="43"/>
      <c r="WT82" s="43"/>
      <c r="WU82" s="43"/>
      <c r="WV82" s="43"/>
      <c r="WW82" s="43"/>
      <c r="WX82" s="43"/>
      <c r="WY82" s="43"/>
      <c r="WZ82" s="43"/>
      <c r="XA82" s="43"/>
      <c r="XB82" s="43"/>
      <c r="XC82" s="43"/>
      <c r="XD82" s="43"/>
      <c r="XE82" s="43"/>
      <c r="XF82" s="43"/>
      <c r="XG82" s="43"/>
      <c r="XH82" s="43"/>
      <c r="XI82" s="43"/>
      <c r="XJ82" s="43"/>
      <c r="XK82" s="43"/>
      <c r="XL82" s="43"/>
      <c r="XM82" s="43"/>
      <c r="XN82" s="43"/>
      <c r="XO82" s="43"/>
      <c r="XP82" s="43"/>
      <c r="XQ82" s="43"/>
      <c r="XR82" s="43"/>
      <c r="XS82" s="43"/>
      <c r="XT82" s="43"/>
      <c r="XU82" s="43"/>
      <c r="XV82" s="43"/>
      <c r="XW82" s="43"/>
      <c r="XX82" s="43"/>
      <c r="XY82" s="43"/>
      <c r="XZ82" s="43"/>
      <c r="YA82" s="43"/>
      <c r="YB82" s="43"/>
      <c r="YC82" s="43"/>
      <c r="YD82" s="43"/>
      <c r="YE82" s="43"/>
      <c r="YF82" s="43"/>
      <c r="YG82" s="43"/>
      <c r="YH82" s="43"/>
      <c r="YI82" s="43"/>
      <c r="YJ82" s="43"/>
      <c r="YK82" s="43"/>
      <c r="YL82" s="43"/>
      <c r="YM82" s="43"/>
      <c r="YN82" s="43"/>
      <c r="YO82" s="43"/>
      <c r="YP82" s="43"/>
      <c r="YQ82" s="43"/>
      <c r="YR82" s="43"/>
      <c r="YS82" s="43"/>
      <c r="YT82" s="43"/>
      <c r="YU82" s="43"/>
      <c r="YV82" s="43"/>
      <c r="YW82" s="43"/>
      <c r="YX82" s="43"/>
      <c r="YY82" s="43"/>
      <c r="YZ82" s="43"/>
      <c r="ZA82" s="43"/>
      <c r="ZB82" s="43"/>
      <c r="ZC82" s="43"/>
      <c r="ZD82" s="43"/>
      <c r="ZE82" s="43"/>
      <c r="ZF82" s="43"/>
      <c r="ZG82" s="43"/>
      <c r="ZH82" s="43"/>
      <c r="ZI82" s="43"/>
      <c r="ZJ82" s="43"/>
      <c r="ZK82" s="43"/>
      <c r="ZL82" s="43"/>
      <c r="ZM82" s="43"/>
      <c r="ZN82" s="43"/>
      <c r="ZO82" s="43"/>
      <c r="ZP82" s="43"/>
      <c r="ZQ82" s="43"/>
      <c r="ZR82" s="43"/>
      <c r="ZS82" s="43"/>
      <c r="ZT82" s="43"/>
      <c r="ZU82" s="43"/>
      <c r="ZV82" s="43"/>
      <c r="ZW82" s="43"/>
      <c r="ZX82" s="43"/>
      <c r="ZY82" s="43"/>
      <c r="ZZ82" s="43"/>
      <c r="AAA82" s="43"/>
      <c r="AAB82" s="43"/>
      <c r="AAC82" s="43"/>
      <c r="AAD82" s="43"/>
      <c r="AAE82" s="43"/>
      <c r="AAF82" s="43"/>
      <c r="AAG82" s="43"/>
      <c r="AAH82" s="43"/>
      <c r="AAI82" s="43"/>
      <c r="AAJ82" s="43"/>
      <c r="AAK82" s="43"/>
      <c r="AAL82" s="43"/>
      <c r="AAM82" s="43"/>
      <c r="AAN82" s="43"/>
      <c r="AAO82" s="43"/>
      <c r="AAP82" s="43"/>
      <c r="AAQ82" s="43"/>
      <c r="AAR82" s="43"/>
      <c r="AAS82" s="43"/>
      <c r="AAT82" s="43"/>
      <c r="AAU82" s="43"/>
      <c r="AAV82" s="43"/>
      <c r="AAW82" s="43"/>
      <c r="AAX82" s="43"/>
      <c r="AAY82" s="43"/>
      <c r="AAZ82" s="43"/>
      <c r="ABA82" s="43"/>
      <c r="ABB82" s="43"/>
      <c r="ABC82" s="43"/>
      <c r="ABD82" s="43"/>
      <c r="ABE82" s="43"/>
      <c r="ABF82" s="43"/>
      <c r="ABG82" s="43"/>
      <c r="ABH82" s="43"/>
      <c r="ABI82" s="43"/>
      <c r="ABJ82" s="43"/>
      <c r="ABK82" s="43"/>
      <c r="ABL82" s="43"/>
      <c r="ABM82" s="43"/>
      <c r="ABN82" s="43"/>
      <c r="ABO82" s="43"/>
      <c r="ABP82" s="43"/>
      <c r="ABQ82" s="43"/>
      <c r="ABR82" s="43"/>
      <c r="ABS82" s="43"/>
      <c r="ABT82" s="43"/>
      <c r="ABU82" s="43"/>
      <c r="ABV82" s="43"/>
      <c r="ABW82" s="43"/>
      <c r="ABX82" s="43"/>
      <c r="ABY82" s="43"/>
      <c r="ABZ82" s="43"/>
      <c r="ACA82" s="43"/>
      <c r="ACB82" s="43"/>
      <c r="ACC82" s="43"/>
      <c r="ACD82" s="43"/>
      <c r="ACE82" s="43"/>
      <c r="ACF82" s="43"/>
      <c r="ACG82" s="43"/>
      <c r="ACH82" s="43"/>
      <c r="ACI82" s="43"/>
      <c r="ACJ82" s="43"/>
      <c r="ACK82" s="43"/>
      <c r="ACL82" s="43"/>
      <c r="ACM82" s="43"/>
      <c r="ACN82" s="43"/>
      <c r="ACO82" s="43"/>
      <c r="ACP82" s="43"/>
      <c r="ACQ82" s="43"/>
      <c r="ACR82" s="43"/>
      <c r="ACS82" s="43"/>
      <c r="ACT82" s="43"/>
      <c r="ACU82" s="43"/>
      <c r="ACV82" s="43"/>
      <c r="ACW82" s="43"/>
      <c r="ACX82" s="43"/>
      <c r="ACY82" s="43"/>
      <c r="ACZ82" s="43"/>
      <c r="ADA82" s="43"/>
      <c r="ADB82" s="43"/>
      <c r="ADC82" s="43"/>
      <c r="ADD82" s="43"/>
      <c r="ADE82" s="43"/>
      <c r="ADF82" s="43"/>
      <c r="ADG82" s="43"/>
      <c r="ADH82" s="43"/>
      <c r="ADI82" s="43"/>
      <c r="ADJ82" s="43"/>
      <c r="ADK82" s="43"/>
      <c r="ADL82" s="43"/>
      <c r="ADM82" s="43"/>
      <c r="ADN82" s="43"/>
      <c r="ADO82" s="43"/>
      <c r="ADP82" s="43"/>
      <c r="ADQ82" s="43"/>
      <c r="ADR82" s="43"/>
      <c r="ADS82" s="43"/>
      <c r="ADT82" s="43"/>
      <c r="ADU82" s="43"/>
      <c r="ADV82" s="43"/>
      <c r="ADW82" s="43"/>
      <c r="ADX82" s="43"/>
      <c r="ADY82" s="43"/>
      <c r="ADZ82" s="43"/>
      <c r="AEA82" s="43"/>
      <c r="AEB82" s="43"/>
      <c r="AEC82" s="43"/>
      <c r="AED82" s="43"/>
      <c r="AEE82" s="43"/>
      <c r="AEF82" s="43"/>
      <c r="AEG82" s="43"/>
      <c r="AEH82" s="43"/>
      <c r="AEI82" s="43"/>
      <c r="AEJ82" s="43"/>
      <c r="AEK82" s="43"/>
      <c r="AEL82" s="43"/>
      <c r="AEM82" s="43"/>
      <c r="AEN82" s="43"/>
      <c r="AEO82" s="43"/>
      <c r="AEP82" s="43"/>
      <c r="AEQ82" s="43"/>
      <c r="AER82" s="43"/>
      <c r="AES82" s="43"/>
      <c r="AET82" s="43"/>
      <c r="AEU82" s="43"/>
      <c r="AEV82" s="43"/>
      <c r="AEW82" s="43"/>
      <c r="AEX82" s="43"/>
      <c r="AEY82" s="43"/>
      <c r="AEZ82" s="43"/>
      <c r="AFA82" s="43"/>
      <c r="AFB82" s="43"/>
      <c r="AFC82" s="43"/>
      <c r="AFD82" s="43"/>
      <c r="AFE82" s="43"/>
      <c r="AFF82" s="43"/>
      <c r="AFG82" s="43"/>
      <c r="AFH82" s="43"/>
      <c r="AFI82" s="43"/>
      <c r="AFJ82" s="43"/>
      <c r="AFK82" s="43"/>
      <c r="AFL82" s="43"/>
      <c r="AFM82" s="43"/>
      <c r="AFN82" s="43"/>
      <c r="AFO82" s="43"/>
      <c r="AFP82" s="43"/>
      <c r="AFQ82" s="43"/>
      <c r="AFR82" s="43"/>
      <c r="AFS82" s="43"/>
      <c r="AFT82" s="43"/>
      <c r="AFU82" s="43"/>
      <c r="AFV82" s="43"/>
      <c r="AFW82" s="43"/>
      <c r="AFX82" s="43"/>
      <c r="AFY82" s="43"/>
      <c r="AFZ82" s="43"/>
      <c r="AGA82" s="43"/>
      <c r="AGB82" s="43"/>
      <c r="AGC82" s="43"/>
      <c r="AGD82" s="43"/>
      <c r="AGE82" s="43"/>
      <c r="AGF82" s="43"/>
      <c r="AGG82" s="43"/>
      <c r="AGH82" s="43"/>
      <c r="AGI82" s="43"/>
      <c r="AGJ82" s="43"/>
      <c r="AGK82" s="43"/>
      <c r="AGL82" s="43"/>
      <c r="AGM82" s="43"/>
      <c r="AGN82" s="43"/>
      <c r="AGO82" s="43"/>
      <c r="AGP82" s="43"/>
      <c r="AGQ82" s="43"/>
      <c r="AGR82" s="43"/>
      <c r="AGS82" s="43"/>
      <c r="AGT82" s="43"/>
      <c r="AGU82" s="43"/>
      <c r="AGV82" s="43"/>
      <c r="AGW82" s="43"/>
      <c r="AGX82" s="43"/>
      <c r="AGY82" s="43"/>
      <c r="AGZ82" s="43"/>
      <c r="AHA82" s="43"/>
      <c r="AHB82" s="43"/>
      <c r="AHC82" s="43"/>
      <c r="AHD82" s="43"/>
      <c r="AHE82" s="43"/>
      <c r="AHF82" s="43"/>
      <c r="AHG82" s="43"/>
      <c r="AHH82" s="43"/>
      <c r="AHI82" s="43"/>
      <c r="AHJ82" s="43"/>
      <c r="AHK82" s="43"/>
      <c r="AHL82" s="43"/>
      <c r="AHM82" s="43"/>
      <c r="AHN82" s="43"/>
      <c r="AHO82" s="43"/>
      <c r="AHP82" s="43"/>
      <c r="AHQ82" s="43"/>
      <c r="AHR82" s="43"/>
      <c r="AHS82" s="43"/>
      <c r="AHT82" s="43"/>
      <c r="AHU82" s="43"/>
      <c r="AHV82" s="43"/>
      <c r="AHW82" s="43"/>
      <c r="AHX82" s="43"/>
      <c r="AHY82" s="43"/>
      <c r="AHZ82" s="43"/>
      <c r="AIA82" s="43"/>
      <c r="AIB82" s="43"/>
      <c r="AIC82" s="43"/>
      <c r="AID82" s="43"/>
      <c r="AIE82" s="43"/>
      <c r="AIF82" s="43"/>
      <c r="AIG82" s="43"/>
      <c r="AIH82" s="43"/>
      <c r="AII82" s="43"/>
      <c r="AIJ82" s="43"/>
      <c r="AIK82" s="43"/>
      <c r="AIL82" s="43"/>
      <c r="AIM82" s="43"/>
      <c r="AIN82" s="43"/>
      <c r="AIO82" s="43"/>
      <c r="AIP82" s="43"/>
      <c r="AIQ82" s="43"/>
      <c r="AIR82" s="43"/>
      <c r="AIS82" s="43"/>
      <c r="AIT82" s="43"/>
      <c r="AIU82" s="43"/>
      <c r="AIV82" s="43"/>
      <c r="AIW82" s="43"/>
      <c r="AIX82" s="43"/>
      <c r="AIY82" s="43"/>
      <c r="AIZ82" s="43"/>
      <c r="AJA82" s="43"/>
      <c r="AJB82" s="43"/>
      <c r="AJC82" s="43"/>
      <c r="AJD82" s="43"/>
      <c r="AJE82" s="43"/>
      <c r="AJF82" s="43"/>
      <c r="AJG82" s="43"/>
      <c r="AJH82" s="43"/>
      <c r="AJI82" s="43"/>
      <c r="AJJ82" s="43"/>
      <c r="AJK82" s="43"/>
      <c r="AJL82" s="43"/>
      <c r="AJM82" s="43"/>
      <c r="AJN82" s="43"/>
      <c r="AJO82" s="43"/>
      <c r="AJP82" s="43"/>
      <c r="AJQ82" s="43"/>
      <c r="AJR82" s="43"/>
      <c r="AJS82" s="43"/>
      <c r="AJT82" s="43"/>
      <c r="AJU82" s="43"/>
      <c r="AJV82" s="43"/>
      <c r="AJW82" s="43"/>
      <c r="AJX82" s="43"/>
      <c r="AJY82" s="43"/>
      <c r="AJZ82" s="43"/>
      <c r="AKA82" s="43"/>
      <c r="AKB82" s="43"/>
      <c r="AKC82" s="43"/>
      <c r="AKD82" s="43"/>
      <c r="AKE82" s="43"/>
      <c r="AKF82" s="43"/>
      <c r="AKG82" s="43"/>
      <c r="AKH82" s="43"/>
      <c r="AKI82" s="43"/>
      <c r="AKJ82" s="43"/>
      <c r="AKK82" s="43"/>
      <c r="AKL82" s="43"/>
      <c r="AKM82" s="43"/>
      <c r="AKN82" s="43"/>
      <c r="AKO82" s="43"/>
      <c r="AKP82" s="43"/>
      <c r="AKQ82" s="43"/>
      <c r="AKR82" s="43"/>
      <c r="AKS82" s="43"/>
      <c r="AKT82" s="43"/>
      <c r="AKU82" s="43"/>
      <c r="AKV82" s="43"/>
      <c r="AKW82" s="43"/>
      <c r="AKX82" s="43"/>
      <c r="AKY82" s="43"/>
      <c r="AKZ82" s="43"/>
      <c r="ALA82" s="43"/>
      <c r="ALB82" s="43"/>
      <c r="ALC82" s="43"/>
      <c r="ALD82" s="43"/>
      <c r="ALE82" s="43"/>
      <c r="ALF82" s="43"/>
      <c r="ALG82" s="43"/>
      <c r="ALH82" s="43"/>
      <c r="ALI82" s="43"/>
      <c r="ALJ82" s="43"/>
      <c r="ALK82" s="43"/>
      <c r="ALL82" s="43"/>
      <c r="ALM82" s="43"/>
      <c r="ALN82" s="43"/>
      <c r="ALO82" s="43"/>
      <c r="ALP82" s="43"/>
      <c r="ALQ82" s="43"/>
      <c r="ALR82" s="43"/>
      <c r="ALS82" s="43"/>
      <c r="ALT82" s="43"/>
      <c r="ALU82" s="43"/>
      <c r="ALV82" s="43"/>
      <c r="ALW82" s="43"/>
      <c r="ALX82" s="43"/>
      <c r="ALY82" s="43"/>
      <c r="ALZ82" s="43"/>
      <c r="AMA82" s="43"/>
      <c r="AMB82" s="43"/>
      <c r="AMC82" s="43"/>
      <c r="AMD82" s="43"/>
      <c r="AME82" s="43"/>
      <c r="AMF82" s="43"/>
      <c r="AMG82" s="43"/>
      <c r="AMH82" s="43"/>
      <c r="AMI82" s="43"/>
      <c r="AMJ82" s="43"/>
      <c r="AMK82" s="43"/>
      <c r="AML82" s="43"/>
      <c r="AMM82" s="43"/>
      <c r="AMN82" s="43"/>
      <c r="AMO82" s="43"/>
      <c r="AMP82" s="43"/>
      <c r="AMQ82" s="43"/>
      <c r="AMR82" s="43"/>
      <c r="AMS82" s="43"/>
      <c r="AMT82" s="43"/>
      <c r="AMU82" s="43"/>
      <c r="AMV82" s="43"/>
      <c r="AMW82" s="43"/>
      <c r="AMX82" s="43"/>
      <c r="AMY82" s="43"/>
      <c r="AMZ82" s="43"/>
      <c r="ANA82" s="43"/>
      <c r="ANB82" s="43"/>
      <c r="ANC82" s="43"/>
      <c r="AND82" s="43"/>
      <c r="ANE82" s="43"/>
      <c r="ANF82" s="43"/>
      <c r="ANG82" s="43"/>
      <c r="ANH82" s="43"/>
      <c r="ANI82" s="43"/>
      <c r="ANJ82" s="43"/>
      <c r="ANK82" s="43"/>
      <c r="ANL82" s="43"/>
      <c r="ANM82" s="43"/>
      <c r="ANN82" s="43"/>
      <c r="ANO82" s="43"/>
      <c r="ANP82" s="43"/>
      <c r="ANQ82" s="43"/>
      <c r="ANR82" s="43"/>
      <c r="ANS82" s="43"/>
      <c r="ANT82" s="43"/>
      <c r="ANU82" s="43"/>
      <c r="ANV82" s="43"/>
      <c r="ANW82" s="43"/>
      <c r="ANX82" s="43"/>
      <c r="ANY82" s="43"/>
      <c r="ANZ82" s="43"/>
      <c r="AOA82" s="43"/>
      <c r="AOB82" s="43"/>
      <c r="AOC82" s="43"/>
      <c r="AOD82" s="43"/>
      <c r="AOE82" s="43"/>
      <c r="AOF82" s="43"/>
      <c r="AOG82" s="43"/>
      <c r="AOH82" s="43"/>
      <c r="AOI82" s="43"/>
      <c r="AOJ82" s="43"/>
      <c r="AOK82" s="43"/>
      <c r="AOL82" s="43"/>
      <c r="AOM82" s="43"/>
      <c r="AON82" s="43"/>
      <c r="AOO82" s="43"/>
      <c r="AOP82" s="43"/>
      <c r="AOQ82" s="43"/>
      <c r="AOR82" s="43"/>
      <c r="AOS82" s="43"/>
      <c r="AOT82" s="43"/>
      <c r="AOU82" s="43"/>
      <c r="AOV82" s="43"/>
      <c r="AOW82" s="43"/>
      <c r="AOX82" s="43"/>
      <c r="AOY82" s="43"/>
      <c r="AOZ82" s="43"/>
      <c r="APA82" s="43"/>
      <c r="APB82" s="43"/>
      <c r="APC82" s="43"/>
      <c r="APD82" s="43"/>
      <c r="APE82" s="43"/>
      <c r="APF82" s="43"/>
      <c r="APG82" s="43"/>
      <c r="APH82" s="43"/>
      <c r="API82" s="43"/>
      <c r="APJ82" s="43"/>
      <c r="APK82" s="43"/>
      <c r="APL82" s="43"/>
      <c r="APM82" s="43"/>
      <c r="APN82" s="43"/>
      <c r="APO82" s="43"/>
      <c r="APP82" s="43"/>
      <c r="APQ82" s="43"/>
      <c r="APR82" s="43"/>
      <c r="APS82" s="43"/>
      <c r="APT82" s="43"/>
      <c r="APU82" s="43"/>
      <c r="APV82" s="43"/>
      <c r="APW82" s="43"/>
      <c r="APX82" s="43"/>
      <c r="APY82" s="43"/>
      <c r="APZ82" s="43"/>
      <c r="AQA82" s="43"/>
      <c r="AQB82" s="43"/>
      <c r="AQC82" s="43"/>
      <c r="AQD82" s="43"/>
      <c r="AQE82" s="43"/>
      <c r="AQF82" s="43"/>
      <c r="AQG82" s="43"/>
      <c r="AQH82" s="43"/>
      <c r="AQI82" s="43"/>
      <c r="AQJ82" s="43"/>
      <c r="AQK82" s="43"/>
      <c r="AQL82" s="43"/>
      <c r="AQM82" s="43"/>
      <c r="AQN82" s="43"/>
      <c r="AQO82" s="43"/>
      <c r="AQP82" s="43"/>
      <c r="AQQ82" s="43"/>
      <c r="AQR82" s="43"/>
      <c r="AQS82" s="43"/>
      <c r="AQT82" s="43"/>
      <c r="AQU82" s="43"/>
      <c r="AQV82" s="43"/>
      <c r="AQW82" s="43"/>
      <c r="AQX82" s="43"/>
      <c r="AQY82" s="43"/>
      <c r="AQZ82" s="43"/>
      <c r="ARA82" s="43"/>
      <c r="ARB82" s="43"/>
      <c r="ARC82" s="43"/>
      <c r="ARD82" s="43"/>
      <c r="ARE82" s="43"/>
      <c r="ARF82" s="43"/>
      <c r="ARG82" s="43"/>
      <c r="ARH82" s="43"/>
      <c r="ARI82" s="43"/>
      <c r="ARJ82" s="43"/>
      <c r="ARK82" s="43"/>
      <c r="ARL82" s="43"/>
      <c r="ARM82" s="43"/>
      <c r="ARN82" s="43"/>
      <c r="ARO82" s="43"/>
      <c r="ARP82" s="43"/>
      <c r="ARQ82" s="43"/>
      <c r="ARR82" s="43"/>
      <c r="ARS82" s="43"/>
      <c r="ART82" s="43"/>
      <c r="ARU82" s="43"/>
      <c r="ARV82" s="43"/>
      <c r="ARW82" s="43"/>
      <c r="ARX82" s="43"/>
      <c r="ARY82" s="43"/>
      <c r="ARZ82" s="43"/>
      <c r="ASA82" s="43"/>
      <c r="ASB82" s="43"/>
      <c r="ASC82" s="43"/>
      <c r="ASD82" s="43"/>
      <c r="ASE82" s="43"/>
      <c r="ASF82" s="43"/>
      <c r="ASG82" s="43"/>
      <c r="ASH82" s="43"/>
      <c r="ASI82" s="43"/>
      <c r="ASJ82" s="43"/>
      <c r="ASK82" s="43"/>
      <c r="ASL82" s="43"/>
      <c r="ASM82" s="43"/>
      <c r="ASN82" s="43"/>
      <c r="ASO82" s="43"/>
      <c r="ASP82" s="43"/>
      <c r="ASQ82" s="43"/>
      <c r="ASR82" s="43"/>
      <c r="ASS82" s="43"/>
      <c r="AST82" s="43"/>
      <c r="ASU82" s="43"/>
      <c r="ASV82" s="43"/>
      <c r="ASW82" s="43"/>
      <c r="ASX82" s="43"/>
      <c r="ASY82" s="43"/>
      <c r="ASZ82" s="43"/>
      <c r="ATA82" s="43"/>
      <c r="ATB82" s="43"/>
      <c r="ATC82" s="43"/>
      <c r="ATD82" s="43"/>
      <c r="ATE82" s="43"/>
      <c r="ATF82" s="43"/>
      <c r="ATG82" s="43"/>
      <c r="ATH82" s="43"/>
      <c r="ATI82" s="43"/>
      <c r="ATJ82" s="43"/>
      <c r="ATK82" s="43"/>
      <c r="ATL82" s="43"/>
      <c r="ATM82" s="43"/>
      <c r="ATN82" s="43"/>
      <c r="ATO82" s="43"/>
      <c r="ATP82" s="43"/>
      <c r="ATQ82" s="43"/>
      <c r="ATR82" s="43"/>
      <c r="ATS82" s="43"/>
      <c r="ATT82" s="43"/>
      <c r="ATU82" s="43"/>
      <c r="ATV82" s="43"/>
      <c r="ATW82" s="43"/>
      <c r="ATX82" s="43"/>
      <c r="ATY82" s="43"/>
      <c r="ATZ82" s="43"/>
      <c r="AUA82" s="43"/>
      <c r="AUB82" s="43"/>
      <c r="AUC82" s="43"/>
      <c r="AUD82" s="43"/>
      <c r="AUE82" s="43"/>
      <c r="AUF82" s="43"/>
      <c r="AUG82" s="43"/>
      <c r="AUH82" s="43"/>
      <c r="AUI82" s="43"/>
      <c r="AUJ82" s="43"/>
      <c r="AUK82" s="43"/>
      <c r="AUL82" s="43"/>
      <c r="AUM82" s="43"/>
      <c r="AUN82" s="43"/>
      <c r="AUO82" s="43"/>
      <c r="AUP82" s="43"/>
      <c r="AUQ82" s="43"/>
      <c r="AUR82" s="43"/>
      <c r="AUS82" s="43"/>
      <c r="AUT82" s="43"/>
      <c r="AUU82" s="43"/>
      <c r="AUV82" s="43"/>
      <c r="AUW82" s="43"/>
      <c r="AUX82" s="43"/>
      <c r="AUY82" s="43"/>
      <c r="AUZ82" s="43"/>
      <c r="AVA82" s="43"/>
      <c r="AVB82" s="43"/>
      <c r="AVC82" s="43"/>
      <c r="AVD82" s="43"/>
      <c r="AVE82" s="43"/>
      <c r="AVF82" s="43"/>
      <c r="AVG82" s="43"/>
      <c r="AVH82" s="43"/>
      <c r="AVI82" s="43"/>
      <c r="AVJ82" s="43"/>
      <c r="AVK82" s="43"/>
      <c r="AVL82" s="43"/>
      <c r="AVM82" s="43"/>
      <c r="AVN82" s="43"/>
      <c r="AVO82" s="43"/>
      <c r="AVP82" s="43"/>
      <c r="AVQ82" s="43"/>
      <c r="AVR82" s="43"/>
      <c r="AVS82" s="43"/>
      <c r="AVT82" s="43"/>
      <c r="AVU82" s="43"/>
      <c r="AVV82" s="43"/>
      <c r="AVW82" s="43"/>
      <c r="AVX82" s="43"/>
      <c r="AVY82" s="43"/>
      <c r="AVZ82" s="43"/>
      <c r="AWA82" s="43"/>
      <c r="AWB82" s="43"/>
      <c r="AWC82" s="43"/>
      <c r="AWD82" s="43"/>
      <c r="AWE82" s="43"/>
      <c r="AWF82" s="43"/>
      <c r="AWG82" s="43"/>
      <c r="AWH82" s="43"/>
      <c r="AWI82" s="43"/>
      <c r="AWJ82" s="43"/>
      <c r="AWK82" s="43"/>
      <c r="AWL82" s="43"/>
      <c r="AWM82" s="43"/>
      <c r="AWN82" s="43"/>
      <c r="AWO82" s="43"/>
      <c r="AWP82" s="43"/>
      <c r="AWQ82" s="43"/>
      <c r="AWR82" s="43"/>
      <c r="AWS82" s="43"/>
      <c r="AWT82" s="43"/>
      <c r="AWU82" s="43"/>
      <c r="AWV82" s="43"/>
      <c r="AWW82" s="43"/>
      <c r="AWX82" s="43"/>
      <c r="AWY82" s="43"/>
      <c r="AWZ82" s="43"/>
      <c r="AXA82" s="43"/>
      <c r="AXB82" s="43"/>
      <c r="AXC82" s="43"/>
      <c r="AXD82" s="43"/>
      <c r="AXE82" s="43"/>
      <c r="AXF82" s="43"/>
      <c r="AXG82" s="43"/>
      <c r="AXH82" s="43"/>
      <c r="AXI82" s="43"/>
      <c r="AXJ82" s="43"/>
      <c r="AXK82" s="43"/>
      <c r="AXL82" s="43"/>
      <c r="AXM82" s="43"/>
      <c r="AXN82" s="43"/>
      <c r="AXO82" s="43"/>
      <c r="AXP82" s="43"/>
      <c r="AXQ82" s="43"/>
      <c r="AXR82" s="43"/>
      <c r="AXS82" s="43"/>
      <c r="AXT82" s="43"/>
      <c r="AXU82" s="43"/>
      <c r="AXV82" s="43"/>
      <c r="AXW82" s="43"/>
      <c r="AXX82" s="43"/>
      <c r="AXY82" s="43"/>
      <c r="AXZ82" s="43"/>
      <c r="AYA82" s="43"/>
      <c r="AYB82" s="43"/>
      <c r="AYC82" s="43"/>
      <c r="AYD82" s="43"/>
      <c r="AYE82" s="43"/>
      <c r="AYF82" s="43"/>
      <c r="AYG82" s="43"/>
      <c r="AYH82" s="43"/>
      <c r="AYI82" s="43"/>
      <c r="AYJ82" s="43"/>
      <c r="AYK82" s="43"/>
      <c r="AYL82" s="43"/>
      <c r="AYM82" s="43"/>
      <c r="AYN82" s="43"/>
      <c r="AYO82" s="43"/>
      <c r="AYP82" s="43"/>
      <c r="AYQ82" s="43"/>
      <c r="AYR82" s="43"/>
      <c r="AYS82" s="43"/>
      <c r="AYT82" s="43"/>
      <c r="AYU82" s="43"/>
      <c r="AYV82" s="43"/>
      <c r="AYW82" s="43"/>
      <c r="AYX82" s="43"/>
      <c r="AYY82" s="43"/>
      <c r="AYZ82" s="43"/>
      <c r="AZA82" s="43"/>
      <c r="AZB82" s="43"/>
      <c r="AZC82" s="43"/>
      <c r="AZD82" s="43"/>
      <c r="AZE82" s="43"/>
      <c r="AZF82" s="43"/>
      <c r="AZG82" s="43"/>
      <c r="AZH82" s="43"/>
      <c r="AZI82" s="43"/>
      <c r="AZJ82" s="43"/>
      <c r="AZK82" s="43"/>
      <c r="AZL82" s="43"/>
      <c r="AZM82" s="43"/>
      <c r="AZN82" s="43"/>
      <c r="AZO82" s="43"/>
      <c r="AZP82" s="43"/>
      <c r="AZQ82" s="43"/>
      <c r="AZR82" s="43"/>
      <c r="AZS82" s="43"/>
      <c r="AZT82" s="43"/>
      <c r="AZU82" s="43"/>
      <c r="AZV82" s="43"/>
      <c r="AZW82" s="43"/>
      <c r="AZX82" s="43"/>
      <c r="AZY82" s="43"/>
      <c r="AZZ82" s="43"/>
      <c r="BAA82" s="43"/>
      <c r="BAB82" s="43"/>
      <c r="BAC82" s="43"/>
      <c r="BAD82" s="43"/>
      <c r="BAE82" s="43"/>
      <c r="BAF82" s="43"/>
      <c r="BAG82" s="43"/>
      <c r="BAH82" s="43"/>
      <c r="BAI82" s="43"/>
      <c r="BAJ82" s="43"/>
      <c r="BAK82" s="43"/>
      <c r="BAL82" s="43"/>
      <c r="BAM82" s="43"/>
      <c r="BAN82" s="43"/>
      <c r="BAO82" s="43"/>
      <c r="BAP82" s="43"/>
      <c r="BAQ82" s="43"/>
      <c r="BAR82" s="43"/>
      <c r="BAS82" s="43"/>
      <c r="BAT82" s="43"/>
      <c r="BAU82" s="43"/>
      <c r="BAV82" s="43"/>
      <c r="BAW82" s="43"/>
      <c r="BAX82" s="43"/>
      <c r="BAY82" s="43"/>
      <c r="BAZ82" s="43"/>
      <c r="BBA82" s="43"/>
      <c r="BBB82" s="43"/>
      <c r="BBC82" s="43"/>
      <c r="BBD82" s="43"/>
      <c r="BBE82" s="43"/>
      <c r="BBF82" s="43"/>
      <c r="BBG82" s="43"/>
      <c r="BBH82" s="43"/>
      <c r="BBI82" s="43"/>
      <c r="BBJ82" s="43"/>
      <c r="BBK82" s="43"/>
      <c r="BBL82" s="43"/>
      <c r="BBM82" s="43"/>
      <c r="BBN82" s="43"/>
      <c r="BBO82" s="43"/>
      <c r="BBP82" s="43"/>
      <c r="BBQ82" s="43"/>
      <c r="BBR82" s="43"/>
      <c r="BBS82" s="43"/>
      <c r="BBT82" s="43"/>
      <c r="BBU82" s="43"/>
      <c r="BBV82" s="43"/>
      <c r="BBW82" s="43"/>
      <c r="BBX82" s="43"/>
      <c r="BBY82" s="43"/>
      <c r="BBZ82" s="43"/>
      <c r="BCA82" s="43"/>
      <c r="BCB82" s="43"/>
      <c r="BCC82" s="43"/>
      <c r="BCD82" s="43"/>
      <c r="BCE82" s="43"/>
      <c r="BCF82" s="43"/>
      <c r="BCG82" s="43"/>
      <c r="BCH82" s="43"/>
      <c r="BCI82" s="43"/>
      <c r="BCJ82" s="43"/>
      <c r="BCK82" s="43"/>
      <c r="BCL82" s="43"/>
      <c r="BCM82" s="43"/>
      <c r="BCN82" s="43"/>
      <c r="BCO82" s="43"/>
      <c r="BCP82" s="43"/>
      <c r="BCQ82" s="43"/>
      <c r="BCR82" s="43"/>
      <c r="BCS82" s="43"/>
      <c r="BCT82" s="43"/>
      <c r="BCU82" s="43"/>
      <c r="BCV82" s="43"/>
      <c r="BCW82" s="43"/>
      <c r="BCX82" s="43"/>
      <c r="BCY82" s="43"/>
      <c r="BCZ82" s="43"/>
      <c r="BDA82" s="43"/>
      <c r="BDB82" s="43"/>
      <c r="BDC82" s="43"/>
      <c r="BDD82" s="43"/>
      <c r="BDE82" s="43"/>
      <c r="BDF82" s="43"/>
      <c r="BDG82" s="43"/>
      <c r="BDH82" s="43"/>
      <c r="BDI82" s="43"/>
      <c r="BDJ82" s="43"/>
      <c r="BDK82" s="43"/>
      <c r="BDL82" s="43"/>
      <c r="BDM82" s="43"/>
      <c r="BDN82" s="43"/>
      <c r="BDO82" s="43"/>
      <c r="BDP82" s="43"/>
      <c r="BDQ82" s="43"/>
      <c r="BDR82" s="43"/>
      <c r="BDS82" s="43"/>
      <c r="BDT82" s="43"/>
      <c r="BDU82" s="43"/>
      <c r="BDV82" s="43"/>
      <c r="BDW82" s="43"/>
      <c r="BDX82" s="43"/>
      <c r="BDY82" s="43"/>
      <c r="BDZ82" s="43"/>
      <c r="BEA82" s="43"/>
      <c r="BEB82" s="43"/>
      <c r="BEC82" s="43"/>
      <c r="BED82" s="43"/>
      <c r="BEE82" s="43"/>
      <c r="BEF82" s="43"/>
      <c r="BEG82" s="43"/>
      <c r="BEH82" s="43"/>
      <c r="BEI82" s="43"/>
      <c r="BEJ82" s="43"/>
      <c r="BEK82" s="43"/>
      <c r="BEL82" s="43"/>
      <c r="BEM82" s="43"/>
      <c r="BEN82" s="43"/>
      <c r="BEO82" s="43"/>
      <c r="BEP82" s="43"/>
      <c r="BEQ82" s="43"/>
      <c r="BER82" s="43"/>
      <c r="BES82" s="43"/>
      <c r="BET82" s="43"/>
      <c r="BEU82" s="43"/>
      <c r="BEV82" s="43"/>
      <c r="BEW82" s="43"/>
      <c r="BEX82" s="43"/>
      <c r="BEY82" s="43"/>
      <c r="BEZ82" s="43"/>
      <c r="BFA82" s="43"/>
      <c r="BFB82" s="43"/>
      <c r="BFC82" s="43"/>
      <c r="BFD82" s="43"/>
      <c r="BFE82" s="43"/>
      <c r="BFF82" s="43"/>
      <c r="BFG82" s="43"/>
      <c r="BFH82" s="43"/>
      <c r="BFI82" s="43"/>
      <c r="BFJ82" s="43"/>
      <c r="BFK82" s="43"/>
      <c r="BFL82" s="43"/>
      <c r="BFM82" s="43"/>
      <c r="BFN82" s="43"/>
      <c r="BFO82" s="43"/>
      <c r="BFP82" s="43"/>
      <c r="BFQ82" s="43"/>
      <c r="BFR82" s="43"/>
      <c r="BFS82" s="43"/>
      <c r="BFT82" s="43"/>
      <c r="BFU82" s="43"/>
      <c r="BFV82" s="43"/>
      <c r="BFW82" s="43"/>
      <c r="BFX82" s="43"/>
      <c r="BFY82" s="43"/>
      <c r="BFZ82" s="43"/>
      <c r="BGA82" s="43"/>
      <c r="BGB82" s="43"/>
      <c r="BGC82" s="43"/>
      <c r="BGD82" s="43"/>
      <c r="BGE82" s="43"/>
      <c r="BGF82" s="43"/>
      <c r="BGG82" s="43"/>
      <c r="BGH82" s="43"/>
      <c r="BGI82" s="43"/>
      <c r="BGJ82" s="43"/>
      <c r="BGK82" s="43"/>
      <c r="BGL82" s="43"/>
      <c r="BGM82" s="43"/>
      <c r="BGN82" s="43"/>
      <c r="BGO82" s="43"/>
      <c r="BGP82" s="43"/>
      <c r="BGQ82" s="43"/>
      <c r="BGR82" s="43"/>
      <c r="BGS82" s="43"/>
      <c r="BGT82" s="43"/>
      <c r="BGU82" s="43"/>
      <c r="BGV82" s="43"/>
      <c r="BGW82" s="43"/>
      <c r="BGX82" s="43"/>
      <c r="BGY82" s="43"/>
      <c r="BGZ82" s="43"/>
      <c r="BHA82" s="43"/>
      <c r="BHB82" s="43"/>
      <c r="BHC82" s="43"/>
      <c r="BHD82" s="43"/>
      <c r="BHE82" s="43"/>
      <c r="BHF82" s="43"/>
      <c r="BHG82" s="43"/>
      <c r="BHH82" s="43"/>
      <c r="BHI82" s="43"/>
      <c r="BHJ82" s="43"/>
      <c r="BHK82" s="43"/>
      <c r="BHL82" s="43"/>
      <c r="BHM82" s="43"/>
      <c r="BHN82" s="43"/>
      <c r="BHO82" s="43"/>
      <c r="BHP82" s="43"/>
      <c r="BHQ82" s="43"/>
      <c r="BHR82" s="43"/>
      <c r="BHS82" s="43"/>
      <c r="BHT82" s="43"/>
      <c r="BHU82" s="43"/>
      <c r="BHV82" s="43"/>
      <c r="BHW82" s="43"/>
      <c r="BHX82" s="43"/>
      <c r="BHY82" s="43"/>
      <c r="BHZ82" s="43"/>
      <c r="BIA82" s="43"/>
      <c r="BIB82" s="43"/>
      <c r="BIC82" s="43"/>
      <c r="BID82" s="43"/>
      <c r="BIE82" s="43"/>
      <c r="BIF82" s="43"/>
      <c r="BIG82" s="43"/>
      <c r="BIH82" s="43"/>
      <c r="BII82" s="43"/>
      <c r="BIJ82" s="43"/>
      <c r="BIK82" s="43"/>
      <c r="BIL82" s="43"/>
      <c r="BIM82" s="43"/>
      <c r="BIN82" s="43"/>
      <c r="BIO82" s="43"/>
      <c r="BIP82" s="43"/>
      <c r="BIQ82" s="43"/>
      <c r="BIR82" s="43"/>
      <c r="BIS82" s="43"/>
      <c r="BIT82" s="43"/>
      <c r="BIU82" s="43"/>
      <c r="BIV82" s="43"/>
      <c r="BIW82" s="43"/>
      <c r="BIX82" s="43"/>
      <c r="BIY82" s="43"/>
      <c r="BIZ82" s="43"/>
      <c r="BJA82" s="43"/>
      <c r="BJB82" s="43"/>
      <c r="BJC82" s="43"/>
      <c r="BJD82" s="43"/>
      <c r="BJE82" s="43"/>
      <c r="BJF82" s="43"/>
      <c r="BJG82" s="43"/>
      <c r="BJH82" s="43"/>
      <c r="BJI82" s="43"/>
      <c r="BJJ82" s="43"/>
      <c r="BJK82" s="43"/>
      <c r="BJL82" s="43"/>
      <c r="BJM82" s="43"/>
      <c r="BJN82" s="43"/>
      <c r="BJO82" s="43"/>
      <c r="BJP82" s="43"/>
      <c r="BJQ82" s="43"/>
      <c r="BJR82" s="43"/>
      <c r="BJS82" s="43"/>
      <c r="BJT82" s="43"/>
      <c r="BJU82" s="43"/>
      <c r="BJV82" s="43"/>
      <c r="BJW82" s="43"/>
      <c r="BJX82" s="43"/>
      <c r="BJY82" s="43"/>
      <c r="BJZ82" s="43"/>
      <c r="BKA82" s="43"/>
      <c r="BKB82" s="43"/>
      <c r="BKC82" s="43"/>
      <c r="BKD82" s="43"/>
      <c r="BKE82" s="43"/>
      <c r="BKF82" s="43"/>
      <c r="BKG82" s="43"/>
      <c r="BKH82" s="43"/>
      <c r="BKI82" s="43"/>
      <c r="BKJ82" s="43"/>
      <c r="BKK82" s="43"/>
      <c r="BKL82" s="43"/>
      <c r="BKM82" s="43"/>
      <c r="BKN82" s="43"/>
      <c r="BKO82" s="43"/>
      <c r="BKP82" s="43"/>
      <c r="BKQ82" s="43"/>
      <c r="BKR82" s="43"/>
      <c r="BKS82" s="43"/>
      <c r="BKT82" s="43"/>
      <c r="BKU82" s="43"/>
      <c r="BKV82" s="43"/>
      <c r="BKW82" s="43"/>
      <c r="BKX82" s="43"/>
      <c r="BKY82" s="43"/>
      <c r="BKZ82" s="43"/>
      <c r="BLA82" s="43"/>
      <c r="BLB82" s="43"/>
      <c r="BLC82" s="43"/>
      <c r="BLD82" s="43"/>
      <c r="BLE82" s="43"/>
      <c r="BLF82" s="43"/>
      <c r="BLG82" s="43"/>
      <c r="BLH82" s="43"/>
      <c r="BLI82" s="43"/>
      <c r="BLJ82" s="43"/>
      <c r="BLK82" s="43"/>
      <c r="BLL82" s="43"/>
      <c r="BLM82" s="43"/>
      <c r="BLN82" s="43"/>
      <c r="BLO82" s="43"/>
      <c r="BLP82" s="43"/>
      <c r="BLQ82" s="43"/>
      <c r="BLR82" s="43"/>
      <c r="BLS82" s="43"/>
      <c r="BLT82" s="43"/>
      <c r="BLU82" s="43"/>
      <c r="BLV82" s="43"/>
      <c r="BLW82" s="43"/>
      <c r="BLX82" s="43"/>
      <c r="BLY82" s="43"/>
      <c r="BLZ82" s="43"/>
      <c r="BMA82" s="43"/>
      <c r="BMB82" s="43"/>
      <c r="BMC82" s="43"/>
      <c r="BMD82" s="43"/>
      <c r="BME82" s="43"/>
      <c r="BMF82" s="43"/>
      <c r="BMG82" s="43"/>
      <c r="BMH82" s="43"/>
      <c r="BMI82" s="43"/>
      <c r="BMJ82" s="43"/>
      <c r="BMK82" s="43"/>
      <c r="BML82" s="43"/>
      <c r="BMM82" s="43"/>
      <c r="BMN82" s="43"/>
      <c r="BMO82" s="43"/>
      <c r="BMP82" s="43"/>
      <c r="BMQ82" s="43"/>
      <c r="BMR82" s="43"/>
      <c r="BMS82" s="43"/>
      <c r="BMT82" s="43"/>
      <c r="BMU82" s="43"/>
      <c r="BMV82" s="43"/>
      <c r="BMW82" s="43"/>
      <c r="BMX82" s="43"/>
      <c r="BMY82" s="43"/>
      <c r="BMZ82" s="43"/>
      <c r="BNA82" s="43"/>
      <c r="BNB82" s="43"/>
      <c r="BNC82" s="43"/>
      <c r="BND82" s="43"/>
      <c r="BNE82" s="43"/>
      <c r="BNF82" s="43"/>
      <c r="BNG82" s="43"/>
      <c r="BNH82" s="43"/>
      <c r="BNI82" s="43"/>
      <c r="BNJ82" s="43"/>
      <c r="BNK82" s="43"/>
      <c r="BNL82" s="43"/>
      <c r="BNM82" s="43"/>
      <c r="BNN82" s="43"/>
      <c r="BNO82" s="43"/>
      <c r="BNP82" s="43"/>
      <c r="BNQ82" s="43"/>
      <c r="BNR82" s="43"/>
      <c r="BNS82" s="43"/>
      <c r="BNT82" s="43"/>
      <c r="BNU82" s="43"/>
      <c r="BNV82" s="43"/>
      <c r="BNW82" s="43"/>
      <c r="BNX82" s="43"/>
      <c r="BNY82" s="43"/>
      <c r="BNZ82" s="43"/>
      <c r="BOA82" s="43"/>
      <c r="BOB82" s="43"/>
      <c r="BOC82" s="43"/>
      <c r="BOD82" s="43"/>
      <c r="BOE82" s="43"/>
      <c r="BOF82" s="43"/>
      <c r="BOG82" s="43"/>
      <c r="BOH82" s="43"/>
      <c r="BOI82" s="43"/>
      <c r="BOJ82" s="43"/>
      <c r="BOK82" s="43"/>
      <c r="BOL82" s="43"/>
      <c r="BOM82" s="43"/>
      <c r="BON82" s="43"/>
      <c r="BOO82" s="43"/>
      <c r="BOP82" s="43"/>
      <c r="BOQ82" s="43"/>
      <c r="BOR82" s="43"/>
      <c r="BOS82" s="43"/>
      <c r="BOT82" s="43"/>
      <c r="BOU82" s="43"/>
      <c r="BOV82" s="43"/>
      <c r="BOW82" s="43"/>
      <c r="BOX82" s="43"/>
      <c r="BOY82" s="43"/>
      <c r="BOZ82" s="43"/>
      <c r="BPA82" s="43"/>
      <c r="BPB82" s="43"/>
      <c r="BPC82" s="43"/>
      <c r="BPD82" s="43"/>
      <c r="BPE82" s="43"/>
      <c r="BPF82" s="43"/>
      <c r="BPG82" s="43"/>
      <c r="BPH82" s="43"/>
      <c r="BPI82" s="43"/>
      <c r="BPJ82" s="43"/>
      <c r="BPK82" s="43"/>
      <c r="BPL82" s="43"/>
      <c r="BPM82" s="43"/>
      <c r="BPN82" s="43"/>
      <c r="BPO82" s="43"/>
      <c r="BPP82" s="43"/>
      <c r="BPQ82" s="43"/>
      <c r="BPR82" s="43"/>
      <c r="BPS82" s="43"/>
      <c r="BPT82" s="43"/>
      <c r="BPU82" s="43"/>
      <c r="BPV82" s="43"/>
      <c r="BPW82" s="43"/>
      <c r="BPX82" s="43"/>
      <c r="BPY82" s="43"/>
      <c r="BPZ82" s="43"/>
      <c r="BQA82" s="43"/>
      <c r="BQB82" s="43"/>
      <c r="BQC82" s="43"/>
      <c r="BQD82" s="43"/>
      <c r="BQE82" s="43"/>
      <c r="BQF82" s="43"/>
      <c r="BQG82" s="43"/>
      <c r="BQH82" s="43"/>
      <c r="BQI82" s="43"/>
      <c r="BQJ82" s="43"/>
      <c r="BQK82" s="43"/>
      <c r="BQL82" s="43"/>
      <c r="BQM82" s="43"/>
      <c r="BQN82" s="43"/>
      <c r="BQO82" s="43"/>
      <c r="BQP82" s="43"/>
      <c r="BQQ82" s="43"/>
      <c r="BQR82" s="43"/>
      <c r="BQS82" s="43"/>
      <c r="BQT82" s="43"/>
      <c r="BQU82" s="43"/>
      <c r="BQV82" s="43"/>
      <c r="BQW82" s="43"/>
      <c r="BQX82" s="43"/>
      <c r="BQY82" s="43"/>
      <c r="BQZ82" s="43"/>
      <c r="BRA82" s="43"/>
      <c r="BRB82" s="43"/>
      <c r="BRC82" s="43"/>
      <c r="BRD82" s="43"/>
      <c r="BRE82" s="43"/>
      <c r="BRF82" s="43"/>
      <c r="BRG82" s="43"/>
      <c r="BRH82" s="43"/>
      <c r="BRI82" s="43"/>
      <c r="BRJ82" s="43"/>
      <c r="BRK82" s="43"/>
      <c r="BRL82" s="43"/>
      <c r="BRM82" s="43"/>
      <c r="BRN82" s="43"/>
      <c r="BRO82" s="43"/>
      <c r="BRP82" s="43"/>
      <c r="BRQ82" s="43"/>
      <c r="BRR82" s="43"/>
      <c r="BRS82" s="43"/>
      <c r="BRT82" s="43"/>
      <c r="BRU82" s="43"/>
      <c r="BRV82" s="43"/>
      <c r="BRW82" s="43"/>
      <c r="BRX82" s="43"/>
      <c r="BRY82" s="43"/>
      <c r="BRZ82" s="43"/>
      <c r="BSA82" s="43"/>
      <c r="BSB82" s="43"/>
      <c r="BSC82" s="43"/>
      <c r="BSD82" s="43"/>
      <c r="BSE82" s="43"/>
      <c r="BSF82" s="43"/>
      <c r="BSG82" s="43"/>
      <c r="BSH82" s="43"/>
      <c r="BSI82" s="43"/>
      <c r="BSJ82" s="43"/>
      <c r="BSK82" s="43"/>
      <c r="BSL82" s="43"/>
      <c r="BSM82" s="43"/>
      <c r="BSN82" s="43"/>
      <c r="BSO82" s="43"/>
      <c r="BSP82" s="43"/>
      <c r="BSQ82" s="43"/>
      <c r="BSR82" s="43"/>
      <c r="BSS82" s="43"/>
      <c r="BST82" s="43"/>
      <c r="BSU82" s="43"/>
      <c r="BSV82" s="43"/>
      <c r="BSW82" s="43"/>
      <c r="BSX82" s="43"/>
      <c r="BSY82" s="43"/>
      <c r="BSZ82" s="43"/>
      <c r="BTA82" s="43"/>
      <c r="BTB82" s="43"/>
      <c r="BTC82" s="43"/>
      <c r="BTD82" s="43"/>
      <c r="BTE82" s="43"/>
      <c r="BTF82" s="43"/>
      <c r="BTG82" s="43"/>
      <c r="BTH82" s="43"/>
      <c r="BTI82" s="43"/>
      <c r="BTJ82" s="43"/>
      <c r="BTK82" s="43"/>
      <c r="BTL82" s="43"/>
      <c r="BTM82" s="43"/>
      <c r="BTN82" s="43"/>
      <c r="BTO82" s="43"/>
      <c r="BTP82" s="43"/>
      <c r="BTQ82" s="43"/>
      <c r="BTR82" s="43"/>
      <c r="BTS82" s="43"/>
      <c r="BTT82" s="43"/>
      <c r="BTU82" s="43"/>
      <c r="BTV82" s="43"/>
      <c r="BTW82" s="43"/>
      <c r="BTX82" s="43"/>
      <c r="BTY82" s="43"/>
      <c r="BTZ82" s="43"/>
      <c r="BUA82" s="43"/>
      <c r="BUB82" s="43"/>
      <c r="BUC82" s="43"/>
      <c r="BUD82" s="43"/>
      <c r="BUE82" s="43"/>
      <c r="BUF82" s="43"/>
      <c r="BUG82" s="43"/>
      <c r="BUH82" s="43"/>
      <c r="BUI82" s="43"/>
      <c r="BUJ82" s="43"/>
      <c r="BUK82" s="43"/>
      <c r="BUL82" s="43"/>
      <c r="BUM82" s="43"/>
      <c r="BUN82" s="43"/>
      <c r="BUO82" s="43"/>
      <c r="BUP82" s="43"/>
      <c r="BUQ82" s="43"/>
      <c r="BUR82" s="43"/>
      <c r="BUS82" s="43"/>
      <c r="BUT82" s="43"/>
      <c r="BUU82" s="43"/>
      <c r="BUV82" s="43"/>
      <c r="BUW82" s="43"/>
      <c r="BUX82" s="43"/>
      <c r="BUY82" s="43"/>
      <c r="BUZ82" s="43"/>
      <c r="BVA82" s="43"/>
      <c r="BVB82" s="43"/>
      <c r="BVC82" s="43"/>
      <c r="BVD82" s="43"/>
      <c r="BVE82" s="43"/>
      <c r="BVF82" s="43"/>
      <c r="BVG82" s="43"/>
      <c r="BVH82" s="43"/>
      <c r="BVI82" s="43"/>
      <c r="BVJ82" s="43"/>
      <c r="BVK82" s="43"/>
      <c r="BVL82" s="43"/>
      <c r="BVM82" s="43"/>
      <c r="BVN82" s="43"/>
      <c r="BVO82" s="43"/>
      <c r="BVP82" s="43"/>
      <c r="BVQ82" s="43"/>
      <c r="BVR82" s="43"/>
      <c r="BVS82" s="43"/>
      <c r="BVT82" s="43"/>
      <c r="BVU82" s="43"/>
      <c r="BVV82" s="43"/>
      <c r="BVW82" s="43"/>
      <c r="BVX82" s="43"/>
      <c r="BVY82" s="43"/>
      <c r="BVZ82" s="43"/>
      <c r="BWA82" s="43"/>
      <c r="BWB82" s="43"/>
      <c r="BWC82" s="43"/>
      <c r="BWD82" s="43"/>
      <c r="BWE82" s="43"/>
      <c r="BWF82" s="43"/>
      <c r="BWG82" s="43"/>
      <c r="BWH82" s="43"/>
      <c r="BWI82" s="43"/>
      <c r="BWJ82" s="43"/>
      <c r="BWK82" s="43"/>
      <c r="BWL82" s="43"/>
      <c r="BWM82" s="43"/>
      <c r="BWN82" s="43"/>
      <c r="BWO82" s="43"/>
      <c r="BWP82" s="43"/>
      <c r="BWQ82" s="43"/>
      <c r="BWR82" s="43"/>
      <c r="BWS82" s="43"/>
      <c r="BWT82" s="43"/>
      <c r="BWU82" s="43"/>
      <c r="BWV82" s="43"/>
      <c r="BWW82" s="43"/>
      <c r="BWX82" s="43"/>
      <c r="BWY82" s="43"/>
      <c r="BWZ82" s="43"/>
      <c r="BXA82" s="43"/>
      <c r="BXB82" s="43"/>
      <c r="BXC82" s="43"/>
      <c r="BXD82" s="43"/>
      <c r="BXE82" s="43"/>
      <c r="BXF82" s="43"/>
      <c r="BXG82" s="43"/>
      <c r="BXH82" s="43"/>
      <c r="BXI82" s="43"/>
      <c r="BXJ82" s="43"/>
      <c r="BXK82" s="43"/>
      <c r="BXL82" s="43"/>
      <c r="BXM82" s="43"/>
      <c r="BXN82" s="43"/>
      <c r="BXO82" s="43"/>
      <c r="BXP82" s="43"/>
      <c r="BXQ82" s="43"/>
      <c r="BXR82" s="43"/>
      <c r="BXS82" s="43"/>
      <c r="BXT82" s="43"/>
      <c r="BXU82" s="43"/>
      <c r="BXV82" s="43"/>
      <c r="BXW82" s="43"/>
      <c r="BXX82" s="43"/>
      <c r="BXY82" s="43"/>
      <c r="BXZ82" s="43"/>
      <c r="BYA82" s="43"/>
      <c r="BYB82" s="43"/>
      <c r="BYC82" s="43"/>
      <c r="BYD82" s="43"/>
      <c r="BYE82" s="43"/>
      <c r="BYF82" s="43"/>
      <c r="BYG82" s="43"/>
      <c r="BYH82" s="43"/>
      <c r="BYI82" s="43"/>
      <c r="BYJ82" s="43"/>
      <c r="BYK82" s="43"/>
      <c r="BYL82" s="43"/>
      <c r="BYM82" s="43"/>
      <c r="BYN82" s="43"/>
      <c r="BYO82" s="43"/>
      <c r="BYP82" s="43"/>
      <c r="BYQ82" s="43"/>
      <c r="BYR82" s="43"/>
      <c r="BYS82" s="43"/>
      <c r="BYT82" s="43"/>
      <c r="BYU82" s="43"/>
      <c r="BYV82" s="43"/>
      <c r="BYW82" s="43"/>
      <c r="BYX82" s="43"/>
      <c r="BYY82" s="43"/>
      <c r="BYZ82" s="43"/>
      <c r="BZA82" s="43"/>
      <c r="BZB82" s="43"/>
      <c r="BZC82" s="43"/>
      <c r="BZD82" s="43"/>
      <c r="BZE82" s="43"/>
      <c r="BZF82" s="43"/>
      <c r="BZG82" s="43"/>
      <c r="BZH82" s="43"/>
      <c r="BZI82" s="43"/>
      <c r="BZJ82" s="43"/>
      <c r="BZK82" s="43"/>
      <c r="BZL82" s="43"/>
      <c r="BZM82" s="43"/>
      <c r="BZN82" s="43"/>
      <c r="BZO82" s="43"/>
      <c r="BZP82" s="43"/>
      <c r="BZQ82" s="43"/>
      <c r="BZR82" s="43"/>
      <c r="BZS82" s="43"/>
      <c r="BZT82" s="43"/>
      <c r="BZU82" s="43"/>
      <c r="BZV82" s="43"/>
      <c r="BZW82" s="43"/>
      <c r="BZX82" s="43"/>
      <c r="BZY82" s="43"/>
      <c r="BZZ82" s="43"/>
      <c r="CAA82" s="43"/>
      <c r="CAB82" s="43"/>
      <c r="CAC82" s="43"/>
      <c r="CAD82" s="43"/>
      <c r="CAE82" s="43"/>
      <c r="CAF82" s="43"/>
      <c r="CAG82" s="43"/>
      <c r="CAH82" s="43"/>
      <c r="CAI82" s="43"/>
      <c r="CAJ82" s="43"/>
      <c r="CAK82" s="43"/>
      <c r="CAL82" s="43"/>
      <c r="CAM82" s="43"/>
      <c r="CAN82" s="43"/>
      <c r="CAO82" s="43"/>
      <c r="CAP82" s="43"/>
      <c r="CAQ82" s="43"/>
      <c r="CAR82" s="43"/>
      <c r="CAS82" s="43"/>
      <c r="CAT82" s="43"/>
      <c r="CAU82" s="43"/>
      <c r="CAV82" s="43"/>
      <c r="CAW82" s="43"/>
      <c r="CAX82" s="43"/>
      <c r="CAY82" s="43"/>
      <c r="CAZ82" s="43"/>
      <c r="CBA82" s="43"/>
      <c r="CBB82" s="43"/>
      <c r="CBC82" s="43"/>
      <c r="CBD82" s="43"/>
      <c r="CBE82" s="43"/>
      <c r="CBF82" s="43"/>
      <c r="CBG82" s="43"/>
      <c r="CBH82" s="43"/>
    </row>
    <row r="83" spans="1:2088" x14ac:dyDescent="0.2">
      <c r="A83" s="1" t="s">
        <v>165</v>
      </c>
      <c r="B83" s="58" t="str">
        <f t="shared" ref="B83" si="7">IF(OR(B82="",B82="error: missing input",B68=""),"error: missing input",0.0013 + B82*0.2021 + IF(B68=0,0,IF(B68&lt;=9,0.0082 + B82*0.1311,IF(B68&lt;=99,0.0238 + B82*0.2909,IF(B68&lt;=399,0.1131 + B82*0.4077,IF(B68&lt;=999,0.2306 + B82*0.4658,0.404 + B82*0.4489))))))</f>
        <v>error: missing input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  <c r="IU83" s="43"/>
      <c r="IV83" s="43"/>
      <c r="IW83" s="43"/>
      <c r="IX83" s="43"/>
      <c r="IY83" s="43"/>
      <c r="IZ83" s="43"/>
      <c r="JA83" s="43"/>
      <c r="JB83" s="43"/>
      <c r="JC83" s="43"/>
      <c r="JD83" s="43"/>
      <c r="JE83" s="43"/>
      <c r="JF83" s="43"/>
      <c r="JG83" s="43"/>
      <c r="JH83" s="43"/>
      <c r="JI83" s="43"/>
      <c r="JJ83" s="43"/>
      <c r="JK83" s="43"/>
      <c r="JL83" s="43"/>
      <c r="JM83" s="43"/>
      <c r="JN83" s="43"/>
      <c r="JO83" s="43"/>
      <c r="JP83" s="43"/>
      <c r="JQ83" s="43"/>
      <c r="JR83" s="43"/>
      <c r="JS83" s="43"/>
      <c r="JT83" s="43"/>
      <c r="JU83" s="43"/>
      <c r="JV83" s="43"/>
      <c r="JW83" s="43"/>
      <c r="JX83" s="43"/>
      <c r="JY83" s="43"/>
      <c r="JZ83" s="43"/>
      <c r="KA83" s="43"/>
      <c r="KB83" s="43"/>
      <c r="KC83" s="43"/>
      <c r="KD83" s="43"/>
      <c r="KE83" s="43"/>
      <c r="KF83" s="43"/>
      <c r="KG83" s="43"/>
      <c r="KH83" s="43"/>
      <c r="KI83" s="43"/>
      <c r="KJ83" s="43"/>
      <c r="KK83" s="43"/>
      <c r="KL83" s="43"/>
      <c r="KM83" s="43"/>
      <c r="KN83" s="43"/>
      <c r="KO83" s="43"/>
      <c r="KP83" s="43"/>
      <c r="KQ83" s="43"/>
      <c r="KR83" s="43"/>
      <c r="KS83" s="43"/>
      <c r="KT83" s="43"/>
      <c r="KU83" s="43"/>
      <c r="KV83" s="43"/>
      <c r="KW83" s="43"/>
      <c r="KX83" s="43"/>
      <c r="KY83" s="43"/>
      <c r="KZ83" s="43"/>
      <c r="LA83" s="43"/>
      <c r="LB83" s="43"/>
      <c r="LC83" s="43"/>
      <c r="LD83" s="43"/>
      <c r="LE83" s="43"/>
      <c r="LF83" s="43"/>
      <c r="LG83" s="43"/>
      <c r="LH83" s="43"/>
      <c r="LI83" s="43"/>
      <c r="LJ83" s="43"/>
      <c r="LK83" s="43"/>
      <c r="LL83" s="43"/>
      <c r="LM83" s="43"/>
      <c r="LN83" s="43"/>
      <c r="LO83" s="43"/>
      <c r="LP83" s="43"/>
      <c r="LQ83" s="43"/>
      <c r="LR83" s="43"/>
      <c r="LS83" s="43"/>
      <c r="LT83" s="43"/>
      <c r="LU83" s="43"/>
      <c r="LV83" s="43"/>
      <c r="LW83" s="43"/>
      <c r="LX83" s="43"/>
      <c r="LY83" s="43"/>
      <c r="LZ83" s="43"/>
      <c r="MA83" s="43"/>
      <c r="MB83" s="43"/>
      <c r="MC83" s="43"/>
      <c r="MD83" s="43"/>
      <c r="ME83" s="43"/>
      <c r="MF83" s="43"/>
      <c r="MG83" s="43"/>
      <c r="MH83" s="43"/>
      <c r="MI83" s="43"/>
      <c r="MJ83" s="43"/>
      <c r="MK83" s="43"/>
      <c r="ML83" s="43"/>
      <c r="MM83" s="43"/>
      <c r="MN83" s="43"/>
      <c r="MO83" s="43"/>
      <c r="MP83" s="43"/>
      <c r="MQ83" s="43"/>
      <c r="MR83" s="43"/>
      <c r="MS83" s="43"/>
      <c r="MT83" s="43"/>
      <c r="MU83" s="43"/>
      <c r="MV83" s="43"/>
      <c r="MW83" s="43"/>
      <c r="MX83" s="43"/>
      <c r="MY83" s="43"/>
      <c r="MZ83" s="43"/>
      <c r="NA83" s="43"/>
      <c r="NB83" s="43"/>
      <c r="NC83" s="43"/>
      <c r="ND83" s="43"/>
      <c r="NE83" s="43"/>
      <c r="NF83" s="43"/>
      <c r="NG83" s="43"/>
      <c r="NH83" s="43"/>
      <c r="NI83" s="43"/>
      <c r="NJ83" s="43"/>
      <c r="NK83" s="43"/>
      <c r="NL83" s="43"/>
      <c r="NM83" s="43"/>
      <c r="NN83" s="43"/>
      <c r="NO83" s="43"/>
      <c r="NP83" s="43"/>
      <c r="NQ83" s="43"/>
      <c r="NR83" s="43"/>
      <c r="NS83" s="43"/>
      <c r="NT83" s="43"/>
      <c r="NU83" s="43"/>
      <c r="NV83" s="43"/>
      <c r="NW83" s="43"/>
      <c r="NX83" s="43"/>
      <c r="NY83" s="43"/>
      <c r="NZ83" s="43"/>
      <c r="OA83" s="43"/>
      <c r="OB83" s="43"/>
      <c r="OC83" s="43"/>
      <c r="OD83" s="43"/>
      <c r="OE83" s="43"/>
      <c r="OF83" s="43"/>
      <c r="OG83" s="43"/>
      <c r="OH83" s="43"/>
      <c r="OI83" s="43"/>
      <c r="OJ83" s="43"/>
      <c r="OK83" s="43"/>
      <c r="OL83" s="43"/>
      <c r="OM83" s="43"/>
      <c r="ON83" s="43"/>
      <c r="OO83" s="43"/>
      <c r="OP83" s="43"/>
      <c r="OQ83" s="43"/>
      <c r="OR83" s="43"/>
      <c r="OS83" s="43"/>
      <c r="OT83" s="43"/>
      <c r="OU83" s="43"/>
      <c r="OV83" s="43"/>
      <c r="OW83" s="43"/>
      <c r="OX83" s="43"/>
      <c r="OY83" s="43"/>
      <c r="OZ83" s="43"/>
      <c r="PA83" s="43"/>
      <c r="PB83" s="43"/>
      <c r="PC83" s="43"/>
      <c r="PD83" s="43"/>
      <c r="PE83" s="43"/>
      <c r="PF83" s="43"/>
      <c r="PG83" s="43"/>
      <c r="PH83" s="43"/>
      <c r="PI83" s="43"/>
      <c r="PJ83" s="43"/>
      <c r="PK83" s="43"/>
      <c r="PL83" s="43"/>
      <c r="PM83" s="43"/>
      <c r="PN83" s="43"/>
      <c r="PO83" s="43"/>
      <c r="PP83" s="43"/>
      <c r="PQ83" s="43"/>
      <c r="PR83" s="43"/>
      <c r="PS83" s="43"/>
      <c r="PT83" s="43"/>
      <c r="PU83" s="43"/>
      <c r="PV83" s="43"/>
      <c r="PW83" s="43"/>
      <c r="PX83" s="43"/>
      <c r="PY83" s="43"/>
      <c r="PZ83" s="43"/>
      <c r="QA83" s="43"/>
      <c r="QB83" s="43"/>
      <c r="QC83" s="43"/>
      <c r="QD83" s="43"/>
      <c r="QE83" s="43"/>
      <c r="QF83" s="43"/>
      <c r="QG83" s="43"/>
      <c r="QH83" s="43"/>
      <c r="QI83" s="43"/>
      <c r="QJ83" s="43"/>
      <c r="QK83" s="43"/>
      <c r="QL83" s="43"/>
      <c r="QM83" s="43"/>
      <c r="QN83" s="43"/>
      <c r="QO83" s="43"/>
      <c r="QP83" s="43"/>
      <c r="QQ83" s="43"/>
      <c r="QR83" s="43"/>
      <c r="QS83" s="43"/>
      <c r="QT83" s="43"/>
      <c r="QU83" s="43"/>
      <c r="QV83" s="43"/>
      <c r="QW83" s="43"/>
      <c r="QX83" s="43"/>
      <c r="QY83" s="43"/>
      <c r="QZ83" s="43"/>
      <c r="RA83" s="43"/>
      <c r="RB83" s="43"/>
      <c r="RC83" s="43"/>
      <c r="RD83" s="43"/>
      <c r="RE83" s="43"/>
      <c r="RF83" s="43"/>
      <c r="RG83" s="43"/>
      <c r="RH83" s="43"/>
      <c r="RI83" s="43"/>
      <c r="RJ83" s="43"/>
      <c r="RK83" s="43"/>
      <c r="RL83" s="43"/>
      <c r="RM83" s="43"/>
      <c r="RN83" s="43"/>
      <c r="RO83" s="43"/>
      <c r="RP83" s="43"/>
      <c r="RQ83" s="43"/>
      <c r="RR83" s="43"/>
      <c r="RS83" s="43"/>
      <c r="RT83" s="43"/>
      <c r="RU83" s="43"/>
      <c r="RV83" s="43"/>
      <c r="RW83" s="43"/>
      <c r="RX83" s="43"/>
      <c r="RY83" s="43"/>
      <c r="RZ83" s="43"/>
      <c r="SA83" s="43"/>
      <c r="SB83" s="43"/>
      <c r="SC83" s="43"/>
      <c r="SD83" s="43"/>
      <c r="SE83" s="43"/>
      <c r="SF83" s="43"/>
      <c r="SG83" s="43"/>
      <c r="SH83" s="43"/>
      <c r="SI83" s="43"/>
      <c r="SJ83" s="43"/>
      <c r="SK83" s="43"/>
      <c r="SL83" s="43"/>
      <c r="SM83" s="43"/>
      <c r="SN83" s="43"/>
      <c r="SO83" s="43"/>
      <c r="SP83" s="43"/>
      <c r="SQ83" s="43"/>
      <c r="SR83" s="43"/>
      <c r="SS83" s="43"/>
      <c r="ST83" s="43"/>
      <c r="SU83" s="43"/>
      <c r="SV83" s="43"/>
      <c r="SW83" s="43"/>
      <c r="SX83" s="43"/>
      <c r="SY83" s="43"/>
      <c r="SZ83" s="43"/>
      <c r="TA83" s="43"/>
      <c r="TB83" s="43"/>
      <c r="TC83" s="43"/>
      <c r="TD83" s="43"/>
      <c r="TE83" s="43"/>
      <c r="TF83" s="43"/>
      <c r="TG83" s="43"/>
      <c r="TH83" s="43"/>
      <c r="TI83" s="43"/>
      <c r="TJ83" s="43"/>
      <c r="TK83" s="43"/>
      <c r="TL83" s="43"/>
      <c r="TM83" s="43"/>
      <c r="TN83" s="43"/>
      <c r="TO83" s="43"/>
      <c r="TP83" s="43"/>
      <c r="TQ83" s="43"/>
      <c r="TR83" s="43"/>
      <c r="TS83" s="43"/>
      <c r="TT83" s="43"/>
      <c r="TU83" s="43"/>
      <c r="TV83" s="43"/>
      <c r="TW83" s="43"/>
      <c r="TX83" s="43"/>
      <c r="TY83" s="43"/>
      <c r="TZ83" s="43"/>
      <c r="UA83" s="43"/>
      <c r="UB83" s="43"/>
      <c r="UC83" s="43"/>
      <c r="UD83" s="43"/>
      <c r="UE83" s="43"/>
      <c r="UF83" s="43"/>
      <c r="UG83" s="43"/>
      <c r="UH83" s="43"/>
      <c r="UI83" s="43"/>
      <c r="UJ83" s="43"/>
      <c r="UK83" s="43"/>
      <c r="UL83" s="43"/>
      <c r="UM83" s="43"/>
      <c r="UN83" s="43"/>
      <c r="UO83" s="43"/>
      <c r="UP83" s="43"/>
      <c r="UQ83" s="43"/>
      <c r="UR83" s="43"/>
      <c r="US83" s="43"/>
      <c r="UT83" s="43"/>
      <c r="UU83" s="43"/>
      <c r="UV83" s="43"/>
      <c r="UW83" s="43"/>
      <c r="UX83" s="43"/>
      <c r="UY83" s="43"/>
      <c r="UZ83" s="43"/>
      <c r="VA83" s="43"/>
      <c r="VB83" s="43"/>
      <c r="VC83" s="43"/>
      <c r="VD83" s="43"/>
      <c r="VE83" s="43"/>
      <c r="VF83" s="43"/>
      <c r="VG83" s="43"/>
      <c r="VH83" s="43"/>
      <c r="VI83" s="43"/>
      <c r="VJ83" s="43"/>
      <c r="VK83" s="43"/>
      <c r="VL83" s="43"/>
      <c r="VM83" s="43"/>
      <c r="VN83" s="43"/>
      <c r="VO83" s="43"/>
      <c r="VP83" s="43"/>
      <c r="VQ83" s="43"/>
      <c r="VR83" s="43"/>
      <c r="VS83" s="43"/>
      <c r="VT83" s="43"/>
      <c r="VU83" s="43"/>
      <c r="VV83" s="43"/>
      <c r="VW83" s="43"/>
      <c r="VX83" s="43"/>
      <c r="VY83" s="43"/>
      <c r="VZ83" s="43"/>
      <c r="WA83" s="43"/>
      <c r="WB83" s="43"/>
      <c r="WC83" s="43"/>
      <c r="WD83" s="43"/>
      <c r="WE83" s="43"/>
      <c r="WF83" s="43"/>
      <c r="WG83" s="43"/>
      <c r="WH83" s="43"/>
      <c r="WI83" s="43"/>
      <c r="WJ83" s="43"/>
      <c r="WK83" s="43"/>
      <c r="WL83" s="43"/>
      <c r="WM83" s="43"/>
      <c r="WN83" s="43"/>
      <c r="WO83" s="43"/>
      <c r="WP83" s="43"/>
      <c r="WQ83" s="43"/>
      <c r="WR83" s="43"/>
      <c r="WS83" s="43"/>
      <c r="WT83" s="43"/>
      <c r="WU83" s="43"/>
      <c r="WV83" s="43"/>
      <c r="WW83" s="43"/>
      <c r="WX83" s="43"/>
      <c r="WY83" s="43"/>
      <c r="WZ83" s="43"/>
      <c r="XA83" s="43"/>
      <c r="XB83" s="43"/>
      <c r="XC83" s="43"/>
      <c r="XD83" s="43"/>
      <c r="XE83" s="43"/>
      <c r="XF83" s="43"/>
      <c r="XG83" s="43"/>
      <c r="XH83" s="43"/>
      <c r="XI83" s="43"/>
      <c r="XJ83" s="43"/>
      <c r="XK83" s="43"/>
      <c r="XL83" s="43"/>
      <c r="XM83" s="43"/>
      <c r="XN83" s="43"/>
      <c r="XO83" s="43"/>
      <c r="XP83" s="43"/>
      <c r="XQ83" s="43"/>
      <c r="XR83" s="43"/>
      <c r="XS83" s="43"/>
      <c r="XT83" s="43"/>
      <c r="XU83" s="43"/>
      <c r="XV83" s="43"/>
      <c r="XW83" s="43"/>
      <c r="XX83" s="43"/>
      <c r="XY83" s="43"/>
      <c r="XZ83" s="43"/>
      <c r="YA83" s="43"/>
      <c r="YB83" s="43"/>
      <c r="YC83" s="43"/>
      <c r="YD83" s="43"/>
      <c r="YE83" s="43"/>
      <c r="YF83" s="43"/>
      <c r="YG83" s="43"/>
      <c r="YH83" s="43"/>
      <c r="YI83" s="43"/>
      <c r="YJ83" s="43"/>
      <c r="YK83" s="43"/>
      <c r="YL83" s="43"/>
      <c r="YM83" s="43"/>
      <c r="YN83" s="43"/>
      <c r="YO83" s="43"/>
      <c r="YP83" s="43"/>
      <c r="YQ83" s="43"/>
      <c r="YR83" s="43"/>
      <c r="YS83" s="43"/>
      <c r="YT83" s="43"/>
      <c r="YU83" s="43"/>
      <c r="YV83" s="43"/>
      <c r="YW83" s="43"/>
      <c r="YX83" s="43"/>
      <c r="YY83" s="43"/>
      <c r="YZ83" s="43"/>
      <c r="ZA83" s="43"/>
      <c r="ZB83" s="43"/>
      <c r="ZC83" s="43"/>
      <c r="ZD83" s="43"/>
      <c r="ZE83" s="43"/>
      <c r="ZF83" s="43"/>
      <c r="ZG83" s="43"/>
      <c r="ZH83" s="43"/>
      <c r="ZI83" s="43"/>
      <c r="ZJ83" s="43"/>
      <c r="ZK83" s="43"/>
      <c r="ZL83" s="43"/>
      <c r="ZM83" s="43"/>
      <c r="ZN83" s="43"/>
      <c r="ZO83" s="43"/>
      <c r="ZP83" s="43"/>
      <c r="ZQ83" s="43"/>
      <c r="ZR83" s="43"/>
      <c r="ZS83" s="43"/>
      <c r="ZT83" s="43"/>
      <c r="ZU83" s="43"/>
      <c r="ZV83" s="43"/>
      <c r="ZW83" s="43"/>
      <c r="ZX83" s="43"/>
      <c r="ZY83" s="43"/>
      <c r="ZZ83" s="43"/>
      <c r="AAA83" s="43"/>
      <c r="AAB83" s="43"/>
      <c r="AAC83" s="43"/>
      <c r="AAD83" s="43"/>
      <c r="AAE83" s="43"/>
      <c r="AAF83" s="43"/>
      <c r="AAG83" s="43"/>
      <c r="AAH83" s="43"/>
      <c r="AAI83" s="43"/>
      <c r="AAJ83" s="43"/>
      <c r="AAK83" s="43"/>
      <c r="AAL83" s="43"/>
      <c r="AAM83" s="43"/>
      <c r="AAN83" s="43"/>
      <c r="AAO83" s="43"/>
      <c r="AAP83" s="43"/>
      <c r="AAQ83" s="43"/>
      <c r="AAR83" s="43"/>
      <c r="AAS83" s="43"/>
      <c r="AAT83" s="43"/>
      <c r="AAU83" s="43"/>
      <c r="AAV83" s="43"/>
      <c r="AAW83" s="43"/>
      <c r="AAX83" s="43"/>
      <c r="AAY83" s="43"/>
      <c r="AAZ83" s="43"/>
      <c r="ABA83" s="43"/>
      <c r="ABB83" s="43"/>
      <c r="ABC83" s="43"/>
      <c r="ABD83" s="43"/>
      <c r="ABE83" s="43"/>
      <c r="ABF83" s="43"/>
      <c r="ABG83" s="43"/>
      <c r="ABH83" s="43"/>
      <c r="ABI83" s="43"/>
      <c r="ABJ83" s="43"/>
      <c r="ABK83" s="43"/>
      <c r="ABL83" s="43"/>
      <c r="ABM83" s="43"/>
      <c r="ABN83" s="43"/>
      <c r="ABO83" s="43"/>
      <c r="ABP83" s="43"/>
      <c r="ABQ83" s="43"/>
      <c r="ABR83" s="43"/>
      <c r="ABS83" s="43"/>
      <c r="ABT83" s="43"/>
      <c r="ABU83" s="43"/>
      <c r="ABV83" s="43"/>
      <c r="ABW83" s="43"/>
      <c r="ABX83" s="43"/>
      <c r="ABY83" s="43"/>
      <c r="ABZ83" s="43"/>
      <c r="ACA83" s="43"/>
      <c r="ACB83" s="43"/>
      <c r="ACC83" s="43"/>
      <c r="ACD83" s="43"/>
      <c r="ACE83" s="43"/>
      <c r="ACF83" s="43"/>
      <c r="ACG83" s="43"/>
      <c r="ACH83" s="43"/>
      <c r="ACI83" s="43"/>
      <c r="ACJ83" s="43"/>
      <c r="ACK83" s="43"/>
      <c r="ACL83" s="43"/>
      <c r="ACM83" s="43"/>
      <c r="ACN83" s="43"/>
      <c r="ACO83" s="43"/>
      <c r="ACP83" s="43"/>
      <c r="ACQ83" s="43"/>
      <c r="ACR83" s="43"/>
      <c r="ACS83" s="43"/>
      <c r="ACT83" s="43"/>
      <c r="ACU83" s="43"/>
      <c r="ACV83" s="43"/>
      <c r="ACW83" s="43"/>
      <c r="ACX83" s="43"/>
      <c r="ACY83" s="43"/>
      <c r="ACZ83" s="43"/>
      <c r="ADA83" s="43"/>
      <c r="ADB83" s="43"/>
      <c r="ADC83" s="43"/>
      <c r="ADD83" s="43"/>
      <c r="ADE83" s="43"/>
      <c r="ADF83" s="43"/>
      <c r="ADG83" s="43"/>
      <c r="ADH83" s="43"/>
      <c r="ADI83" s="43"/>
      <c r="ADJ83" s="43"/>
      <c r="ADK83" s="43"/>
      <c r="ADL83" s="43"/>
      <c r="ADM83" s="43"/>
      <c r="ADN83" s="43"/>
      <c r="ADO83" s="43"/>
      <c r="ADP83" s="43"/>
      <c r="ADQ83" s="43"/>
      <c r="ADR83" s="43"/>
      <c r="ADS83" s="43"/>
      <c r="ADT83" s="43"/>
      <c r="ADU83" s="43"/>
      <c r="ADV83" s="43"/>
      <c r="ADW83" s="43"/>
      <c r="ADX83" s="43"/>
      <c r="ADY83" s="43"/>
      <c r="ADZ83" s="43"/>
      <c r="AEA83" s="43"/>
      <c r="AEB83" s="43"/>
      <c r="AEC83" s="43"/>
      <c r="AED83" s="43"/>
      <c r="AEE83" s="43"/>
      <c r="AEF83" s="43"/>
      <c r="AEG83" s="43"/>
      <c r="AEH83" s="43"/>
      <c r="AEI83" s="43"/>
      <c r="AEJ83" s="43"/>
      <c r="AEK83" s="43"/>
      <c r="AEL83" s="43"/>
      <c r="AEM83" s="43"/>
      <c r="AEN83" s="43"/>
      <c r="AEO83" s="43"/>
      <c r="AEP83" s="43"/>
      <c r="AEQ83" s="43"/>
      <c r="AER83" s="43"/>
      <c r="AES83" s="43"/>
      <c r="AET83" s="43"/>
      <c r="AEU83" s="43"/>
      <c r="AEV83" s="43"/>
      <c r="AEW83" s="43"/>
      <c r="AEX83" s="43"/>
      <c r="AEY83" s="43"/>
      <c r="AEZ83" s="43"/>
      <c r="AFA83" s="43"/>
      <c r="AFB83" s="43"/>
      <c r="AFC83" s="43"/>
      <c r="AFD83" s="43"/>
      <c r="AFE83" s="43"/>
      <c r="AFF83" s="43"/>
      <c r="AFG83" s="43"/>
      <c r="AFH83" s="43"/>
      <c r="AFI83" s="43"/>
      <c r="AFJ83" s="43"/>
      <c r="AFK83" s="43"/>
      <c r="AFL83" s="43"/>
      <c r="AFM83" s="43"/>
      <c r="AFN83" s="43"/>
      <c r="AFO83" s="43"/>
      <c r="AFP83" s="43"/>
      <c r="AFQ83" s="43"/>
      <c r="AFR83" s="43"/>
      <c r="AFS83" s="43"/>
      <c r="AFT83" s="43"/>
      <c r="AFU83" s="43"/>
      <c r="AFV83" s="43"/>
      <c r="AFW83" s="43"/>
      <c r="AFX83" s="43"/>
      <c r="AFY83" s="43"/>
      <c r="AFZ83" s="43"/>
      <c r="AGA83" s="43"/>
      <c r="AGB83" s="43"/>
      <c r="AGC83" s="43"/>
      <c r="AGD83" s="43"/>
      <c r="AGE83" s="43"/>
      <c r="AGF83" s="43"/>
      <c r="AGG83" s="43"/>
      <c r="AGH83" s="43"/>
      <c r="AGI83" s="43"/>
      <c r="AGJ83" s="43"/>
      <c r="AGK83" s="43"/>
      <c r="AGL83" s="43"/>
      <c r="AGM83" s="43"/>
      <c r="AGN83" s="43"/>
      <c r="AGO83" s="43"/>
      <c r="AGP83" s="43"/>
      <c r="AGQ83" s="43"/>
      <c r="AGR83" s="43"/>
      <c r="AGS83" s="43"/>
      <c r="AGT83" s="43"/>
      <c r="AGU83" s="43"/>
      <c r="AGV83" s="43"/>
      <c r="AGW83" s="43"/>
      <c r="AGX83" s="43"/>
      <c r="AGY83" s="43"/>
      <c r="AGZ83" s="43"/>
      <c r="AHA83" s="43"/>
      <c r="AHB83" s="43"/>
      <c r="AHC83" s="43"/>
      <c r="AHD83" s="43"/>
      <c r="AHE83" s="43"/>
      <c r="AHF83" s="43"/>
      <c r="AHG83" s="43"/>
      <c r="AHH83" s="43"/>
      <c r="AHI83" s="43"/>
      <c r="AHJ83" s="43"/>
      <c r="AHK83" s="43"/>
      <c r="AHL83" s="43"/>
      <c r="AHM83" s="43"/>
      <c r="AHN83" s="43"/>
      <c r="AHO83" s="43"/>
      <c r="AHP83" s="43"/>
      <c r="AHQ83" s="43"/>
      <c r="AHR83" s="43"/>
      <c r="AHS83" s="43"/>
      <c r="AHT83" s="43"/>
      <c r="AHU83" s="43"/>
      <c r="AHV83" s="43"/>
      <c r="AHW83" s="43"/>
      <c r="AHX83" s="43"/>
      <c r="AHY83" s="43"/>
      <c r="AHZ83" s="43"/>
      <c r="AIA83" s="43"/>
      <c r="AIB83" s="43"/>
      <c r="AIC83" s="43"/>
      <c r="AID83" s="43"/>
      <c r="AIE83" s="43"/>
      <c r="AIF83" s="43"/>
      <c r="AIG83" s="43"/>
      <c r="AIH83" s="43"/>
      <c r="AII83" s="43"/>
      <c r="AIJ83" s="43"/>
      <c r="AIK83" s="43"/>
      <c r="AIL83" s="43"/>
      <c r="AIM83" s="43"/>
      <c r="AIN83" s="43"/>
      <c r="AIO83" s="43"/>
      <c r="AIP83" s="43"/>
      <c r="AIQ83" s="43"/>
      <c r="AIR83" s="43"/>
      <c r="AIS83" s="43"/>
      <c r="AIT83" s="43"/>
      <c r="AIU83" s="43"/>
      <c r="AIV83" s="43"/>
      <c r="AIW83" s="43"/>
      <c r="AIX83" s="43"/>
      <c r="AIY83" s="43"/>
      <c r="AIZ83" s="43"/>
      <c r="AJA83" s="43"/>
      <c r="AJB83" s="43"/>
      <c r="AJC83" s="43"/>
      <c r="AJD83" s="43"/>
      <c r="AJE83" s="43"/>
      <c r="AJF83" s="43"/>
      <c r="AJG83" s="43"/>
      <c r="AJH83" s="43"/>
      <c r="AJI83" s="43"/>
      <c r="AJJ83" s="43"/>
      <c r="AJK83" s="43"/>
      <c r="AJL83" s="43"/>
      <c r="AJM83" s="43"/>
      <c r="AJN83" s="43"/>
      <c r="AJO83" s="43"/>
      <c r="AJP83" s="43"/>
      <c r="AJQ83" s="43"/>
      <c r="AJR83" s="43"/>
      <c r="AJS83" s="43"/>
      <c r="AJT83" s="43"/>
      <c r="AJU83" s="43"/>
      <c r="AJV83" s="43"/>
      <c r="AJW83" s="43"/>
      <c r="AJX83" s="43"/>
      <c r="AJY83" s="43"/>
      <c r="AJZ83" s="43"/>
      <c r="AKA83" s="43"/>
      <c r="AKB83" s="43"/>
      <c r="AKC83" s="43"/>
      <c r="AKD83" s="43"/>
      <c r="AKE83" s="43"/>
      <c r="AKF83" s="43"/>
      <c r="AKG83" s="43"/>
      <c r="AKH83" s="43"/>
      <c r="AKI83" s="43"/>
      <c r="AKJ83" s="43"/>
      <c r="AKK83" s="43"/>
      <c r="AKL83" s="43"/>
      <c r="AKM83" s="43"/>
      <c r="AKN83" s="43"/>
      <c r="AKO83" s="43"/>
      <c r="AKP83" s="43"/>
      <c r="AKQ83" s="43"/>
      <c r="AKR83" s="43"/>
      <c r="AKS83" s="43"/>
      <c r="AKT83" s="43"/>
      <c r="AKU83" s="43"/>
      <c r="AKV83" s="43"/>
      <c r="AKW83" s="43"/>
      <c r="AKX83" s="43"/>
      <c r="AKY83" s="43"/>
      <c r="AKZ83" s="43"/>
      <c r="ALA83" s="43"/>
      <c r="ALB83" s="43"/>
      <c r="ALC83" s="43"/>
      <c r="ALD83" s="43"/>
      <c r="ALE83" s="43"/>
      <c r="ALF83" s="43"/>
      <c r="ALG83" s="43"/>
      <c r="ALH83" s="43"/>
      <c r="ALI83" s="43"/>
      <c r="ALJ83" s="43"/>
      <c r="ALK83" s="43"/>
      <c r="ALL83" s="43"/>
      <c r="ALM83" s="43"/>
      <c r="ALN83" s="43"/>
      <c r="ALO83" s="43"/>
      <c r="ALP83" s="43"/>
      <c r="ALQ83" s="43"/>
      <c r="ALR83" s="43"/>
      <c r="ALS83" s="43"/>
      <c r="ALT83" s="43"/>
      <c r="ALU83" s="43"/>
      <c r="ALV83" s="43"/>
      <c r="ALW83" s="43"/>
      <c r="ALX83" s="43"/>
      <c r="ALY83" s="43"/>
      <c r="ALZ83" s="43"/>
      <c r="AMA83" s="43"/>
      <c r="AMB83" s="43"/>
      <c r="AMC83" s="43"/>
      <c r="AMD83" s="43"/>
      <c r="AME83" s="43"/>
      <c r="AMF83" s="43"/>
      <c r="AMG83" s="43"/>
      <c r="AMH83" s="43"/>
      <c r="AMI83" s="43"/>
      <c r="AMJ83" s="43"/>
      <c r="AMK83" s="43"/>
      <c r="AML83" s="43"/>
      <c r="AMM83" s="43"/>
      <c r="AMN83" s="43"/>
      <c r="AMO83" s="43"/>
      <c r="AMP83" s="43"/>
      <c r="AMQ83" s="43"/>
      <c r="AMR83" s="43"/>
      <c r="AMS83" s="43"/>
      <c r="AMT83" s="43"/>
      <c r="AMU83" s="43"/>
      <c r="AMV83" s="43"/>
      <c r="AMW83" s="43"/>
      <c r="AMX83" s="43"/>
      <c r="AMY83" s="43"/>
      <c r="AMZ83" s="43"/>
      <c r="ANA83" s="43"/>
      <c r="ANB83" s="43"/>
      <c r="ANC83" s="43"/>
      <c r="AND83" s="43"/>
      <c r="ANE83" s="43"/>
      <c r="ANF83" s="43"/>
      <c r="ANG83" s="43"/>
      <c r="ANH83" s="43"/>
      <c r="ANI83" s="43"/>
      <c r="ANJ83" s="43"/>
      <c r="ANK83" s="43"/>
      <c r="ANL83" s="43"/>
      <c r="ANM83" s="43"/>
      <c r="ANN83" s="43"/>
      <c r="ANO83" s="43"/>
      <c r="ANP83" s="43"/>
      <c r="ANQ83" s="43"/>
      <c r="ANR83" s="43"/>
      <c r="ANS83" s="43"/>
      <c r="ANT83" s="43"/>
      <c r="ANU83" s="43"/>
      <c r="ANV83" s="43"/>
      <c r="ANW83" s="43"/>
      <c r="ANX83" s="43"/>
      <c r="ANY83" s="43"/>
      <c r="ANZ83" s="43"/>
      <c r="AOA83" s="43"/>
      <c r="AOB83" s="43"/>
      <c r="AOC83" s="43"/>
      <c r="AOD83" s="43"/>
      <c r="AOE83" s="43"/>
      <c r="AOF83" s="43"/>
      <c r="AOG83" s="43"/>
      <c r="AOH83" s="43"/>
      <c r="AOI83" s="43"/>
      <c r="AOJ83" s="43"/>
      <c r="AOK83" s="43"/>
      <c r="AOL83" s="43"/>
      <c r="AOM83" s="43"/>
      <c r="AON83" s="43"/>
      <c r="AOO83" s="43"/>
      <c r="AOP83" s="43"/>
      <c r="AOQ83" s="43"/>
      <c r="AOR83" s="43"/>
      <c r="AOS83" s="43"/>
      <c r="AOT83" s="43"/>
      <c r="AOU83" s="43"/>
      <c r="AOV83" s="43"/>
      <c r="AOW83" s="43"/>
      <c r="AOX83" s="43"/>
      <c r="AOY83" s="43"/>
      <c r="AOZ83" s="43"/>
      <c r="APA83" s="43"/>
      <c r="APB83" s="43"/>
      <c r="APC83" s="43"/>
      <c r="APD83" s="43"/>
      <c r="APE83" s="43"/>
      <c r="APF83" s="43"/>
      <c r="APG83" s="43"/>
      <c r="APH83" s="43"/>
      <c r="API83" s="43"/>
      <c r="APJ83" s="43"/>
      <c r="APK83" s="43"/>
      <c r="APL83" s="43"/>
      <c r="APM83" s="43"/>
      <c r="APN83" s="43"/>
      <c r="APO83" s="43"/>
      <c r="APP83" s="43"/>
      <c r="APQ83" s="43"/>
      <c r="APR83" s="43"/>
      <c r="APS83" s="43"/>
      <c r="APT83" s="43"/>
      <c r="APU83" s="43"/>
      <c r="APV83" s="43"/>
      <c r="APW83" s="43"/>
      <c r="APX83" s="43"/>
      <c r="APY83" s="43"/>
      <c r="APZ83" s="43"/>
      <c r="AQA83" s="43"/>
      <c r="AQB83" s="43"/>
      <c r="AQC83" s="43"/>
      <c r="AQD83" s="43"/>
      <c r="AQE83" s="43"/>
      <c r="AQF83" s="43"/>
      <c r="AQG83" s="43"/>
      <c r="AQH83" s="43"/>
      <c r="AQI83" s="43"/>
      <c r="AQJ83" s="43"/>
      <c r="AQK83" s="43"/>
      <c r="AQL83" s="43"/>
      <c r="AQM83" s="43"/>
      <c r="AQN83" s="43"/>
      <c r="AQO83" s="43"/>
      <c r="AQP83" s="43"/>
      <c r="AQQ83" s="43"/>
      <c r="AQR83" s="43"/>
      <c r="AQS83" s="43"/>
      <c r="AQT83" s="43"/>
      <c r="AQU83" s="43"/>
      <c r="AQV83" s="43"/>
      <c r="AQW83" s="43"/>
      <c r="AQX83" s="43"/>
      <c r="AQY83" s="43"/>
      <c r="AQZ83" s="43"/>
      <c r="ARA83" s="43"/>
      <c r="ARB83" s="43"/>
      <c r="ARC83" s="43"/>
      <c r="ARD83" s="43"/>
      <c r="ARE83" s="43"/>
      <c r="ARF83" s="43"/>
      <c r="ARG83" s="43"/>
      <c r="ARH83" s="43"/>
      <c r="ARI83" s="43"/>
      <c r="ARJ83" s="43"/>
      <c r="ARK83" s="43"/>
      <c r="ARL83" s="43"/>
      <c r="ARM83" s="43"/>
      <c r="ARN83" s="43"/>
      <c r="ARO83" s="43"/>
      <c r="ARP83" s="43"/>
      <c r="ARQ83" s="43"/>
      <c r="ARR83" s="43"/>
      <c r="ARS83" s="43"/>
      <c r="ART83" s="43"/>
      <c r="ARU83" s="43"/>
      <c r="ARV83" s="43"/>
      <c r="ARW83" s="43"/>
      <c r="ARX83" s="43"/>
      <c r="ARY83" s="43"/>
      <c r="ARZ83" s="43"/>
      <c r="ASA83" s="43"/>
      <c r="ASB83" s="43"/>
      <c r="ASC83" s="43"/>
      <c r="ASD83" s="43"/>
      <c r="ASE83" s="43"/>
      <c r="ASF83" s="43"/>
      <c r="ASG83" s="43"/>
      <c r="ASH83" s="43"/>
      <c r="ASI83" s="43"/>
      <c r="ASJ83" s="43"/>
      <c r="ASK83" s="43"/>
      <c r="ASL83" s="43"/>
      <c r="ASM83" s="43"/>
      <c r="ASN83" s="43"/>
      <c r="ASO83" s="43"/>
      <c r="ASP83" s="43"/>
      <c r="ASQ83" s="43"/>
      <c r="ASR83" s="43"/>
      <c r="ASS83" s="43"/>
      <c r="AST83" s="43"/>
      <c r="ASU83" s="43"/>
      <c r="ASV83" s="43"/>
      <c r="ASW83" s="43"/>
      <c r="ASX83" s="43"/>
      <c r="ASY83" s="43"/>
      <c r="ASZ83" s="43"/>
      <c r="ATA83" s="43"/>
      <c r="ATB83" s="43"/>
      <c r="ATC83" s="43"/>
      <c r="ATD83" s="43"/>
      <c r="ATE83" s="43"/>
      <c r="ATF83" s="43"/>
      <c r="ATG83" s="43"/>
      <c r="ATH83" s="43"/>
      <c r="ATI83" s="43"/>
      <c r="ATJ83" s="43"/>
      <c r="ATK83" s="43"/>
      <c r="ATL83" s="43"/>
      <c r="ATM83" s="43"/>
      <c r="ATN83" s="43"/>
      <c r="ATO83" s="43"/>
      <c r="ATP83" s="43"/>
      <c r="ATQ83" s="43"/>
      <c r="ATR83" s="43"/>
      <c r="ATS83" s="43"/>
      <c r="ATT83" s="43"/>
      <c r="ATU83" s="43"/>
      <c r="ATV83" s="43"/>
      <c r="ATW83" s="43"/>
      <c r="ATX83" s="43"/>
      <c r="ATY83" s="43"/>
      <c r="ATZ83" s="43"/>
      <c r="AUA83" s="43"/>
      <c r="AUB83" s="43"/>
      <c r="AUC83" s="43"/>
      <c r="AUD83" s="43"/>
      <c r="AUE83" s="43"/>
      <c r="AUF83" s="43"/>
      <c r="AUG83" s="43"/>
      <c r="AUH83" s="43"/>
      <c r="AUI83" s="43"/>
      <c r="AUJ83" s="43"/>
      <c r="AUK83" s="43"/>
      <c r="AUL83" s="43"/>
      <c r="AUM83" s="43"/>
      <c r="AUN83" s="43"/>
      <c r="AUO83" s="43"/>
      <c r="AUP83" s="43"/>
      <c r="AUQ83" s="43"/>
      <c r="AUR83" s="43"/>
      <c r="AUS83" s="43"/>
      <c r="AUT83" s="43"/>
      <c r="AUU83" s="43"/>
      <c r="AUV83" s="43"/>
      <c r="AUW83" s="43"/>
      <c r="AUX83" s="43"/>
      <c r="AUY83" s="43"/>
      <c r="AUZ83" s="43"/>
      <c r="AVA83" s="43"/>
      <c r="AVB83" s="43"/>
      <c r="AVC83" s="43"/>
      <c r="AVD83" s="43"/>
      <c r="AVE83" s="43"/>
      <c r="AVF83" s="43"/>
      <c r="AVG83" s="43"/>
      <c r="AVH83" s="43"/>
      <c r="AVI83" s="43"/>
      <c r="AVJ83" s="43"/>
      <c r="AVK83" s="43"/>
      <c r="AVL83" s="43"/>
      <c r="AVM83" s="43"/>
      <c r="AVN83" s="43"/>
      <c r="AVO83" s="43"/>
      <c r="AVP83" s="43"/>
      <c r="AVQ83" s="43"/>
      <c r="AVR83" s="43"/>
      <c r="AVS83" s="43"/>
      <c r="AVT83" s="43"/>
      <c r="AVU83" s="43"/>
      <c r="AVV83" s="43"/>
      <c r="AVW83" s="43"/>
      <c r="AVX83" s="43"/>
      <c r="AVY83" s="43"/>
      <c r="AVZ83" s="43"/>
      <c r="AWA83" s="43"/>
      <c r="AWB83" s="43"/>
      <c r="AWC83" s="43"/>
      <c r="AWD83" s="43"/>
      <c r="AWE83" s="43"/>
      <c r="AWF83" s="43"/>
      <c r="AWG83" s="43"/>
      <c r="AWH83" s="43"/>
      <c r="AWI83" s="43"/>
      <c r="AWJ83" s="43"/>
      <c r="AWK83" s="43"/>
      <c r="AWL83" s="43"/>
      <c r="AWM83" s="43"/>
      <c r="AWN83" s="43"/>
      <c r="AWO83" s="43"/>
      <c r="AWP83" s="43"/>
      <c r="AWQ83" s="43"/>
      <c r="AWR83" s="43"/>
      <c r="AWS83" s="43"/>
      <c r="AWT83" s="43"/>
      <c r="AWU83" s="43"/>
      <c r="AWV83" s="43"/>
      <c r="AWW83" s="43"/>
      <c r="AWX83" s="43"/>
      <c r="AWY83" s="43"/>
      <c r="AWZ83" s="43"/>
      <c r="AXA83" s="43"/>
      <c r="AXB83" s="43"/>
      <c r="AXC83" s="43"/>
      <c r="AXD83" s="43"/>
      <c r="AXE83" s="43"/>
      <c r="AXF83" s="43"/>
      <c r="AXG83" s="43"/>
      <c r="AXH83" s="43"/>
      <c r="AXI83" s="43"/>
      <c r="AXJ83" s="43"/>
      <c r="AXK83" s="43"/>
      <c r="AXL83" s="43"/>
      <c r="AXM83" s="43"/>
      <c r="AXN83" s="43"/>
      <c r="AXO83" s="43"/>
      <c r="AXP83" s="43"/>
      <c r="AXQ83" s="43"/>
      <c r="AXR83" s="43"/>
      <c r="AXS83" s="43"/>
      <c r="AXT83" s="43"/>
      <c r="AXU83" s="43"/>
      <c r="AXV83" s="43"/>
      <c r="AXW83" s="43"/>
      <c r="AXX83" s="43"/>
      <c r="AXY83" s="43"/>
      <c r="AXZ83" s="43"/>
      <c r="AYA83" s="43"/>
      <c r="AYB83" s="43"/>
      <c r="AYC83" s="43"/>
      <c r="AYD83" s="43"/>
      <c r="AYE83" s="43"/>
      <c r="AYF83" s="43"/>
      <c r="AYG83" s="43"/>
      <c r="AYH83" s="43"/>
      <c r="AYI83" s="43"/>
      <c r="AYJ83" s="43"/>
      <c r="AYK83" s="43"/>
      <c r="AYL83" s="43"/>
      <c r="AYM83" s="43"/>
      <c r="AYN83" s="43"/>
      <c r="AYO83" s="43"/>
      <c r="AYP83" s="43"/>
      <c r="AYQ83" s="43"/>
      <c r="AYR83" s="43"/>
      <c r="AYS83" s="43"/>
      <c r="AYT83" s="43"/>
      <c r="AYU83" s="43"/>
      <c r="AYV83" s="43"/>
      <c r="AYW83" s="43"/>
      <c r="AYX83" s="43"/>
      <c r="AYY83" s="43"/>
      <c r="AYZ83" s="43"/>
      <c r="AZA83" s="43"/>
      <c r="AZB83" s="43"/>
      <c r="AZC83" s="43"/>
      <c r="AZD83" s="43"/>
      <c r="AZE83" s="43"/>
      <c r="AZF83" s="43"/>
      <c r="AZG83" s="43"/>
      <c r="AZH83" s="43"/>
      <c r="AZI83" s="43"/>
      <c r="AZJ83" s="43"/>
      <c r="AZK83" s="43"/>
      <c r="AZL83" s="43"/>
      <c r="AZM83" s="43"/>
      <c r="AZN83" s="43"/>
      <c r="AZO83" s="43"/>
      <c r="AZP83" s="43"/>
      <c r="AZQ83" s="43"/>
      <c r="AZR83" s="43"/>
      <c r="AZS83" s="43"/>
      <c r="AZT83" s="43"/>
      <c r="AZU83" s="43"/>
      <c r="AZV83" s="43"/>
      <c r="AZW83" s="43"/>
      <c r="AZX83" s="43"/>
      <c r="AZY83" s="43"/>
      <c r="AZZ83" s="43"/>
      <c r="BAA83" s="43"/>
      <c r="BAB83" s="43"/>
      <c r="BAC83" s="43"/>
      <c r="BAD83" s="43"/>
      <c r="BAE83" s="43"/>
      <c r="BAF83" s="43"/>
      <c r="BAG83" s="43"/>
      <c r="BAH83" s="43"/>
      <c r="BAI83" s="43"/>
      <c r="BAJ83" s="43"/>
      <c r="BAK83" s="43"/>
      <c r="BAL83" s="43"/>
      <c r="BAM83" s="43"/>
      <c r="BAN83" s="43"/>
      <c r="BAO83" s="43"/>
      <c r="BAP83" s="43"/>
      <c r="BAQ83" s="43"/>
      <c r="BAR83" s="43"/>
      <c r="BAS83" s="43"/>
      <c r="BAT83" s="43"/>
      <c r="BAU83" s="43"/>
      <c r="BAV83" s="43"/>
      <c r="BAW83" s="43"/>
      <c r="BAX83" s="43"/>
      <c r="BAY83" s="43"/>
      <c r="BAZ83" s="43"/>
      <c r="BBA83" s="43"/>
      <c r="BBB83" s="43"/>
      <c r="BBC83" s="43"/>
      <c r="BBD83" s="43"/>
      <c r="BBE83" s="43"/>
      <c r="BBF83" s="43"/>
      <c r="BBG83" s="43"/>
      <c r="BBH83" s="43"/>
      <c r="BBI83" s="43"/>
      <c r="BBJ83" s="43"/>
      <c r="BBK83" s="43"/>
      <c r="BBL83" s="43"/>
      <c r="BBM83" s="43"/>
      <c r="BBN83" s="43"/>
      <c r="BBO83" s="43"/>
      <c r="BBP83" s="43"/>
      <c r="BBQ83" s="43"/>
      <c r="BBR83" s="43"/>
      <c r="BBS83" s="43"/>
      <c r="BBT83" s="43"/>
      <c r="BBU83" s="43"/>
      <c r="BBV83" s="43"/>
      <c r="BBW83" s="43"/>
      <c r="BBX83" s="43"/>
      <c r="BBY83" s="43"/>
      <c r="BBZ83" s="43"/>
      <c r="BCA83" s="43"/>
      <c r="BCB83" s="43"/>
      <c r="BCC83" s="43"/>
      <c r="BCD83" s="43"/>
      <c r="BCE83" s="43"/>
      <c r="BCF83" s="43"/>
      <c r="BCG83" s="43"/>
      <c r="BCH83" s="43"/>
      <c r="BCI83" s="43"/>
      <c r="BCJ83" s="43"/>
      <c r="BCK83" s="43"/>
      <c r="BCL83" s="43"/>
      <c r="BCM83" s="43"/>
      <c r="BCN83" s="43"/>
      <c r="BCO83" s="43"/>
      <c r="BCP83" s="43"/>
      <c r="BCQ83" s="43"/>
      <c r="BCR83" s="43"/>
      <c r="BCS83" s="43"/>
      <c r="BCT83" s="43"/>
      <c r="BCU83" s="43"/>
      <c r="BCV83" s="43"/>
      <c r="BCW83" s="43"/>
      <c r="BCX83" s="43"/>
      <c r="BCY83" s="43"/>
      <c r="BCZ83" s="43"/>
      <c r="BDA83" s="43"/>
      <c r="BDB83" s="43"/>
      <c r="BDC83" s="43"/>
      <c r="BDD83" s="43"/>
      <c r="BDE83" s="43"/>
      <c r="BDF83" s="43"/>
      <c r="BDG83" s="43"/>
      <c r="BDH83" s="43"/>
      <c r="BDI83" s="43"/>
      <c r="BDJ83" s="43"/>
      <c r="BDK83" s="43"/>
      <c r="BDL83" s="43"/>
      <c r="BDM83" s="43"/>
      <c r="BDN83" s="43"/>
      <c r="BDO83" s="43"/>
      <c r="BDP83" s="43"/>
      <c r="BDQ83" s="43"/>
      <c r="BDR83" s="43"/>
      <c r="BDS83" s="43"/>
      <c r="BDT83" s="43"/>
      <c r="BDU83" s="43"/>
      <c r="BDV83" s="43"/>
      <c r="BDW83" s="43"/>
      <c r="BDX83" s="43"/>
      <c r="BDY83" s="43"/>
      <c r="BDZ83" s="43"/>
      <c r="BEA83" s="43"/>
      <c r="BEB83" s="43"/>
      <c r="BEC83" s="43"/>
      <c r="BED83" s="43"/>
      <c r="BEE83" s="43"/>
      <c r="BEF83" s="43"/>
      <c r="BEG83" s="43"/>
      <c r="BEH83" s="43"/>
      <c r="BEI83" s="43"/>
      <c r="BEJ83" s="43"/>
      <c r="BEK83" s="43"/>
      <c r="BEL83" s="43"/>
      <c r="BEM83" s="43"/>
      <c r="BEN83" s="43"/>
      <c r="BEO83" s="43"/>
      <c r="BEP83" s="43"/>
      <c r="BEQ83" s="43"/>
      <c r="BER83" s="43"/>
      <c r="BES83" s="43"/>
      <c r="BET83" s="43"/>
      <c r="BEU83" s="43"/>
      <c r="BEV83" s="43"/>
      <c r="BEW83" s="43"/>
      <c r="BEX83" s="43"/>
      <c r="BEY83" s="43"/>
      <c r="BEZ83" s="43"/>
      <c r="BFA83" s="43"/>
      <c r="BFB83" s="43"/>
      <c r="BFC83" s="43"/>
      <c r="BFD83" s="43"/>
      <c r="BFE83" s="43"/>
      <c r="BFF83" s="43"/>
      <c r="BFG83" s="43"/>
      <c r="BFH83" s="43"/>
      <c r="BFI83" s="43"/>
      <c r="BFJ83" s="43"/>
      <c r="BFK83" s="43"/>
      <c r="BFL83" s="43"/>
      <c r="BFM83" s="43"/>
      <c r="BFN83" s="43"/>
      <c r="BFO83" s="43"/>
      <c r="BFP83" s="43"/>
      <c r="BFQ83" s="43"/>
      <c r="BFR83" s="43"/>
      <c r="BFS83" s="43"/>
      <c r="BFT83" s="43"/>
      <c r="BFU83" s="43"/>
      <c r="BFV83" s="43"/>
      <c r="BFW83" s="43"/>
      <c r="BFX83" s="43"/>
      <c r="BFY83" s="43"/>
      <c r="BFZ83" s="43"/>
      <c r="BGA83" s="43"/>
      <c r="BGB83" s="43"/>
      <c r="BGC83" s="43"/>
      <c r="BGD83" s="43"/>
      <c r="BGE83" s="43"/>
      <c r="BGF83" s="43"/>
      <c r="BGG83" s="43"/>
      <c r="BGH83" s="43"/>
      <c r="BGI83" s="43"/>
      <c r="BGJ83" s="43"/>
      <c r="BGK83" s="43"/>
      <c r="BGL83" s="43"/>
      <c r="BGM83" s="43"/>
      <c r="BGN83" s="43"/>
      <c r="BGO83" s="43"/>
      <c r="BGP83" s="43"/>
      <c r="BGQ83" s="43"/>
      <c r="BGR83" s="43"/>
      <c r="BGS83" s="43"/>
      <c r="BGT83" s="43"/>
      <c r="BGU83" s="43"/>
      <c r="BGV83" s="43"/>
      <c r="BGW83" s="43"/>
      <c r="BGX83" s="43"/>
      <c r="BGY83" s="43"/>
      <c r="BGZ83" s="43"/>
      <c r="BHA83" s="43"/>
      <c r="BHB83" s="43"/>
      <c r="BHC83" s="43"/>
      <c r="BHD83" s="43"/>
      <c r="BHE83" s="43"/>
      <c r="BHF83" s="43"/>
      <c r="BHG83" s="43"/>
      <c r="BHH83" s="43"/>
      <c r="BHI83" s="43"/>
      <c r="BHJ83" s="43"/>
      <c r="BHK83" s="43"/>
      <c r="BHL83" s="43"/>
      <c r="BHM83" s="43"/>
      <c r="BHN83" s="43"/>
      <c r="BHO83" s="43"/>
      <c r="BHP83" s="43"/>
      <c r="BHQ83" s="43"/>
      <c r="BHR83" s="43"/>
      <c r="BHS83" s="43"/>
      <c r="BHT83" s="43"/>
      <c r="BHU83" s="43"/>
      <c r="BHV83" s="43"/>
      <c r="BHW83" s="43"/>
      <c r="BHX83" s="43"/>
      <c r="BHY83" s="43"/>
      <c r="BHZ83" s="43"/>
      <c r="BIA83" s="43"/>
      <c r="BIB83" s="43"/>
      <c r="BIC83" s="43"/>
      <c r="BID83" s="43"/>
      <c r="BIE83" s="43"/>
      <c r="BIF83" s="43"/>
      <c r="BIG83" s="43"/>
      <c r="BIH83" s="43"/>
      <c r="BII83" s="43"/>
      <c r="BIJ83" s="43"/>
      <c r="BIK83" s="43"/>
      <c r="BIL83" s="43"/>
      <c r="BIM83" s="43"/>
      <c r="BIN83" s="43"/>
      <c r="BIO83" s="43"/>
      <c r="BIP83" s="43"/>
      <c r="BIQ83" s="43"/>
      <c r="BIR83" s="43"/>
      <c r="BIS83" s="43"/>
      <c r="BIT83" s="43"/>
      <c r="BIU83" s="43"/>
      <c r="BIV83" s="43"/>
      <c r="BIW83" s="43"/>
      <c r="BIX83" s="43"/>
      <c r="BIY83" s="43"/>
      <c r="BIZ83" s="43"/>
      <c r="BJA83" s="43"/>
      <c r="BJB83" s="43"/>
      <c r="BJC83" s="43"/>
      <c r="BJD83" s="43"/>
      <c r="BJE83" s="43"/>
      <c r="BJF83" s="43"/>
      <c r="BJG83" s="43"/>
      <c r="BJH83" s="43"/>
      <c r="BJI83" s="43"/>
      <c r="BJJ83" s="43"/>
      <c r="BJK83" s="43"/>
      <c r="BJL83" s="43"/>
      <c r="BJM83" s="43"/>
      <c r="BJN83" s="43"/>
      <c r="BJO83" s="43"/>
      <c r="BJP83" s="43"/>
      <c r="BJQ83" s="43"/>
      <c r="BJR83" s="43"/>
      <c r="BJS83" s="43"/>
      <c r="BJT83" s="43"/>
      <c r="BJU83" s="43"/>
      <c r="BJV83" s="43"/>
      <c r="BJW83" s="43"/>
      <c r="BJX83" s="43"/>
      <c r="BJY83" s="43"/>
      <c r="BJZ83" s="43"/>
      <c r="BKA83" s="43"/>
      <c r="BKB83" s="43"/>
      <c r="BKC83" s="43"/>
      <c r="BKD83" s="43"/>
      <c r="BKE83" s="43"/>
      <c r="BKF83" s="43"/>
      <c r="BKG83" s="43"/>
      <c r="BKH83" s="43"/>
      <c r="BKI83" s="43"/>
      <c r="BKJ83" s="43"/>
      <c r="BKK83" s="43"/>
      <c r="BKL83" s="43"/>
      <c r="BKM83" s="43"/>
      <c r="BKN83" s="43"/>
      <c r="BKO83" s="43"/>
      <c r="BKP83" s="43"/>
      <c r="BKQ83" s="43"/>
      <c r="BKR83" s="43"/>
      <c r="BKS83" s="43"/>
      <c r="BKT83" s="43"/>
      <c r="BKU83" s="43"/>
      <c r="BKV83" s="43"/>
      <c r="BKW83" s="43"/>
      <c r="BKX83" s="43"/>
      <c r="BKY83" s="43"/>
      <c r="BKZ83" s="43"/>
      <c r="BLA83" s="43"/>
      <c r="BLB83" s="43"/>
      <c r="BLC83" s="43"/>
      <c r="BLD83" s="43"/>
      <c r="BLE83" s="43"/>
      <c r="BLF83" s="43"/>
      <c r="BLG83" s="43"/>
      <c r="BLH83" s="43"/>
      <c r="BLI83" s="43"/>
      <c r="BLJ83" s="43"/>
      <c r="BLK83" s="43"/>
      <c r="BLL83" s="43"/>
      <c r="BLM83" s="43"/>
      <c r="BLN83" s="43"/>
      <c r="BLO83" s="43"/>
      <c r="BLP83" s="43"/>
      <c r="BLQ83" s="43"/>
      <c r="BLR83" s="43"/>
      <c r="BLS83" s="43"/>
      <c r="BLT83" s="43"/>
      <c r="BLU83" s="43"/>
      <c r="BLV83" s="43"/>
      <c r="BLW83" s="43"/>
      <c r="BLX83" s="43"/>
      <c r="BLY83" s="43"/>
      <c r="BLZ83" s="43"/>
      <c r="BMA83" s="43"/>
      <c r="BMB83" s="43"/>
      <c r="BMC83" s="43"/>
      <c r="BMD83" s="43"/>
      <c r="BME83" s="43"/>
      <c r="BMF83" s="43"/>
      <c r="BMG83" s="43"/>
      <c r="BMH83" s="43"/>
      <c r="BMI83" s="43"/>
      <c r="BMJ83" s="43"/>
      <c r="BMK83" s="43"/>
      <c r="BML83" s="43"/>
      <c r="BMM83" s="43"/>
      <c r="BMN83" s="43"/>
      <c r="BMO83" s="43"/>
      <c r="BMP83" s="43"/>
      <c r="BMQ83" s="43"/>
      <c r="BMR83" s="43"/>
      <c r="BMS83" s="43"/>
      <c r="BMT83" s="43"/>
      <c r="BMU83" s="43"/>
      <c r="BMV83" s="43"/>
      <c r="BMW83" s="43"/>
      <c r="BMX83" s="43"/>
      <c r="BMY83" s="43"/>
      <c r="BMZ83" s="43"/>
      <c r="BNA83" s="43"/>
      <c r="BNB83" s="43"/>
      <c r="BNC83" s="43"/>
      <c r="BND83" s="43"/>
      <c r="BNE83" s="43"/>
      <c r="BNF83" s="43"/>
      <c r="BNG83" s="43"/>
      <c r="BNH83" s="43"/>
      <c r="BNI83" s="43"/>
      <c r="BNJ83" s="43"/>
      <c r="BNK83" s="43"/>
      <c r="BNL83" s="43"/>
      <c r="BNM83" s="43"/>
      <c r="BNN83" s="43"/>
      <c r="BNO83" s="43"/>
      <c r="BNP83" s="43"/>
      <c r="BNQ83" s="43"/>
      <c r="BNR83" s="43"/>
      <c r="BNS83" s="43"/>
      <c r="BNT83" s="43"/>
      <c r="BNU83" s="43"/>
      <c r="BNV83" s="43"/>
      <c r="BNW83" s="43"/>
      <c r="BNX83" s="43"/>
      <c r="BNY83" s="43"/>
      <c r="BNZ83" s="43"/>
      <c r="BOA83" s="43"/>
      <c r="BOB83" s="43"/>
      <c r="BOC83" s="43"/>
      <c r="BOD83" s="43"/>
      <c r="BOE83" s="43"/>
      <c r="BOF83" s="43"/>
      <c r="BOG83" s="43"/>
      <c r="BOH83" s="43"/>
      <c r="BOI83" s="43"/>
      <c r="BOJ83" s="43"/>
      <c r="BOK83" s="43"/>
      <c r="BOL83" s="43"/>
      <c r="BOM83" s="43"/>
      <c r="BON83" s="43"/>
      <c r="BOO83" s="43"/>
      <c r="BOP83" s="43"/>
      <c r="BOQ83" s="43"/>
      <c r="BOR83" s="43"/>
      <c r="BOS83" s="43"/>
      <c r="BOT83" s="43"/>
      <c r="BOU83" s="43"/>
      <c r="BOV83" s="43"/>
      <c r="BOW83" s="43"/>
      <c r="BOX83" s="43"/>
      <c r="BOY83" s="43"/>
      <c r="BOZ83" s="43"/>
      <c r="BPA83" s="43"/>
      <c r="BPB83" s="43"/>
      <c r="BPC83" s="43"/>
      <c r="BPD83" s="43"/>
      <c r="BPE83" s="43"/>
      <c r="BPF83" s="43"/>
      <c r="BPG83" s="43"/>
      <c r="BPH83" s="43"/>
      <c r="BPI83" s="43"/>
      <c r="BPJ83" s="43"/>
      <c r="BPK83" s="43"/>
      <c r="BPL83" s="43"/>
      <c r="BPM83" s="43"/>
      <c r="BPN83" s="43"/>
      <c r="BPO83" s="43"/>
      <c r="BPP83" s="43"/>
      <c r="BPQ83" s="43"/>
      <c r="BPR83" s="43"/>
      <c r="BPS83" s="43"/>
      <c r="BPT83" s="43"/>
      <c r="BPU83" s="43"/>
      <c r="BPV83" s="43"/>
      <c r="BPW83" s="43"/>
      <c r="BPX83" s="43"/>
      <c r="BPY83" s="43"/>
      <c r="BPZ83" s="43"/>
      <c r="BQA83" s="43"/>
      <c r="BQB83" s="43"/>
      <c r="BQC83" s="43"/>
      <c r="BQD83" s="43"/>
      <c r="BQE83" s="43"/>
      <c r="BQF83" s="43"/>
      <c r="BQG83" s="43"/>
      <c r="BQH83" s="43"/>
      <c r="BQI83" s="43"/>
      <c r="BQJ83" s="43"/>
      <c r="BQK83" s="43"/>
      <c r="BQL83" s="43"/>
      <c r="BQM83" s="43"/>
      <c r="BQN83" s="43"/>
      <c r="BQO83" s="43"/>
      <c r="BQP83" s="43"/>
      <c r="BQQ83" s="43"/>
      <c r="BQR83" s="43"/>
      <c r="BQS83" s="43"/>
      <c r="BQT83" s="43"/>
      <c r="BQU83" s="43"/>
      <c r="BQV83" s="43"/>
      <c r="BQW83" s="43"/>
      <c r="BQX83" s="43"/>
      <c r="BQY83" s="43"/>
      <c r="BQZ83" s="43"/>
      <c r="BRA83" s="43"/>
      <c r="BRB83" s="43"/>
      <c r="BRC83" s="43"/>
      <c r="BRD83" s="43"/>
      <c r="BRE83" s="43"/>
      <c r="BRF83" s="43"/>
      <c r="BRG83" s="43"/>
      <c r="BRH83" s="43"/>
      <c r="BRI83" s="43"/>
      <c r="BRJ83" s="43"/>
      <c r="BRK83" s="43"/>
      <c r="BRL83" s="43"/>
      <c r="BRM83" s="43"/>
      <c r="BRN83" s="43"/>
      <c r="BRO83" s="43"/>
      <c r="BRP83" s="43"/>
      <c r="BRQ83" s="43"/>
      <c r="BRR83" s="43"/>
      <c r="BRS83" s="43"/>
      <c r="BRT83" s="43"/>
      <c r="BRU83" s="43"/>
      <c r="BRV83" s="43"/>
      <c r="BRW83" s="43"/>
      <c r="BRX83" s="43"/>
      <c r="BRY83" s="43"/>
      <c r="BRZ83" s="43"/>
      <c r="BSA83" s="43"/>
      <c r="BSB83" s="43"/>
      <c r="BSC83" s="43"/>
      <c r="BSD83" s="43"/>
      <c r="BSE83" s="43"/>
      <c r="BSF83" s="43"/>
      <c r="BSG83" s="43"/>
      <c r="BSH83" s="43"/>
      <c r="BSI83" s="43"/>
      <c r="BSJ83" s="43"/>
      <c r="BSK83" s="43"/>
      <c r="BSL83" s="43"/>
      <c r="BSM83" s="43"/>
      <c r="BSN83" s="43"/>
      <c r="BSO83" s="43"/>
      <c r="BSP83" s="43"/>
      <c r="BSQ83" s="43"/>
      <c r="BSR83" s="43"/>
      <c r="BSS83" s="43"/>
      <c r="BST83" s="43"/>
      <c r="BSU83" s="43"/>
      <c r="BSV83" s="43"/>
      <c r="BSW83" s="43"/>
      <c r="BSX83" s="43"/>
      <c r="BSY83" s="43"/>
      <c r="BSZ83" s="43"/>
      <c r="BTA83" s="43"/>
      <c r="BTB83" s="43"/>
      <c r="BTC83" s="43"/>
      <c r="BTD83" s="43"/>
      <c r="BTE83" s="43"/>
      <c r="BTF83" s="43"/>
      <c r="BTG83" s="43"/>
      <c r="BTH83" s="43"/>
      <c r="BTI83" s="43"/>
      <c r="BTJ83" s="43"/>
      <c r="BTK83" s="43"/>
      <c r="BTL83" s="43"/>
      <c r="BTM83" s="43"/>
      <c r="BTN83" s="43"/>
      <c r="BTO83" s="43"/>
      <c r="BTP83" s="43"/>
      <c r="BTQ83" s="43"/>
      <c r="BTR83" s="43"/>
      <c r="BTS83" s="43"/>
      <c r="BTT83" s="43"/>
      <c r="BTU83" s="43"/>
      <c r="BTV83" s="43"/>
      <c r="BTW83" s="43"/>
      <c r="BTX83" s="43"/>
      <c r="BTY83" s="43"/>
      <c r="BTZ83" s="43"/>
      <c r="BUA83" s="43"/>
      <c r="BUB83" s="43"/>
      <c r="BUC83" s="43"/>
      <c r="BUD83" s="43"/>
      <c r="BUE83" s="43"/>
      <c r="BUF83" s="43"/>
      <c r="BUG83" s="43"/>
      <c r="BUH83" s="43"/>
      <c r="BUI83" s="43"/>
      <c r="BUJ83" s="43"/>
      <c r="BUK83" s="43"/>
      <c r="BUL83" s="43"/>
      <c r="BUM83" s="43"/>
      <c r="BUN83" s="43"/>
      <c r="BUO83" s="43"/>
      <c r="BUP83" s="43"/>
      <c r="BUQ83" s="43"/>
      <c r="BUR83" s="43"/>
      <c r="BUS83" s="43"/>
      <c r="BUT83" s="43"/>
      <c r="BUU83" s="43"/>
      <c r="BUV83" s="43"/>
      <c r="BUW83" s="43"/>
      <c r="BUX83" s="43"/>
      <c r="BUY83" s="43"/>
      <c r="BUZ83" s="43"/>
      <c r="BVA83" s="43"/>
      <c r="BVB83" s="43"/>
      <c r="BVC83" s="43"/>
      <c r="BVD83" s="43"/>
      <c r="BVE83" s="43"/>
      <c r="BVF83" s="43"/>
      <c r="BVG83" s="43"/>
      <c r="BVH83" s="43"/>
      <c r="BVI83" s="43"/>
      <c r="BVJ83" s="43"/>
      <c r="BVK83" s="43"/>
      <c r="BVL83" s="43"/>
      <c r="BVM83" s="43"/>
      <c r="BVN83" s="43"/>
      <c r="BVO83" s="43"/>
      <c r="BVP83" s="43"/>
      <c r="BVQ83" s="43"/>
      <c r="BVR83" s="43"/>
      <c r="BVS83" s="43"/>
      <c r="BVT83" s="43"/>
      <c r="BVU83" s="43"/>
      <c r="BVV83" s="43"/>
      <c r="BVW83" s="43"/>
      <c r="BVX83" s="43"/>
      <c r="BVY83" s="43"/>
      <c r="BVZ83" s="43"/>
      <c r="BWA83" s="43"/>
      <c r="BWB83" s="43"/>
      <c r="BWC83" s="43"/>
      <c r="BWD83" s="43"/>
      <c r="BWE83" s="43"/>
      <c r="BWF83" s="43"/>
      <c r="BWG83" s="43"/>
      <c r="BWH83" s="43"/>
      <c r="BWI83" s="43"/>
      <c r="BWJ83" s="43"/>
      <c r="BWK83" s="43"/>
      <c r="BWL83" s="43"/>
      <c r="BWM83" s="43"/>
      <c r="BWN83" s="43"/>
      <c r="BWO83" s="43"/>
      <c r="BWP83" s="43"/>
      <c r="BWQ83" s="43"/>
      <c r="BWR83" s="43"/>
      <c r="BWS83" s="43"/>
      <c r="BWT83" s="43"/>
      <c r="BWU83" s="43"/>
      <c r="BWV83" s="43"/>
      <c r="BWW83" s="43"/>
      <c r="BWX83" s="43"/>
      <c r="BWY83" s="43"/>
      <c r="BWZ83" s="43"/>
      <c r="BXA83" s="43"/>
      <c r="BXB83" s="43"/>
      <c r="BXC83" s="43"/>
      <c r="BXD83" s="43"/>
      <c r="BXE83" s="43"/>
      <c r="BXF83" s="43"/>
      <c r="BXG83" s="43"/>
      <c r="BXH83" s="43"/>
      <c r="BXI83" s="43"/>
      <c r="BXJ83" s="43"/>
      <c r="BXK83" s="43"/>
      <c r="BXL83" s="43"/>
      <c r="BXM83" s="43"/>
      <c r="BXN83" s="43"/>
      <c r="BXO83" s="43"/>
      <c r="BXP83" s="43"/>
      <c r="BXQ83" s="43"/>
      <c r="BXR83" s="43"/>
      <c r="BXS83" s="43"/>
      <c r="BXT83" s="43"/>
      <c r="BXU83" s="43"/>
      <c r="BXV83" s="43"/>
      <c r="BXW83" s="43"/>
      <c r="BXX83" s="43"/>
      <c r="BXY83" s="43"/>
      <c r="BXZ83" s="43"/>
      <c r="BYA83" s="43"/>
      <c r="BYB83" s="43"/>
      <c r="BYC83" s="43"/>
      <c r="BYD83" s="43"/>
      <c r="BYE83" s="43"/>
      <c r="BYF83" s="43"/>
      <c r="BYG83" s="43"/>
      <c r="BYH83" s="43"/>
      <c r="BYI83" s="43"/>
      <c r="BYJ83" s="43"/>
      <c r="BYK83" s="43"/>
      <c r="BYL83" s="43"/>
      <c r="BYM83" s="43"/>
      <c r="BYN83" s="43"/>
      <c r="BYO83" s="43"/>
      <c r="BYP83" s="43"/>
      <c r="BYQ83" s="43"/>
      <c r="BYR83" s="43"/>
      <c r="BYS83" s="43"/>
      <c r="BYT83" s="43"/>
      <c r="BYU83" s="43"/>
      <c r="BYV83" s="43"/>
      <c r="BYW83" s="43"/>
      <c r="BYX83" s="43"/>
      <c r="BYY83" s="43"/>
      <c r="BYZ83" s="43"/>
      <c r="BZA83" s="43"/>
      <c r="BZB83" s="43"/>
      <c r="BZC83" s="43"/>
      <c r="BZD83" s="43"/>
      <c r="BZE83" s="43"/>
      <c r="BZF83" s="43"/>
      <c r="BZG83" s="43"/>
      <c r="BZH83" s="43"/>
      <c r="BZI83" s="43"/>
      <c r="BZJ83" s="43"/>
      <c r="BZK83" s="43"/>
      <c r="BZL83" s="43"/>
      <c r="BZM83" s="43"/>
      <c r="BZN83" s="43"/>
      <c r="BZO83" s="43"/>
      <c r="BZP83" s="43"/>
      <c r="BZQ83" s="43"/>
      <c r="BZR83" s="43"/>
      <c r="BZS83" s="43"/>
      <c r="BZT83" s="43"/>
      <c r="BZU83" s="43"/>
      <c r="BZV83" s="43"/>
      <c r="BZW83" s="43"/>
      <c r="BZX83" s="43"/>
      <c r="BZY83" s="43"/>
      <c r="BZZ83" s="43"/>
      <c r="CAA83" s="43"/>
      <c r="CAB83" s="43"/>
      <c r="CAC83" s="43"/>
      <c r="CAD83" s="43"/>
      <c r="CAE83" s="43"/>
      <c r="CAF83" s="43"/>
      <c r="CAG83" s="43"/>
      <c r="CAH83" s="43"/>
      <c r="CAI83" s="43"/>
      <c r="CAJ83" s="43"/>
      <c r="CAK83" s="43"/>
      <c r="CAL83" s="43"/>
      <c r="CAM83" s="43"/>
      <c r="CAN83" s="43"/>
      <c r="CAO83" s="43"/>
      <c r="CAP83" s="43"/>
      <c r="CAQ83" s="43"/>
      <c r="CAR83" s="43"/>
      <c r="CAS83" s="43"/>
      <c r="CAT83" s="43"/>
      <c r="CAU83" s="43"/>
      <c r="CAV83" s="43"/>
      <c r="CAW83" s="43"/>
      <c r="CAX83" s="43"/>
      <c r="CAY83" s="43"/>
      <c r="CAZ83" s="43"/>
      <c r="CBA83" s="43"/>
      <c r="CBB83" s="43"/>
      <c r="CBC83" s="43"/>
      <c r="CBD83" s="43"/>
      <c r="CBE83" s="43"/>
      <c r="CBF83" s="43"/>
      <c r="CBG83" s="43"/>
      <c r="CBH83" s="43"/>
    </row>
    <row r="84" spans="1:2088" x14ac:dyDescent="0.2">
      <c r="A84" s="2" t="s">
        <v>188</v>
      </c>
      <c r="B84" s="31" t="str">
        <f t="shared" ref="B84" si="8">IF(OR(B23="",B22=""),"error: missing input",1/(1+EXP(-(-9.526+(1.6128*IF(B23="male",1,0))+(0.0844*B22)+(2.7112*IF((IF(B120="",0,B120)-1)=2,1,0))+(-0.4675*IF((IF(B120="",0,B120)-1)=0,1,0))+(1.494*((IF(B122="",0,B122)&gt;=0)+(IF(B122="",0,B122)&gt;=2)+(IF(B122="",0,B122)&gt;=4)))+(-0.0187*B22*IF((IF(B120="",0,B120)-1)=2,1,0))+(-0.0131*B22*((IF(B122="",0,B122)&gt;=0)+(IF(B122="",0,B122)&gt;=2)+(IF(B122="",0,B122)&gt;=4)))+(-0.2799*IF((IF(B120="",0,B120)-1)=2,1,0)*((IF(B122="",0,B122)&gt;=0)+(IF(B122="",0,B122)&gt;=2)+(IF(B122="",0,B122)&gt;=4)))+(-0.2091*IF(B23="male",1,0)*((IF(B122="",0,B122)&gt;=0)+(IF(B122="",0,B122)&gt;=2)+(IF(B122="",0,B122)&gt;=4)))))))</f>
        <v>error: missing input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  <c r="JR84" s="43"/>
      <c r="JS84" s="43"/>
      <c r="JT84" s="43"/>
      <c r="JU84" s="43"/>
      <c r="JV84" s="43"/>
      <c r="JW84" s="43"/>
      <c r="JX84" s="43"/>
      <c r="JY84" s="43"/>
      <c r="JZ84" s="43"/>
      <c r="KA84" s="43"/>
      <c r="KB84" s="43"/>
      <c r="KC84" s="43"/>
      <c r="KD84" s="43"/>
      <c r="KE84" s="43"/>
      <c r="KF84" s="43"/>
      <c r="KG84" s="43"/>
      <c r="KH84" s="43"/>
      <c r="KI84" s="43"/>
      <c r="KJ84" s="43"/>
      <c r="KK84" s="43"/>
      <c r="KL84" s="43"/>
      <c r="KM84" s="43"/>
      <c r="KN84" s="43"/>
      <c r="KO84" s="43"/>
      <c r="KP84" s="43"/>
      <c r="KQ84" s="43"/>
      <c r="KR84" s="43"/>
      <c r="KS84" s="43"/>
      <c r="KT84" s="43"/>
      <c r="KU84" s="43"/>
      <c r="KV84" s="43"/>
      <c r="KW84" s="43"/>
      <c r="KX84" s="43"/>
      <c r="KY84" s="43"/>
      <c r="KZ84" s="43"/>
      <c r="LA84" s="43"/>
      <c r="LB84" s="43"/>
      <c r="LC84" s="43"/>
      <c r="LD84" s="43"/>
      <c r="LE84" s="43"/>
      <c r="LF84" s="43"/>
      <c r="LG84" s="43"/>
      <c r="LH84" s="43"/>
      <c r="LI84" s="43"/>
      <c r="LJ84" s="43"/>
      <c r="LK84" s="43"/>
      <c r="LL84" s="43"/>
      <c r="LM84" s="43"/>
      <c r="LN84" s="43"/>
      <c r="LO84" s="43"/>
      <c r="LP84" s="43"/>
      <c r="LQ84" s="43"/>
      <c r="LR84" s="43"/>
      <c r="LS84" s="43"/>
      <c r="LT84" s="43"/>
      <c r="LU84" s="43"/>
      <c r="LV84" s="43"/>
      <c r="LW84" s="43"/>
      <c r="LX84" s="43"/>
      <c r="LY84" s="43"/>
      <c r="LZ84" s="43"/>
      <c r="MA84" s="43"/>
      <c r="MB84" s="43"/>
      <c r="MC84" s="43"/>
      <c r="MD84" s="43"/>
      <c r="ME84" s="43"/>
      <c r="MF84" s="43"/>
      <c r="MG84" s="43"/>
      <c r="MH84" s="43"/>
      <c r="MI84" s="43"/>
      <c r="MJ84" s="43"/>
      <c r="MK84" s="43"/>
      <c r="ML84" s="43"/>
      <c r="MM84" s="43"/>
      <c r="MN84" s="43"/>
      <c r="MO84" s="45"/>
      <c r="MP84" s="45"/>
      <c r="MQ84" s="45"/>
      <c r="MR84" s="45"/>
      <c r="MS84" s="45"/>
      <c r="MT84" s="45"/>
      <c r="MU84" s="45"/>
      <c r="MV84" s="45"/>
      <c r="MW84" s="45"/>
      <c r="MX84" s="45"/>
      <c r="MY84" s="45"/>
      <c r="MZ84" s="45"/>
      <c r="NA84" s="45"/>
      <c r="NB84" s="45"/>
      <c r="NC84" s="45"/>
      <c r="ND84" s="45"/>
      <c r="NE84" s="45"/>
      <c r="NF84" s="45"/>
      <c r="NG84" s="45"/>
      <c r="NH84" s="45"/>
      <c r="NI84" s="45"/>
      <c r="NJ84" s="45"/>
      <c r="NK84" s="45"/>
      <c r="NL84" s="45"/>
      <c r="NM84" s="45"/>
      <c r="NN84" s="45"/>
      <c r="NO84" s="45"/>
      <c r="NP84" s="45"/>
      <c r="NQ84" s="45"/>
      <c r="NR84" s="45"/>
      <c r="NS84" s="45"/>
      <c r="NT84" s="45"/>
      <c r="NU84" s="45"/>
      <c r="NV84" s="45"/>
      <c r="NW84" s="45"/>
      <c r="NX84" s="45"/>
      <c r="NY84" s="45"/>
      <c r="NZ84" s="45"/>
      <c r="OA84" s="45"/>
      <c r="OB84" s="45"/>
      <c r="OC84" s="45"/>
      <c r="OD84" s="45"/>
      <c r="OE84" s="45"/>
      <c r="OF84" s="45"/>
      <c r="OG84" s="45"/>
      <c r="OH84" s="45"/>
      <c r="OI84" s="45"/>
      <c r="OJ84" s="45"/>
      <c r="OK84" s="45"/>
      <c r="OL84" s="45"/>
      <c r="OM84" s="45"/>
      <c r="ON84" s="45"/>
      <c r="OO84" s="45"/>
      <c r="OP84" s="45"/>
      <c r="OQ84" s="45"/>
      <c r="OR84" s="45"/>
      <c r="OS84" s="45"/>
      <c r="OT84" s="45"/>
      <c r="OU84" s="45"/>
      <c r="OV84" s="45"/>
      <c r="OW84" s="45"/>
      <c r="OX84" s="45"/>
      <c r="OY84" s="45"/>
      <c r="OZ84" s="45"/>
      <c r="PA84" s="45"/>
      <c r="PB84" s="45"/>
      <c r="PC84" s="45"/>
      <c r="PD84" s="45"/>
      <c r="PE84" s="45"/>
      <c r="PF84" s="45"/>
      <c r="PG84" s="45"/>
      <c r="PH84" s="45"/>
      <c r="PI84" s="45"/>
      <c r="PJ84" s="45"/>
      <c r="PK84" s="45"/>
      <c r="PL84" s="45"/>
      <c r="PM84" s="45"/>
      <c r="PN84" s="45"/>
      <c r="PO84" s="45"/>
      <c r="PP84" s="45"/>
      <c r="PQ84" s="45"/>
      <c r="PR84" s="45"/>
      <c r="PS84" s="45"/>
      <c r="PT84" s="45"/>
      <c r="PU84" s="45"/>
      <c r="PV84" s="45"/>
      <c r="PW84" s="45"/>
      <c r="PX84" s="45"/>
      <c r="PY84" s="45"/>
      <c r="PZ84" s="45"/>
      <c r="QA84" s="45"/>
      <c r="QB84" s="45"/>
      <c r="QC84" s="45"/>
      <c r="QD84" s="45"/>
      <c r="QE84" s="45"/>
      <c r="QF84" s="45"/>
      <c r="QG84" s="45"/>
      <c r="QH84" s="45"/>
      <c r="QI84" s="45"/>
      <c r="QJ84" s="45"/>
      <c r="QK84" s="45"/>
      <c r="QL84" s="45"/>
      <c r="QM84" s="45"/>
      <c r="QN84" s="45"/>
      <c r="QO84" s="45"/>
      <c r="QP84" s="45"/>
      <c r="QQ84" s="45"/>
      <c r="QR84" s="45"/>
      <c r="QS84" s="45"/>
      <c r="QT84" s="45"/>
      <c r="QU84" s="45"/>
      <c r="QV84" s="45"/>
      <c r="QW84" s="45"/>
      <c r="QX84" s="45"/>
      <c r="QY84" s="45"/>
      <c r="QZ84" s="45"/>
      <c r="RA84" s="45"/>
      <c r="RB84" s="45"/>
      <c r="RC84" s="45"/>
      <c r="RD84" s="45"/>
      <c r="RE84" s="45"/>
      <c r="RF84" s="45"/>
      <c r="RG84" s="45"/>
      <c r="RH84" s="45"/>
      <c r="RI84" s="45"/>
      <c r="RJ84" s="45"/>
      <c r="RK84" s="45"/>
      <c r="RL84" s="45"/>
      <c r="RM84" s="45"/>
      <c r="RN84" s="45"/>
      <c r="RO84" s="45"/>
      <c r="RP84" s="45"/>
      <c r="RQ84" s="45"/>
      <c r="RR84" s="45"/>
      <c r="RS84" s="45"/>
      <c r="RT84" s="45"/>
      <c r="RU84" s="45"/>
      <c r="RV84" s="45"/>
      <c r="RW84" s="45"/>
      <c r="RX84" s="45"/>
      <c r="RY84" s="45"/>
      <c r="RZ84" s="45"/>
      <c r="SA84" s="45"/>
      <c r="SB84" s="45"/>
      <c r="SC84" s="45"/>
      <c r="SD84" s="45"/>
      <c r="SE84" s="45"/>
      <c r="SF84" s="45"/>
      <c r="SG84" s="45"/>
      <c r="SH84" s="45"/>
      <c r="SI84" s="45"/>
      <c r="SJ84" s="45"/>
      <c r="SK84" s="45"/>
      <c r="SL84" s="45"/>
      <c r="SM84" s="45"/>
      <c r="SN84" s="45"/>
      <c r="SO84" s="45"/>
      <c r="SP84" s="45"/>
      <c r="SQ84" s="45"/>
      <c r="SR84" s="45"/>
      <c r="SS84" s="45"/>
      <c r="ST84" s="45"/>
      <c r="SU84" s="45"/>
      <c r="SV84" s="45"/>
      <c r="SW84" s="45"/>
      <c r="SX84" s="45"/>
      <c r="SY84" s="45"/>
      <c r="SZ84" s="45"/>
      <c r="TA84" s="45"/>
      <c r="TB84" s="45"/>
      <c r="TC84" s="45"/>
      <c r="TD84" s="45"/>
      <c r="TE84" s="45"/>
      <c r="TF84" s="45"/>
      <c r="TG84" s="45"/>
      <c r="TH84" s="45"/>
      <c r="TI84" s="45"/>
      <c r="TJ84" s="45"/>
      <c r="TK84" s="45"/>
      <c r="TL84" s="45"/>
      <c r="TM84" s="45"/>
      <c r="TN84" s="45"/>
      <c r="TO84" s="45"/>
      <c r="TP84" s="45"/>
      <c r="TQ84" s="45"/>
      <c r="TR84" s="45"/>
      <c r="TS84" s="45"/>
      <c r="TT84" s="45"/>
      <c r="TU84" s="45"/>
      <c r="TV84" s="45"/>
      <c r="TW84" s="45"/>
      <c r="TX84" s="45"/>
      <c r="TY84" s="45"/>
      <c r="TZ84" s="45"/>
      <c r="UA84" s="45"/>
      <c r="UB84" s="45"/>
      <c r="UC84" s="45"/>
      <c r="UD84" s="45"/>
      <c r="UE84" s="45"/>
      <c r="UF84" s="45"/>
      <c r="UG84" s="45"/>
      <c r="UH84" s="45"/>
      <c r="UI84" s="45"/>
      <c r="UJ84" s="45"/>
      <c r="UK84" s="45"/>
      <c r="UL84" s="45"/>
      <c r="UM84" s="45"/>
      <c r="UN84" s="45"/>
      <c r="UO84" s="45"/>
      <c r="UP84" s="45"/>
      <c r="UQ84" s="45"/>
      <c r="UR84" s="45"/>
      <c r="US84" s="45"/>
      <c r="UT84" s="45"/>
      <c r="UU84" s="45"/>
      <c r="UV84" s="45"/>
      <c r="UW84" s="45"/>
      <c r="UX84" s="45"/>
      <c r="UY84" s="45"/>
      <c r="UZ84" s="45"/>
      <c r="VA84" s="45"/>
      <c r="VB84" s="45"/>
      <c r="VC84" s="45"/>
      <c r="VD84" s="45"/>
      <c r="VE84" s="45"/>
      <c r="VF84" s="45"/>
      <c r="VG84" s="45"/>
      <c r="VH84" s="45"/>
      <c r="VI84" s="45"/>
      <c r="VJ84" s="45"/>
      <c r="VK84" s="45"/>
      <c r="VL84" s="45"/>
      <c r="VM84" s="45"/>
      <c r="VN84" s="45"/>
      <c r="VO84" s="45"/>
      <c r="VP84" s="45"/>
      <c r="VQ84" s="45"/>
      <c r="VR84" s="45"/>
      <c r="VS84" s="45"/>
      <c r="VT84" s="45"/>
      <c r="VU84" s="45"/>
      <c r="VV84" s="45"/>
      <c r="VW84" s="45"/>
      <c r="VX84" s="45"/>
      <c r="VY84" s="45"/>
      <c r="VZ84" s="45"/>
      <c r="WA84" s="45"/>
      <c r="WB84" s="45"/>
      <c r="WC84" s="45"/>
      <c r="WD84" s="45"/>
      <c r="WE84" s="45"/>
      <c r="WF84" s="45"/>
      <c r="WG84" s="45"/>
      <c r="WH84" s="45"/>
      <c r="WI84" s="45"/>
      <c r="WJ84" s="45"/>
      <c r="WK84" s="45"/>
      <c r="WL84" s="45"/>
      <c r="WM84" s="45"/>
      <c r="WN84" s="45"/>
      <c r="WO84" s="45"/>
      <c r="WP84" s="45"/>
      <c r="WQ84" s="45"/>
      <c r="WR84" s="45"/>
      <c r="WS84" s="45"/>
      <c r="WT84" s="45"/>
      <c r="WU84" s="45"/>
      <c r="WV84" s="45"/>
      <c r="WW84" s="45"/>
      <c r="WX84" s="45"/>
      <c r="WY84" s="45"/>
      <c r="WZ84" s="45"/>
      <c r="XA84" s="45"/>
      <c r="XB84" s="45"/>
      <c r="XC84" s="45"/>
      <c r="XD84" s="45"/>
      <c r="XE84" s="45"/>
      <c r="XF84" s="45"/>
      <c r="XG84" s="45"/>
      <c r="XH84" s="45"/>
      <c r="XI84" s="45"/>
      <c r="XJ84" s="45"/>
      <c r="XK84" s="45"/>
      <c r="XL84" s="45"/>
      <c r="XM84" s="45"/>
      <c r="XN84" s="45"/>
      <c r="XO84" s="45"/>
      <c r="XP84" s="45"/>
      <c r="XQ84" s="45"/>
      <c r="XR84" s="45"/>
      <c r="XS84" s="45"/>
      <c r="XT84" s="45"/>
      <c r="XU84" s="45"/>
      <c r="XV84" s="45"/>
      <c r="XW84" s="45"/>
      <c r="XX84" s="45"/>
      <c r="XY84" s="45"/>
      <c r="XZ84" s="45"/>
      <c r="YA84" s="45"/>
      <c r="YB84" s="45"/>
      <c r="YC84" s="45"/>
      <c r="YD84" s="45"/>
      <c r="YE84" s="45"/>
      <c r="YF84" s="45"/>
      <c r="YG84" s="45"/>
      <c r="YH84" s="45"/>
      <c r="YI84" s="45"/>
      <c r="YJ84" s="45"/>
      <c r="YK84" s="45"/>
      <c r="YL84" s="45"/>
      <c r="YM84" s="45"/>
      <c r="YN84" s="45"/>
      <c r="YO84" s="45"/>
      <c r="YP84" s="45"/>
      <c r="YQ84" s="45"/>
      <c r="YR84" s="45"/>
      <c r="YS84" s="45"/>
      <c r="YT84" s="45"/>
      <c r="YU84" s="45"/>
      <c r="YV84" s="45"/>
      <c r="YW84" s="45"/>
      <c r="YX84" s="45"/>
      <c r="YY84" s="45"/>
      <c r="YZ84" s="45"/>
      <c r="ZA84" s="45"/>
      <c r="ZB84" s="45"/>
      <c r="ZC84" s="45"/>
      <c r="ZD84" s="45"/>
      <c r="ZE84" s="45"/>
      <c r="ZF84" s="45"/>
      <c r="ZG84" s="45"/>
      <c r="ZH84" s="45"/>
      <c r="ZI84" s="45"/>
      <c r="ZJ84" s="45"/>
      <c r="ZK84" s="45"/>
      <c r="ZL84" s="45"/>
      <c r="ZM84" s="45"/>
      <c r="ZN84" s="45"/>
      <c r="ZO84" s="45"/>
      <c r="ZP84" s="45"/>
      <c r="ZQ84" s="45"/>
      <c r="ZR84" s="45"/>
      <c r="ZS84" s="45"/>
      <c r="ZT84" s="45"/>
      <c r="ZU84" s="45"/>
      <c r="ZV84" s="45"/>
      <c r="ZW84" s="45"/>
      <c r="ZX84" s="45"/>
      <c r="ZY84" s="45"/>
      <c r="ZZ84" s="45"/>
      <c r="AAA84" s="45"/>
      <c r="AAB84" s="45"/>
      <c r="AAC84" s="45"/>
      <c r="AAD84" s="45"/>
      <c r="AAE84" s="45"/>
      <c r="AAF84" s="45"/>
      <c r="AAG84" s="45"/>
      <c r="AAH84" s="45"/>
      <c r="AAI84" s="45"/>
      <c r="AAJ84" s="45"/>
      <c r="AAK84" s="45"/>
      <c r="AAL84" s="45"/>
      <c r="AAM84" s="45"/>
      <c r="AAN84" s="45"/>
      <c r="AAO84" s="45"/>
      <c r="AAP84" s="45"/>
      <c r="AAQ84" s="45"/>
      <c r="AAR84" s="45"/>
      <c r="AAS84" s="45"/>
      <c r="AAT84" s="45"/>
      <c r="AAU84" s="45"/>
      <c r="AAV84" s="45"/>
      <c r="AAW84" s="45"/>
      <c r="AAX84" s="45"/>
      <c r="AAY84" s="45"/>
      <c r="AAZ84" s="45"/>
      <c r="ABA84" s="45"/>
      <c r="ABB84" s="45"/>
      <c r="ABC84" s="45"/>
      <c r="ABD84" s="45"/>
      <c r="ABE84" s="45"/>
      <c r="ABF84" s="45"/>
      <c r="ABG84" s="45"/>
      <c r="ABH84" s="45"/>
      <c r="ABI84" s="45"/>
      <c r="ABJ84" s="45"/>
      <c r="ABK84" s="45"/>
      <c r="ABL84" s="45"/>
      <c r="ABM84" s="45"/>
      <c r="ABN84" s="45"/>
      <c r="ABO84" s="45"/>
      <c r="ABP84" s="45"/>
      <c r="ABQ84" s="45"/>
      <c r="ABR84" s="45"/>
      <c r="ABS84" s="45"/>
      <c r="ABT84" s="45"/>
      <c r="ABU84" s="45"/>
      <c r="ABV84" s="45"/>
      <c r="ABW84" s="45"/>
      <c r="ABX84" s="45"/>
      <c r="ABY84" s="45"/>
      <c r="ABZ84" s="45"/>
      <c r="ACA84" s="45"/>
      <c r="ACB84" s="45"/>
      <c r="ACC84" s="45"/>
      <c r="ACD84" s="45"/>
      <c r="ACE84" s="45"/>
      <c r="ACF84" s="45"/>
      <c r="ACG84" s="45"/>
      <c r="ACH84" s="45"/>
      <c r="ACI84" s="45"/>
      <c r="ACJ84" s="45"/>
      <c r="ACK84" s="45"/>
      <c r="ACL84" s="45"/>
      <c r="ACM84" s="45"/>
      <c r="ACN84" s="45"/>
      <c r="ACO84" s="45"/>
      <c r="ACP84" s="45"/>
      <c r="ACQ84" s="45"/>
      <c r="ACR84" s="45"/>
      <c r="ACS84" s="45"/>
      <c r="ACT84" s="45"/>
      <c r="ACU84" s="45"/>
      <c r="ACV84" s="45"/>
      <c r="ACW84" s="45"/>
      <c r="ACX84" s="45"/>
      <c r="ACY84" s="45"/>
      <c r="ACZ84" s="45"/>
      <c r="ADA84" s="45"/>
      <c r="ADB84" s="45"/>
      <c r="ADC84" s="45"/>
      <c r="ADD84" s="45"/>
      <c r="ADE84" s="45"/>
      <c r="ADF84" s="45"/>
      <c r="ADG84" s="45"/>
      <c r="ADH84" s="45"/>
      <c r="ADI84" s="45"/>
      <c r="ADJ84" s="45"/>
      <c r="ADK84" s="45"/>
      <c r="ADL84" s="45"/>
      <c r="ADM84" s="45"/>
      <c r="ADN84" s="45"/>
      <c r="ADO84" s="45"/>
      <c r="ADP84" s="45"/>
      <c r="ADQ84" s="45"/>
      <c r="ADR84" s="45"/>
      <c r="ADS84" s="45"/>
      <c r="ADT84" s="45"/>
      <c r="ADU84" s="45"/>
      <c r="ADV84" s="45"/>
      <c r="ADW84" s="45"/>
      <c r="ADX84" s="45"/>
      <c r="ADY84" s="45"/>
      <c r="ADZ84" s="45"/>
      <c r="AEA84" s="45"/>
      <c r="AEB84" s="45"/>
      <c r="AEC84" s="45"/>
      <c r="AED84" s="45"/>
      <c r="AEE84" s="45"/>
      <c r="AEF84" s="45"/>
      <c r="AEG84" s="45"/>
      <c r="AEH84" s="45"/>
      <c r="AEI84" s="45"/>
      <c r="AEJ84" s="45"/>
      <c r="AEK84" s="45"/>
      <c r="AEL84" s="45"/>
      <c r="AEM84" s="45"/>
      <c r="AEN84" s="45"/>
      <c r="AEO84" s="45"/>
      <c r="AEP84" s="45"/>
      <c r="AEQ84" s="45"/>
      <c r="AER84" s="45"/>
      <c r="AES84" s="45"/>
      <c r="AET84" s="45"/>
      <c r="AEU84" s="45"/>
      <c r="AEV84" s="45"/>
      <c r="AEW84" s="45"/>
      <c r="AEX84" s="45"/>
      <c r="AEY84" s="45"/>
      <c r="AEZ84" s="45"/>
      <c r="AFA84" s="45"/>
      <c r="AFB84" s="45"/>
      <c r="AFC84" s="45"/>
      <c r="AFD84" s="45"/>
      <c r="AFE84" s="45"/>
      <c r="AFF84" s="45"/>
      <c r="AFG84" s="45"/>
      <c r="AFH84" s="45"/>
      <c r="AFI84" s="45"/>
      <c r="AFJ84" s="45"/>
      <c r="AFK84" s="45"/>
      <c r="AFL84" s="45"/>
      <c r="AFM84" s="45"/>
      <c r="AFN84" s="45"/>
      <c r="AFO84" s="45"/>
      <c r="AFP84" s="45"/>
      <c r="AFQ84" s="45"/>
      <c r="AFR84" s="45"/>
      <c r="AFS84" s="45"/>
      <c r="AFT84" s="45"/>
      <c r="AFU84" s="45"/>
      <c r="AFV84" s="45"/>
      <c r="AFW84" s="45"/>
      <c r="AFX84" s="45"/>
      <c r="AFY84" s="45"/>
      <c r="AFZ84" s="45"/>
      <c r="AGA84" s="45"/>
      <c r="AGB84" s="45"/>
      <c r="AGC84" s="45"/>
      <c r="AGD84" s="45"/>
      <c r="AGE84" s="45"/>
      <c r="AGF84" s="45"/>
      <c r="AGG84" s="45"/>
      <c r="AGH84" s="45"/>
      <c r="AGI84" s="45"/>
      <c r="AGJ84" s="45"/>
      <c r="AGK84" s="45"/>
      <c r="AGL84" s="45"/>
      <c r="AGM84" s="45"/>
      <c r="AGN84" s="45"/>
      <c r="AGO84" s="45"/>
      <c r="AGP84" s="45"/>
      <c r="AGQ84" s="45"/>
      <c r="AGR84" s="45"/>
      <c r="AGS84" s="45"/>
      <c r="AGT84" s="45"/>
      <c r="AGU84" s="45"/>
      <c r="AGV84" s="45"/>
      <c r="AGW84" s="45"/>
      <c r="AGX84" s="45"/>
      <c r="AGY84" s="45"/>
      <c r="AGZ84" s="45"/>
      <c r="AHA84" s="45"/>
      <c r="AHB84" s="45"/>
      <c r="AHC84" s="45"/>
      <c r="AHD84" s="45"/>
      <c r="AHE84" s="45"/>
      <c r="AHF84" s="45"/>
      <c r="AHG84" s="45"/>
      <c r="AHH84" s="45"/>
      <c r="AHI84" s="45"/>
      <c r="AHJ84" s="45"/>
      <c r="AHK84" s="45"/>
      <c r="AHL84" s="45"/>
      <c r="AHM84" s="45"/>
      <c r="AHN84" s="45"/>
      <c r="AHO84" s="45"/>
      <c r="AHP84" s="45"/>
      <c r="AHQ84" s="45"/>
      <c r="AHR84" s="45"/>
      <c r="AHS84" s="45"/>
      <c r="AHT84" s="45"/>
      <c r="AHU84" s="45"/>
      <c r="AHV84" s="45"/>
      <c r="AHW84" s="45"/>
      <c r="AHX84" s="45"/>
      <c r="AHY84" s="45"/>
      <c r="AHZ84" s="45"/>
      <c r="AIA84" s="45"/>
      <c r="AIB84" s="45"/>
      <c r="AIC84" s="45"/>
      <c r="AID84" s="45"/>
      <c r="AIE84" s="45"/>
      <c r="AIF84" s="45"/>
      <c r="AIG84" s="45"/>
      <c r="AIH84" s="45"/>
      <c r="AII84" s="45"/>
      <c r="AIJ84" s="45"/>
      <c r="AIK84" s="45"/>
      <c r="AIL84" s="45"/>
      <c r="AIM84" s="45"/>
      <c r="AIN84" s="45"/>
      <c r="AIO84" s="45"/>
      <c r="AIP84" s="45"/>
      <c r="AIQ84" s="45"/>
      <c r="AIR84" s="45"/>
      <c r="AIS84" s="45"/>
      <c r="AIT84" s="45"/>
      <c r="AIU84" s="45"/>
      <c r="AIV84" s="45"/>
      <c r="AIW84" s="45"/>
      <c r="AIX84" s="45"/>
      <c r="AIY84" s="45"/>
      <c r="AIZ84" s="45"/>
      <c r="AJA84" s="45"/>
      <c r="AJB84" s="45"/>
      <c r="AJC84" s="45"/>
      <c r="AJD84" s="45"/>
      <c r="AJE84" s="45"/>
      <c r="AJF84" s="45"/>
      <c r="AJG84" s="45"/>
      <c r="AJH84" s="45"/>
      <c r="AJI84" s="45"/>
      <c r="AJJ84" s="45"/>
      <c r="AJK84" s="45"/>
      <c r="AJL84" s="45"/>
      <c r="AJM84" s="45"/>
      <c r="AJN84" s="45"/>
      <c r="AJO84" s="45"/>
      <c r="AJP84" s="45"/>
      <c r="AJQ84" s="45"/>
      <c r="AJR84" s="45"/>
      <c r="AJS84" s="45"/>
      <c r="AJT84" s="45"/>
      <c r="AJU84" s="45"/>
      <c r="AJV84" s="45"/>
      <c r="AJW84" s="45"/>
      <c r="AJX84" s="45"/>
      <c r="AJY84" s="45"/>
      <c r="AJZ84" s="45"/>
      <c r="AKA84" s="45"/>
      <c r="AKB84" s="45"/>
      <c r="AKC84" s="45"/>
      <c r="AKD84" s="45"/>
      <c r="AKE84" s="45"/>
      <c r="AKF84" s="45"/>
      <c r="AKG84" s="45"/>
      <c r="AKH84" s="45"/>
      <c r="AKI84" s="45"/>
      <c r="AKJ84" s="45"/>
      <c r="AKK84" s="45"/>
      <c r="AKL84" s="45"/>
      <c r="AKM84" s="45"/>
      <c r="AKN84" s="45"/>
      <c r="AKO84" s="45"/>
      <c r="AKP84" s="45"/>
      <c r="AKQ84" s="45"/>
      <c r="AKR84" s="45"/>
      <c r="AKS84" s="45"/>
      <c r="AKT84" s="45"/>
      <c r="AKU84" s="45"/>
      <c r="AKV84" s="45"/>
      <c r="AKW84" s="45"/>
      <c r="AKX84" s="45"/>
      <c r="AKY84" s="45"/>
      <c r="AKZ84" s="45"/>
      <c r="ALA84" s="45"/>
      <c r="ALB84" s="45"/>
      <c r="ALC84" s="45"/>
      <c r="ALD84" s="45"/>
      <c r="ALE84" s="45"/>
      <c r="ALF84" s="45"/>
      <c r="ALG84" s="45"/>
      <c r="ALH84" s="45"/>
      <c r="ALI84" s="45"/>
      <c r="ALJ84" s="45"/>
      <c r="ALK84" s="45"/>
      <c r="ALL84" s="45"/>
      <c r="ALM84" s="45"/>
      <c r="ALN84" s="45"/>
      <c r="ALO84" s="45"/>
      <c r="ALP84" s="45"/>
      <c r="ALQ84" s="45"/>
      <c r="ALR84" s="45"/>
      <c r="ALS84" s="45"/>
      <c r="ALT84" s="45"/>
      <c r="ALU84" s="45"/>
      <c r="ALV84" s="45"/>
      <c r="ALW84" s="45"/>
      <c r="ALX84" s="45"/>
      <c r="ALY84" s="45"/>
      <c r="ALZ84" s="45"/>
      <c r="AMA84" s="45"/>
      <c r="AMB84" s="45"/>
      <c r="AMC84" s="45"/>
      <c r="AMD84" s="45"/>
      <c r="AME84" s="45"/>
      <c r="AMF84" s="45"/>
      <c r="AMG84" s="45"/>
      <c r="AMH84" s="45"/>
      <c r="AMI84" s="45"/>
      <c r="AMJ84" s="45"/>
      <c r="AMK84" s="45"/>
      <c r="AML84" s="45"/>
      <c r="AMM84" s="45"/>
      <c r="AMN84" s="45"/>
      <c r="AMO84" s="45"/>
      <c r="AMP84" s="45"/>
      <c r="AMQ84" s="45"/>
      <c r="AMR84" s="45"/>
      <c r="AMS84" s="45"/>
      <c r="AMT84" s="45"/>
      <c r="AMU84" s="45"/>
      <c r="AMV84" s="45"/>
      <c r="AMW84" s="45"/>
      <c r="AMX84" s="45"/>
      <c r="AMY84" s="45"/>
      <c r="AMZ84" s="45"/>
      <c r="ANA84" s="45"/>
      <c r="ANB84" s="45"/>
      <c r="ANC84" s="45"/>
      <c r="AND84" s="45"/>
      <c r="ANE84" s="45"/>
      <c r="ANF84" s="45"/>
      <c r="ANG84" s="45"/>
      <c r="ANH84" s="45"/>
      <c r="ANI84" s="45"/>
      <c r="ANJ84" s="45"/>
      <c r="ANK84" s="45"/>
      <c r="ANL84" s="45"/>
      <c r="ANM84" s="45"/>
      <c r="ANN84" s="45"/>
      <c r="ANO84" s="45"/>
      <c r="ANP84" s="45"/>
      <c r="ANQ84" s="45"/>
      <c r="ANR84" s="45"/>
      <c r="ANS84" s="45"/>
      <c r="ANT84" s="45"/>
      <c r="ANU84" s="45"/>
      <c r="ANV84" s="45"/>
      <c r="ANW84" s="45"/>
      <c r="ANX84" s="45"/>
      <c r="ANY84" s="45"/>
      <c r="ANZ84" s="45"/>
      <c r="AOA84" s="45"/>
      <c r="AOB84" s="45"/>
      <c r="AOC84" s="45"/>
      <c r="AOD84" s="45"/>
      <c r="AOE84" s="45"/>
      <c r="AOF84" s="45"/>
      <c r="AOG84" s="45"/>
      <c r="AOH84" s="45"/>
      <c r="AOI84" s="45"/>
      <c r="AOJ84" s="45"/>
      <c r="AOK84" s="45"/>
      <c r="AOL84" s="45"/>
      <c r="AOM84" s="45"/>
      <c r="AON84" s="45"/>
      <c r="AOO84" s="45"/>
      <c r="AOP84" s="45"/>
      <c r="AOQ84" s="45"/>
      <c r="AOR84" s="45"/>
      <c r="AOS84" s="45"/>
      <c r="AOT84" s="45"/>
      <c r="AOU84" s="45"/>
      <c r="AOV84" s="45"/>
      <c r="AOW84" s="45"/>
      <c r="AOX84" s="45"/>
      <c r="AOY84" s="45"/>
      <c r="AOZ84" s="45"/>
      <c r="APA84" s="45"/>
      <c r="APB84" s="45"/>
      <c r="APC84" s="45"/>
      <c r="APD84" s="45"/>
      <c r="APE84" s="45"/>
      <c r="APF84" s="45"/>
      <c r="APG84" s="45"/>
      <c r="APH84" s="45"/>
      <c r="API84" s="45"/>
      <c r="APJ84" s="45"/>
      <c r="APK84" s="45"/>
      <c r="APL84" s="45"/>
      <c r="APM84" s="45"/>
      <c r="APN84" s="45"/>
      <c r="APO84" s="45"/>
      <c r="APP84" s="45"/>
      <c r="APQ84" s="45"/>
      <c r="APR84" s="45"/>
      <c r="APS84" s="45"/>
      <c r="APT84" s="45"/>
      <c r="APU84" s="45"/>
      <c r="APV84" s="45"/>
      <c r="APW84" s="45"/>
      <c r="APX84" s="45"/>
      <c r="APY84" s="45"/>
      <c r="APZ84" s="45"/>
      <c r="AQA84" s="45"/>
      <c r="AQB84" s="45"/>
      <c r="AQC84" s="45"/>
      <c r="AQD84" s="45"/>
      <c r="AQE84" s="45"/>
      <c r="AQF84" s="45"/>
      <c r="AQG84" s="45"/>
      <c r="AQH84" s="45"/>
      <c r="AQI84" s="45"/>
      <c r="AQJ84" s="45"/>
      <c r="AQK84" s="45"/>
      <c r="AQL84" s="45"/>
      <c r="AQM84" s="45"/>
      <c r="AQN84" s="45"/>
      <c r="AQO84" s="45"/>
      <c r="AQP84" s="45"/>
      <c r="AQQ84" s="45"/>
      <c r="AQR84" s="45"/>
      <c r="AQS84" s="45"/>
      <c r="AQT84" s="45"/>
      <c r="AQU84" s="45"/>
      <c r="AQV84" s="45"/>
      <c r="AQW84" s="45"/>
      <c r="AQX84" s="45"/>
      <c r="AQY84" s="45"/>
      <c r="AQZ84" s="45"/>
      <c r="ARA84" s="45"/>
      <c r="ARB84" s="45"/>
      <c r="ARC84" s="45"/>
      <c r="ARD84" s="45"/>
      <c r="ARE84" s="45"/>
      <c r="ARF84" s="45"/>
      <c r="ARG84" s="45"/>
      <c r="ARH84" s="45"/>
      <c r="ARI84" s="45"/>
      <c r="ARJ84" s="45"/>
      <c r="ARK84" s="45"/>
      <c r="ARL84" s="45"/>
      <c r="ARM84" s="45"/>
      <c r="ARN84" s="45"/>
      <c r="ARO84" s="45"/>
      <c r="ARP84" s="45"/>
      <c r="ARQ84" s="45"/>
      <c r="ARR84" s="45"/>
      <c r="ARS84" s="45"/>
      <c r="ART84" s="45"/>
      <c r="ARU84" s="45"/>
      <c r="ARV84" s="45"/>
      <c r="ARW84" s="45"/>
      <c r="ARX84" s="45"/>
      <c r="ARY84" s="45"/>
      <c r="ARZ84" s="45"/>
      <c r="ASA84" s="45"/>
      <c r="ASB84" s="45"/>
      <c r="ASC84" s="45"/>
      <c r="ASD84" s="45"/>
      <c r="ASE84" s="45"/>
      <c r="ASF84" s="45"/>
      <c r="ASG84" s="45"/>
      <c r="ASH84" s="45"/>
      <c r="ASI84" s="45"/>
      <c r="ASJ84" s="45"/>
      <c r="ASK84" s="45"/>
      <c r="ASL84" s="45"/>
      <c r="ASM84" s="45"/>
      <c r="ASN84" s="45"/>
      <c r="ASO84" s="45"/>
      <c r="ASP84" s="45"/>
      <c r="ASQ84" s="45"/>
      <c r="ASR84" s="45"/>
      <c r="ASS84" s="45"/>
      <c r="AST84" s="45"/>
      <c r="ASU84" s="45"/>
      <c r="ASV84" s="45"/>
      <c r="ASW84" s="45"/>
      <c r="ASX84" s="45"/>
      <c r="ASY84" s="45"/>
      <c r="ASZ84" s="45"/>
      <c r="ATA84" s="45"/>
      <c r="ATB84" s="45"/>
      <c r="ATC84" s="45"/>
      <c r="ATD84" s="45"/>
      <c r="ATE84" s="45"/>
      <c r="ATF84" s="45"/>
      <c r="ATG84" s="45"/>
      <c r="ATH84" s="45"/>
      <c r="ATI84" s="45"/>
      <c r="ATJ84" s="45"/>
      <c r="ATK84" s="45"/>
      <c r="ATL84" s="45"/>
      <c r="ATM84" s="45"/>
      <c r="ATN84" s="45"/>
      <c r="ATO84" s="45"/>
      <c r="ATP84" s="45"/>
      <c r="ATQ84" s="45"/>
      <c r="ATR84" s="45"/>
      <c r="ATS84" s="45"/>
      <c r="ATT84" s="45"/>
      <c r="ATU84" s="45"/>
      <c r="ATV84" s="45"/>
      <c r="ATW84" s="45"/>
      <c r="ATX84" s="45"/>
      <c r="ATY84" s="45"/>
      <c r="ATZ84" s="45"/>
      <c r="AUA84" s="45"/>
      <c r="AUB84" s="45"/>
      <c r="AUC84" s="45"/>
      <c r="AUD84" s="45"/>
      <c r="AUE84" s="45"/>
      <c r="AUF84" s="45"/>
      <c r="AUG84" s="45"/>
      <c r="AUH84" s="45"/>
      <c r="AUI84" s="45"/>
      <c r="AUJ84" s="45"/>
      <c r="AUK84" s="45"/>
      <c r="AUL84" s="45"/>
      <c r="AUM84" s="45"/>
      <c r="AUN84" s="45"/>
      <c r="AUO84" s="45"/>
      <c r="AUP84" s="45"/>
      <c r="AUQ84" s="45"/>
      <c r="AUR84" s="45"/>
      <c r="AUS84" s="45"/>
      <c r="AUT84" s="45"/>
      <c r="AUU84" s="45"/>
      <c r="AUV84" s="45"/>
      <c r="AUW84" s="45"/>
      <c r="AUX84" s="45"/>
      <c r="AUY84" s="45"/>
      <c r="AUZ84" s="45"/>
      <c r="AVA84" s="45"/>
      <c r="AVB84" s="45"/>
      <c r="AVC84" s="45"/>
      <c r="AVD84" s="45"/>
      <c r="AVE84" s="45"/>
      <c r="AVF84" s="45"/>
      <c r="AVG84" s="45"/>
      <c r="AVH84" s="45"/>
      <c r="AVI84" s="45"/>
      <c r="AVJ84" s="45"/>
      <c r="AVK84" s="45"/>
      <c r="AVL84" s="45"/>
      <c r="AVM84" s="45"/>
      <c r="AVN84" s="45"/>
      <c r="AVO84" s="45"/>
      <c r="AVP84" s="45"/>
      <c r="AVQ84" s="45"/>
      <c r="AVR84" s="45"/>
      <c r="AVS84" s="45"/>
      <c r="AVT84" s="45"/>
      <c r="AVU84" s="45"/>
      <c r="AVV84" s="45"/>
      <c r="AVW84" s="45"/>
      <c r="AVX84" s="45"/>
      <c r="AVY84" s="45"/>
      <c r="AVZ84" s="45"/>
      <c r="AWA84" s="45"/>
      <c r="AWB84" s="45"/>
      <c r="AWC84" s="45"/>
      <c r="AWD84" s="45"/>
      <c r="AWE84" s="45"/>
      <c r="AWF84" s="45"/>
      <c r="AWG84" s="45"/>
      <c r="AWH84" s="45"/>
      <c r="AWI84" s="45"/>
      <c r="AWJ84" s="45"/>
      <c r="AWK84" s="45"/>
      <c r="AWL84" s="45"/>
      <c r="AWM84" s="45"/>
      <c r="AWN84" s="45"/>
      <c r="AWO84" s="45"/>
      <c r="AWP84" s="45"/>
      <c r="AWQ84" s="45"/>
      <c r="AWR84" s="45"/>
      <c r="AWS84" s="45"/>
      <c r="AWT84" s="45"/>
      <c r="AWU84" s="45"/>
      <c r="AWV84" s="45"/>
      <c r="AWW84" s="45"/>
      <c r="AWX84" s="45"/>
      <c r="AWY84" s="45"/>
      <c r="AWZ84" s="45"/>
      <c r="AXA84" s="45"/>
      <c r="AXB84" s="45"/>
      <c r="AXC84" s="45"/>
      <c r="AXD84" s="45"/>
      <c r="AXE84" s="45"/>
      <c r="AXF84" s="45"/>
      <c r="AXG84" s="45"/>
      <c r="AXH84" s="45"/>
      <c r="AXI84" s="45"/>
      <c r="AXJ84" s="45"/>
      <c r="AXK84" s="45"/>
      <c r="AXL84" s="45"/>
      <c r="AXM84" s="45"/>
      <c r="AXN84" s="45"/>
      <c r="AXO84" s="45"/>
      <c r="AXP84" s="45"/>
      <c r="AXQ84" s="45"/>
      <c r="AXR84" s="45"/>
      <c r="AXS84" s="45"/>
      <c r="AXT84" s="45"/>
      <c r="AXU84" s="45"/>
      <c r="AXV84" s="45"/>
      <c r="AXW84" s="45"/>
      <c r="AXX84" s="45"/>
      <c r="AXY84" s="45"/>
      <c r="AXZ84" s="45"/>
      <c r="AYA84" s="45"/>
      <c r="AYB84" s="45"/>
      <c r="AYC84" s="45"/>
      <c r="AYD84" s="45"/>
      <c r="AYE84" s="45"/>
      <c r="AYF84" s="45"/>
      <c r="AYG84" s="45"/>
      <c r="AYH84" s="45"/>
      <c r="AYI84" s="45"/>
      <c r="AYJ84" s="45"/>
      <c r="AYK84" s="45"/>
      <c r="AYL84" s="45"/>
      <c r="AYM84" s="45"/>
      <c r="AYN84" s="45"/>
      <c r="AYO84" s="45"/>
      <c r="AYP84" s="45"/>
      <c r="AYQ84" s="45"/>
      <c r="AYR84" s="45"/>
      <c r="AYS84" s="45"/>
      <c r="AYT84" s="45"/>
      <c r="AYU84" s="45"/>
      <c r="AYV84" s="45"/>
      <c r="AYW84" s="45"/>
      <c r="AYX84" s="45"/>
      <c r="AYY84" s="45"/>
      <c r="AYZ84" s="45"/>
      <c r="AZA84" s="45"/>
      <c r="AZB84" s="45"/>
      <c r="AZC84" s="45"/>
      <c r="AZD84" s="45"/>
      <c r="AZE84" s="45"/>
      <c r="AZF84" s="45"/>
      <c r="AZG84" s="45"/>
      <c r="AZH84" s="45"/>
      <c r="AZI84" s="45"/>
      <c r="AZJ84" s="45"/>
      <c r="AZK84" s="45"/>
      <c r="AZL84" s="45"/>
      <c r="AZM84" s="45"/>
      <c r="AZN84" s="45"/>
      <c r="AZO84" s="45"/>
      <c r="AZP84" s="45"/>
      <c r="AZQ84" s="45"/>
      <c r="AZR84" s="45"/>
      <c r="AZS84" s="45"/>
      <c r="AZT84" s="45"/>
      <c r="AZU84" s="45"/>
      <c r="AZV84" s="45"/>
      <c r="AZW84" s="45"/>
      <c r="AZX84" s="45"/>
      <c r="AZY84" s="45"/>
      <c r="AZZ84" s="45"/>
      <c r="BAA84" s="45"/>
      <c r="BAB84" s="45"/>
      <c r="BAC84" s="45"/>
      <c r="BAD84" s="45"/>
      <c r="BAE84" s="45"/>
      <c r="BAF84" s="45"/>
      <c r="BAG84" s="45"/>
      <c r="BAH84" s="45"/>
      <c r="BAI84" s="45"/>
      <c r="BAJ84" s="45"/>
      <c r="BAK84" s="45"/>
      <c r="BAL84" s="45"/>
      <c r="BAM84" s="45"/>
      <c r="BAN84" s="45"/>
      <c r="BAO84" s="45"/>
      <c r="BAP84" s="45"/>
      <c r="BAQ84" s="45"/>
      <c r="BAR84" s="45"/>
      <c r="BAS84" s="45"/>
      <c r="BAT84" s="45"/>
      <c r="BAU84" s="45"/>
      <c r="BAV84" s="45"/>
      <c r="BAW84" s="45"/>
      <c r="BAX84" s="45"/>
      <c r="BAY84" s="45"/>
      <c r="BAZ84" s="45"/>
      <c r="BBA84" s="45"/>
      <c r="BBB84" s="45"/>
      <c r="BBC84" s="45"/>
      <c r="BBD84" s="45"/>
      <c r="BBE84" s="45"/>
      <c r="BBF84" s="45"/>
      <c r="BBG84" s="45"/>
      <c r="BBH84" s="45"/>
      <c r="BBI84" s="45"/>
      <c r="BBJ84" s="45"/>
      <c r="BBK84" s="45"/>
      <c r="BBL84" s="45"/>
      <c r="BBM84" s="45"/>
      <c r="BBN84" s="45"/>
      <c r="BBO84" s="45"/>
      <c r="BBP84" s="45"/>
      <c r="BBQ84" s="45"/>
      <c r="BBR84" s="45"/>
      <c r="BBS84" s="45"/>
      <c r="BBT84" s="45"/>
      <c r="BBU84" s="45"/>
      <c r="BBV84" s="45"/>
      <c r="BBW84" s="45"/>
      <c r="BBX84" s="45"/>
      <c r="BBY84" s="45"/>
      <c r="BBZ84" s="45"/>
      <c r="BCA84" s="45"/>
      <c r="BCB84" s="45"/>
      <c r="BCC84" s="45"/>
      <c r="BCD84" s="45"/>
      <c r="BCE84" s="45"/>
      <c r="BCF84" s="45"/>
      <c r="BCG84" s="45"/>
      <c r="BCH84" s="45"/>
      <c r="BCI84" s="45"/>
      <c r="BCJ84" s="45"/>
      <c r="BCK84" s="45"/>
      <c r="BCL84" s="45"/>
      <c r="BCM84" s="45"/>
      <c r="BCN84" s="45"/>
      <c r="BCO84" s="45"/>
      <c r="BCP84" s="45"/>
      <c r="BCQ84" s="45"/>
      <c r="BCR84" s="45"/>
      <c r="BCS84" s="45"/>
      <c r="BCT84" s="45"/>
      <c r="BCU84" s="45"/>
      <c r="BCV84" s="45"/>
      <c r="BCW84" s="45"/>
      <c r="BCX84" s="45"/>
      <c r="BCY84" s="45"/>
      <c r="BCZ84" s="45"/>
      <c r="BDA84" s="45"/>
      <c r="BDB84" s="45"/>
      <c r="BDC84" s="45"/>
      <c r="BDD84" s="45"/>
      <c r="BDE84" s="45"/>
      <c r="BDF84" s="45"/>
      <c r="BDG84" s="45"/>
      <c r="BDH84" s="45"/>
      <c r="BDI84" s="45"/>
      <c r="BDJ84" s="45"/>
      <c r="BDK84" s="45"/>
      <c r="BDL84" s="45"/>
      <c r="BDM84" s="45"/>
      <c r="BDN84" s="45"/>
      <c r="BDO84" s="45"/>
      <c r="BDP84" s="45"/>
      <c r="BDQ84" s="45"/>
      <c r="BDR84" s="45"/>
      <c r="BDS84" s="45"/>
      <c r="BDT84" s="45"/>
      <c r="BDU84" s="45"/>
      <c r="BDV84" s="45"/>
      <c r="BDW84" s="45"/>
      <c r="BDX84" s="45"/>
      <c r="BDY84" s="45"/>
      <c r="BDZ84" s="45"/>
      <c r="BEA84" s="45"/>
      <c r="BEB84" s="45"/>
      <c r="BEC84" s="45"/>
      <c r="BED84" s="45"/>
      <c r="BEE84" s="45"/>
      <c r="BEF84" s="45"/>
      <c r="BEG84" s="45"/>
      <c r="BEH84" s="45"/>
      <c r="BEI84" s="45"/>
      <c r="BEJ84" s="45"/>
      <c r="BEK84" s="45"/>
      <c r="BEL84" s="45"/>
      <c r="BEM84" s="45"/>
      <c r="BEN84" s="45"/>
      <c r="BEO84" s="45"/>
      <c r="BEP84" s="45"/>
      <c r="BEQ84" s="45"/>
      <c r="BER84" s="45"/>
      <c r="BES84" s="45"/>
      <c r="BET84" s="45"/>
      <c r="BEU84" s="45"/>
      <c r="BEV84" s="45"/>
      <c r="BEW84" s="45"/>
      <c r="BEX84" s="45"/>
      <c r="BEY84" s="45"/>
      <c r="BEZ84" s="45"/>
      <c r="BFA84" s="45"/>
      <c r="BFB84" s="45"/>
      <c r="BFC84" s="45"/>
      <c r="BFD84" s="45"/>
      <c r="BFE84" s="45"/>
      <c r="BFF84" s="45"/>
      <c r="BFG84" s="45"/>
      <c r="BFH84" s="45"/>
      <c r="BFI84" s="45"/>
      <c r="BFJ84" s="45"/>
      <c r="BFK84" s="45"/>
      <c r="BFL84" s="45"/>
      <c r="BFM84" s="45"/>
      <c r="BFN84" s="45"/>
      <c r="BFO84" s="45"/>
      <c r="BFP84" s="45"/>
      <c r="BFQ84" s="45"/>
      <c r="BFR84" s="45"/>
      <c r="BFS84" s="45"/>
      <c r="BFT84" s="45"/>
      <c r="BFU84" s="45"/>
      <c r="BFV84" s="45"/>
      <c r="BFW84" s="45"/>
      <c r="BFX84" s="45"/>
      <c r="BFY84" s="45"/>
      <c r="BFZ84" s="45"/>
      <c r="BGA84" s="45"/>
      <c r="BGB84" s="45"/>
      <c r="BGC84" s="45"/>
      <c r="BGD84" s="45"/>
      <c r="BGE84" s="45"/>
      <c r="BGF84" s="45"/>
      <c r="BGG84" s="45"/>
      <c r="BGH84" s="45"/>
      <c r="BGI84" s="45"/>
      <c r="BGJ84" s="45"/>
      <c r="BGK84" s="45"/>
      <c r="BGL84" s="45"/>
      <c r="BGM84" s="45"/>
      <c r="BGN84" s="45"/>
      <c r="BGO84" s="45"/>
      <c r="BGP84" s="45"/>
      <c r="BGQ84" s="45"/>
      <c r="BGR84" s="45"/>
      <c r="BGS84" s="45"/>
      <c r="BGT84" s="45"/>
      <c r="BGU84" s="45"/>
      <c r="BGV84" s="45"/>
      <c r="BGW84" s="45"/>
      <c r="BGX84" s="45"/>
      <c r="BGY84" s="45"/>
      <c r="BGZ84" s="45"/>
      <c r="BHA84" s="45"/>
      <c r="BHB84" s="45"/>
      <c r="BHC84" s="45"/>
      <c r="BHD84" s="45"/>
      <c r="BHE84" s="45"/>
      <c r="BHF84" s="45"/>
      <c r="BHG84" s="45"/>
      <c r="BHH84" s="45"/>
      <c r="BHI84" s="45"/>
      <c r="BHJ84" s="45"/>
      <c r="BHK84" s="45"/>
      <c r="BHL84" s="45"/>
      <c r="BHM84" s="45"/>
      <c r="BHN84" s="45"/>
      <c r="BHO84" s="45"/>
      <c r="BHP84" s="45"/>
      <c r="BHQ84" s="45"/>
      <c r="BHR84" s="45"/>
      <c r="BHS84" s="45"/>
      <c r="BHT84" s="45"/>
      <c r="BHU84" s="45"/>
      <c r="BHV84" s="45"/>
      <c r="BHW84" s="45"/>
      <c r="BHX84" s="45"/>
      <c r="BHY84" s="45"/>
      <c r="BHZ84" s="45"/>
      <c r="BIA84" s="45"/>
      <c r="BIB84" s="45"/>
      <c r="BIC84" s="45"/>
      <c r="BID84" s="45"/>
      <c r="BIE84" s="45"/>
      <c r="BIF84" s="45"/>
      <c r="BIG84" s="45"/>
      <c r="BIH84" s="45"/>
      <c r="BII84" s="45"/>
      <c r="BIJ84" s="45"/>
      <c r="BIK84" s="45"/>
      <c r="BIL84" s="45"/>
      <c r="BIM84" s="45"/>
      <c r="BIN84" s="45"/>
      <c r="BIO84" s="45"/>
      <c r="BIP84" s="45"/>
      <c r="BIQ84" s="45"/>
      <c r="BIR84" s="45"/>
      <c r="BIS84" s="45"/>
      <c r="BIT84" s="45"/>
      <c r="BIU84" s="45"/>
      <c r="BIV84" s="45"/>
      <c r="BIW84" s="45"/>
      <c r="BIX84" s="45"/>
      <c r="BIY84" s="45"/>
      <c r="BIZ84" s="45"/>
      <c r="BJA84" s="45"/>
      <c r="BJB84" s="45"/>
      <c r="BJC84" s="45"/>
      <c r="BJD84" s="45"/>
      <c r="BJE84" s="45"/>
      <c r="BJF84" s="45"/>
      <c r="BJG84" s="45"/>
      <c r="BJH84" s="45"/>
      <c r="BJI84" s="45"/>
      <c r="BJJ84" s="45"/>
      <c r="BJK84" s="45"/>
      <c r="BJL84" s="45"/>
      <c r="BJM84" s="45"/>
      <c r="BJN84" s="45"/>
      <c r="BJO84" s="45"/>
      <c r="BJP84" s="45"/>
      <c r="BJQ84" s="45"/>
      <c r="BJR84" s="45"/>
      <c r="BJS84" s="45"/>
      <c r="BJT84" s="45"/>
      <c r="BJU84" s="45"/>
      <c r="BJV84" s="45"/>
      <c r="BJW84" s="45"/>
      <c r="BJX84" s="45"/>
      <c r="BJY84" s="45"/>
      <c r="BJZ84" s="45"/>
      <c r="BKA84" s="45"/>
      <c r="BKB84" s="45"/>
      <c r="BKC84" s="45"/>
      <c r="BKD84" s="45"/>
      <c r="BKE84" s="45"/>
      <c r="BKF84" s="45"/>
      <c r="BKG84" s="45"/>
      <c r="BKH84" s="45"/>
      <c r="BKI84" s="45"/>
      <c r="BKJ84" s="45"/>
      <c r="BKK84" s="45"/>
      <c r="BKL84" s="45"/>
      <c r="BKM84" s="45"/>
      <c r="BKN84" s="45"/>
      <c r="BKO84" s="45"/>
      <c r="BKP84" s="45"/>
      <c r="BKQ84" s="45"/>
      <c r="BKR84" s="45"/>
      <c r="BKS84" s="45"/>
      <c r="BKT84" s="45"/>
      <c r="BKU84" s="45"/>
      <c r="BKV84" s="45"/>
      <c r="BKW84" s="45"/>
      <c r="BKX84" s="45"/>
      <c r="BKY84" s="45"/>
      <c r="BKZ84" s="45"/>
      <c r="BLA84" s="45"/>
      <c r="BLB84" s="45"/>
      <c r="BLC84" s="45"/>
      <c r="BLD84" s="45"/>
      <c r="BLE84" s="45"/>
      <c r="BLF84" s="45"/>
      <c r="BLG84" s="45"/>
      <c r="BLH84" s="45"/>
      <c r="BLI84" s="45"/>
      <c r="BLJ84" s="45"/>
      <c r="BLK84" s="45"/>
      <c r="BLL84" s="45"/>
      <c r="BLM84" s="45"/>
      <c r="BLN84" s="45"/>
      <c r="BLO84" s="45"/>
      <c r="BLP84" s="45"/>
      <c r="BLQ84" s="45"/>
      <c r="BLR84" s="45"/>
      <c r="BLS84" s="45"/>
      <c r="BLT84" s="45"/>
      <c r="BLU84" s="45"/>
      <c r="BLV84" s="45"/>
      <c r="BLW84" s="45"/>
      <c r="BLX84" s="45"/>
      <c r="BLY84" s="45"/>
      <c r="BLZ84" s="45"/>
      <c r="BMA84" s="45"/>
      <c r="BMB84" s="45"/>
      <c r="BMC84" s="45"/>
      <c r="BMD84" s="45"/>
      <c r="BME84" s="45"/>
      <c r="BMF84" s="45"/>
      <c r="BMG84" s="45"/>
      <c r="BMH84" s="45"/>
      <c r="BMI84" s="45"/>
      <c r="BMJ84" s="45"/>
      <c r="BMK84" s="45"/>
      <c r="BML84" s="45"/>
      <c r="BMM84" s="45"/>
      <c r="BMN84" s="45"/>
      <c r="BMO84" s="45"/>
      <c r="BMP84" s="45"/>
      <c r="BMQ84" s="45"/>
      <c r="BMR84" s="45"/>
      <c r="BMS84" s="45"/>
      <c r="BMT84" s="45"/>
      <c r="BMU84" s="45"/>
      <c r="BMV84" s="45"/>
      <c r="BMW84" s="45"/>
      <c r="BMX84" s="45"/>
      <c r="BMY84" s="45"/>
      <c r="BMZ84" s="45"/>
      <c r="BNA84" s="45"/>
      <c r="BNB84" s="45"/>
      <c r="BNC84" s="45"/>
      <c r="BND84" s="45"/>
      <c r="BNE84" s="45"/>
      <c r="BNF84" s="45"/>
      <c r="BNG84" s="45"/>
      <c r="BNH84" s="45"/>
      <c r="BNI84" s="45"/>
      <c r="BNJ84" s="45"/>
      <c r="BNK84" s="45"/>
      <c r="BNL84" s="45"/>
      <c r="BNM84" s="45"/>
      <c r="BNN84" s="45"/>
      <c r="BNO84" s="45"/>
      <c r="BNP84" s="45"/>
      <c r="BNQ84" s="45"/>
      <c r="BNR84" s="45"/>
      <c r="BNS84" s="45"/>
      <c r="BNT84" s="45"/>
      <c r="BNU84" s="45"/>
      <c r="BNV84" s="45"/>
      <c r="BNW84" s="45"/>
      <c r="BNX84" s="45"/>
      <c r="BNY84" s="45"/>
      <c r="BNZ84" s="45"/>
      <c r="BOA84" s="45"/>
      <c r="BOB84" s="45"/>
      <c r="BOC84" s="45"/>
      <c r="BOD84" s="45"/>
      <c r="BOE84" s="45"/>
      <c r="BOF84" s="45"/>
      <c r="BOG84" s="45"/>
      <c r="BOH84" s="45"/>
      <c r="BOI84" s="45"/>
      <c r="BOJ84" s="45"/>
      <c r="BOK84" s="45"/>
      <c r="BOL84" s="45"/>
      <c r="BOM84" s="45"/>
      <c r="BON84" s="45"/>
      <c r="BOO84" s="45"/>
      <c r="BOP84" s="45"/>
      <c r="BOQ84" s="45"/>
      <c r="BOR84" s="45"/>
      <c r="BOS84" s="45"/>
      <c r="BOT84" s="45"/>
      <c r="BOU84" s="45"/>
      <c r="BOV84" s="45"/>
      <c r="BOW84" s="45"/>
      <c r="BOX84" s="45"/>
      <c r="BOY84" s="45"/>
      <c r="BOZ84" s="45"/>
      <c r="BPA84" s="45"/>
      <c r="BPB84" s="45"/>
      <c r="BPC84" s="45"/>
      <c r="BPD84" s="45"/>
      <c r="BPE84" s="45"/>
      <c r="BPF84" s="45"/>
      <c r="BPG84" s="45"/>
      <c r="BPH84" s="45"/>
      <c r="BPI84" s="45"/>
      <c r="BPJ84" s="45"/>
      <c r="BPK84" s="45"/>
      <c r="BPL84" s="45"/>
      <c r="BPM84" s="45"/>
      <c r="BPN84" s="45"/>
      <c r="BPO84" s="45"/>
      <c r="BPP84" s="45"/>
      <c r="BPQ84" s="45"/>
      <c r="BPR84" s="45"/>
      <c r="BPS84" s="45"/>
      <c r="BPT84" s="45"/>
      <c r="BPU84" s="45"/>
      <c r="BPV84" s="45"/>
      <c r="BPW84" s="45"/>
      <c r="BPX84" s="45"/>
      <c r="BPY84" s="45"/>
      <c r="BPZ84" s="45"/>
      <c r="BQA84" s="45"/>
      <c r="BQB84" s="45"/>
      <c r="BQC84" s="45"/>
      <c r="BQD84" s="45"/>
      <c r="BQE84" s="45"/>
      <c r="BQF84" s="45"/>
      <c r="BQG84" s="45"/>
      <c r="BQH84" s="45"/>
      <c r="BQI84" s="45"/>
      <c r="BQJ84" s="45"/>
      <c r="BQK84" s="45"/>
      <c r="BQL84" s="45"/>
      <c r="BQM84" s="45"/>
      <c r="BQN84" s="45"/>
      <c r="BQO84" s="45"/>
      <c r="BQP84" s="45"/>
      <c r="BQQ84" s="45"/>
      <c r="BQR84" s="45"/>
      <c r="BQS84" s="45"/>
      <c r="BQT84" s="45"/>
      <c r="BQU84" s="45"/>
      <c r="BQV84" s="45"/>
      <c r="BQW84" s="45"/>
      <c r="BQX84" s="45"/>
      <c r="BQY84" s="45"/>
      <c r="BQZ84" s="45"/>
      <c r="BRA84" s="45"/>
      <c r="BRB84" s="45"/>
      <c r="BRC84" s="45"/>
      <c r="BRD84" s="45"/>
      <c r="BRE84" s="45"/>
      <c r="BRF84" s="45"/>
      <c r="BRG84" s="45"/>
      <c r="BRH84" s="45"/>
      <c r="BRI84" s="45"/>
      <c r="BRJ84" s="45"/>
      <c r="BRK84" s="45"/>
      <c r="BRL84" s="45"/>
      <c r="BRM84" s="45"/>
      <c r="BRN84" s="45"/>
      <c r="BRO84" s="45"/>
      <c r="BRP84" s="45"/>
      <c r="BRQ84" s="45"/>
      <c r="BRR84" s="45"/>
      <c r="BRS84" s="45"/>
      <c r="BRT84" s="45"/>
      <c r="BRU84" s="45"/>
      <c r="BRV84" s="45"/>
      <c r="BRW84" s="45"/>
      <c r="BRX84" s="45"/>
      <c r="BRY84" s="45"/>
      <c r="BRZ84" s="45"/>
      <c r="BSA84" s="45"/>
      <c r="BSB84" s="45"/>
      <c r="BSC84" s="45"/>
      <c r="BSD84" s="45"/>
      <c r="BSE84" s="45"/>
      <c r="BSF84" s="45"/>
      <c r="BSG84" s="45"/>
      <c r="BSH84" s="45"/>
      <c r="BSI84" s="45"/>
      <c r="BSJ84" s="45"/>
      <c r="BSK84" s="45"/>
      <c r="BSL84" s="45"/>
      <c r="BSM84" s="45"/>
      <c r="BSN84" s="45"/>
      <c r="BSO84" s="45"/>
      <c r="BSP84" s="45"/>
      <c r="BSQ84" s="45"/>
      <c r="BSR84" s="45"/>
      <c r="BSS84" s="45"/>
      <c r="BST84" s="45"/>
      <c r="BSU84" s="45"/>
      <c r="BSV84" s="45"/>
      <c r="BSW84" s="45"/>
      <c r="BSX84" s="45"/>
      <c r="BSY84" s="45"/>
      <c r="BSZ84" s="45"/>
      <c r="BTA84" s="45"/>
      <c r="BTB84" s="45"/>
      <c r="BTC84" s="45"/>
      <c r="BTD84" s="45"/>
      <c r="BTE84" s="45"/>
      <c r="BTF84" s="45"/>
      <c r="BTG84" s="45"/>
      <c r="BTH84" s="45"/>
      <c r="BTI84" s="45"/>
      <c r="BTJ84" s="45"/>
      <c r="BTK84" s="45"/>
      <c r="BTL84" s="45"/>
      <c r="BTM84" s="45"/>
      <c r="BTN84" s="45"/>
      <c r="BTO84" s="45"/>
      <c r="BTP84" s="45"/>
      <c r="BTQ84" s="45"/>
      <c r="BTR84" s="45"/>
      <c r="BTS84" s="45"/>
      <c r="BTT84" s="45"/>
      <c r="BTU84" s="45"/>
      <c r="BTV84" s="45"/>
      <c r="BTW84" s="45"/>
      <c r="BTX84" s="45"/>
      <c r="BTY84" s="45"/>
      <c r="BTZ84" s="45"/>
      <c r="BUA84" s="45"/>
      <c r="BUB84" s="45"/>
      <c r="BUC84" s="45"/>
      <c r="BUD84" s="45"/>
      <c r="BUE84" s="45"/>
      <c r="BUF84" s="45"/>
      <c r="BUG84" s="45"/>
      <c r="BUH84" s="45"/>
      <c r="BUI84" s="45"/>
      <c r="BUJ84" s="45"/>
      <c r="BUK84" s="45"/>
      <c r="BUL84" s="45"/>
      <c r="BUM84" s="45"/>
      <c r="BUN84" s="45"/>
      <c r="BUO84" s="45"/>
      <c r="BUP84" s="45"/>
      <c r="BUQ84" s="45"/>
      <c r="BUR84" s="45"/>
      <c r="BUS84" s="45"/>
      <c r="BUT84" s="45"/>
      <c r="BUU84" s="45"/>
      <c r="BUV84" s="45"/>
      <c r="BUW84" s="45"/>
      <c r="BUX84" s="45"/>
      <c r="BUY84" s="45"/>
      <c r="BUZ84" s="45"/>
      <c r="BVA84" s="45"/>
      <c r="BVB84" s="45"/>
      <c r="BVC84" s="45"/>
      <c r="BVD84" s="45"/>
      <c r="BVE84" s="45"/>
      <c r="BVF84" s="45"/>
      <c r="BVG84" s="45"/>
      <c r="BVH84" s="45"/>
      <c r="BVI84" s="45"/>
      <c r="BVJ84" s="45"/>
      <c r="BVK84" s="45"/>
      <c r="BVL84" s="45"/>
      <c r="BVM84" s="45"/>
      <c r="BVN84" s="45"/>
      <c r="BVO84" s="45"/>
      <c r="BVP84" s="45"/>
      <c r="BVQ84" s="45"/>
      <c r="BVR84" s="45"/>
      <c r="BVS84" s="45"/>
      <c r="BVT84" s="45"/>
      <c r="BVU84" s="45"/>
      <c r="BVV84" s="45"/>
      <c r="BVW84" s="45"/>
      <c r="BVX84" s="45"/>
      <c r="BVY84" s="45"/>
      <c r="BVZ84" s="45"/>
      <c r="BWA84" s="45"/>
      <c r="BWB84" s="45"/>
      <c r="BWC84" s="45"/>
      <c r="BWD84" s="45"/>
      <c r="BWE84" s="45"/>
      <c r="BWF84" s="45"/>
      <c r="BWG84" s="45"/>
      <c r="BWH84" s="45"/>
      <c r="BWI84" s="45"/>
      <c r="BWJ84" s="45"/>
      <c r="BWK84" s="45"/>
      <c r="BWL84" s="45"/>
      <c r="BWM84" s="45"/>
      <c r="BWN84" s="45"/>
      <c r="BWO84" s="45"/>
      <c r="BWP84" s="45"/>
      <c r="BWQ84" s="45"/>
      <c r="BWR84" s="45"/>
      <c r="BWS84" s="45"/>
      <c r="BWT84" s="45"/>
      <c r="BWU84" s="45"/>
      <c r="BWV84" s="45"/>
      <c r="BWW84" s="45"/>
      <c r="BWX84" s="45"/>
      <c r="BWY84" s="45"/>
      <c r="BWZ84" s="45"/>
      <c r="BXA84" s="45"/>
      <c r="BXB84" s="45"/>
      <c r="BXC84" s="45"/>
      <c r="BXD84" s="45"/>
      <c r="BXE84" s="45"/>
      <c r="BXF84" s="45"/>
      <c r="BXG84" s="45"/>
      <c r="BXH84" s="45"/>
      <c r="BXI84" s="45"/>
      <c r="BXJ84" s="45"/>
      <c r="BXK84" s="45"/>
      <c r="BXL84" s="45"/>
      <c r="BXM84" s="45"/>
      <c r="BXN84" s="45"/>
      <c r="BXO84" s="45"/>
      <c r="BXP84" s="45"/>
      <c r="BXQ84" s="45"/>
      <c r="BXR84" s="45"/>
      <c r="BXS84" s="45"/>
      <c r="BXT84" s="45"/>
      <c r="BXU84" s="45"/>
      <c r="BXV84" s="45"/>
      <c r="BXW84" s="45"/>
      <c r="BXX84" s="45"/>
      <c r="BXY84" s="45"/>
      <c r="BXZ84" s="45"/>
      <c r="BYA84" s="45"/>
      <c r="BYB84" s="45"/>
      <c r="BYC84" s="45"/>
      <c r="BYD84" s="45"/>
      <c r="BYE84" s="45"/>
      <c r="BYF84" s="45"/>
      <c r="BYG84" s="45"/>
      <c r="BYH84" s="45"/>
      <c r="BYI84" s="45"/>
      <c r="BYJ84" s="45"/>
      <c r="BYK84" s="45"/>
      <c r="BYL84" s="45"/>
      <c r="BYM84" s="45"/>
      <c r="BYN84" s="45"/>
      <c r="BYO84" s="45"/>
      <c r="BYP84" s="45"/>
      <c r="BYQ84" s="45"/>
      <c r="BYR84" s="45"/>
      <c r="BYS84" s="45"/>
      <c r="BYT84" s="45"/>
      <c r="BYU84" s="45"/>
      <c r="BYV84" s="45"/>
      <c r="BYW84" s="45"/>
      <c r="BYX84" s="45"/>
      <c r="BYY84" s="45"/>
      <c r="BYZ84" s="45"/>
      <c r="BZA84" s="45"/>
      <c r="BZB84" s="45"/>
      <c r="BZC84" s="45"/>
      <c r="BZD84" s="45"/>
      <c r="BZE84" s="45"/>
      <c r="BZF84" s="45"/>
      <c r="BZG84" s="45"/>
      <c r="BZH84" s="45"/>
      <c r="BZI84" s="45"/>
      <c r="BZJ84" s="45"/>
      <c r="BZK84" s="45"/>
      <c r="BZL84" s="45"/>
      <c r="BZM84" s="45"/>
      <c r="BZN84" s="45"/>
      <c r="BZO84" s="45"/>
      <c r="BZP84" s="45"/>
      <c r="BZQ84" s="45"/>
      <c r="BZR84" s="45"/>
      <c r="BZS84" s="45"/>
      <c r="BZT84" s="45"/>
      <c r="BZU84" s="45"/>
      <c r="BZV84" s="45"/>
      <c r="BZW84" s="45"/>
      <c r="BZX84" s="45"/>
      <c r="BZY84" s="45"/>
      <c r="BZZ84" s="45"/>
      <c r="CAA84" s="45"/>
      <c r="CAB84" s="45"/>
      <c r="CAC84" s="45"/>
      <c r="CAD84" s="45"/>
      <c r="CAE84" s="45"/>
      <c r="CAF84" s="45"/>
      <c r="CAG84" s="45"/>
      <c r="CAH84" s="45"/>
      <c r="CAI84" s="45"/>
      <c r="CAJ84" s="45"/>
      <c r="CAK84" s="45"/>
      <c r="CAL84" s="45"/>
      <c r="CAM84" s="45"/>
      <c r="CAN84" s="45"/>
      <c r="CAO84" s="45"/>
      <c r="CAP84" s="45"/>
      <c r="CAQ84" s="45"/>
      <c r="CAR84" s="45"/>
      <c r="CAS84" s="45"/>
      <c r="CAT84" s="45"/>
      <c r="CAU84" s="45"/>
      <c r="CAV84" s="45"/>
      <c r="CAW84" s="45"/>
      <c r="CAX84" s="45"/>
      <c r="CAY84" s="45"/>
      <c r="CAZ84" s="45"/>
      <c r="CBA84" s="45"/>
      <c r="CBB84" s="45"/>
      <c r="CBC84" s="45"/>
      <c r="CBD84" s="45"/>
      <c r="CBE84" s="45"/>
      <c r="CBF84" s="45"/>
      <c r="CBG84" s="45"/>
      <c r="CBH84" s="45"/>
    </row>
    <row r="85" spans="1:2088" x14ac:dyDescent="0.2">
      <c r="A85" s="17" t="s">
        <v>195</v>
      </c>
      <c r="B85" s="32">
        <f t="shared" ref="B85" si="9">EDATE(B2, 3)</f>
        <v>91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  <c r="GL85" s="45"/>
      <c r="GM85" s="45"/>
      <c r="GN85" s="45"/>
      <c r="GO85" s="45"/>
      <c r="GP85" s="45"/>
      <c r="GQ85" s="45"/>
      <c r="GR85" s="45"/>
      <c r="GS85" s="45"/>
      <c r="GT85" s="45"/>
      <c r="GU85" s="45"/>
      <c r="GV85" s="45"/>
      <c r="GW85" s="45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  <c r="HM85" s="45"/>
      <c r="HN85" s="45"/>
      <c r="HO85" s="45"/>
      <c r="HP85" s="45"/>
      <c r="HQ85" s="45"/>
      <c r="HR85" s="45"/>
      <c r="HS85" s="45"/>
      <c r="HT85" s="45"/>
      <c r="HU85" s="45"/>
      <c r="HV85" s="45"/>
      <c r="HW85" s="45"/>
      <c r="HX85" s="45"/>
      <c r="HY85" s="45"/>
      <c r="HZ85" s="45"/>
      <c r="IA85" s="45"/>
      <c r="IB85" s="45"/>
      <c r="IC85" s="45"/>
      <c r="ID85" s="45"/>
      <c r="IE85" s="45"/>
      <c r="IF85" s="45"/>
      <c r="IG85" s="45"/>
      <c r="IH85" s="45"/>
      <c r="II85" s="45"/>
      <c r="IJ85" s="45"/>
      <c r="IK85" s="45"/>
      <c r="IL85" s="45"/>
      <c r="IM85" s="45"/>
      <c r="IN85" s="45"/>
      <c r="IO85" s="45"/>
      <c r="IP85" s="45"/>
      <c r="IQ85" s="45"/>
      <c r="IR85" s="45"/>
      <c r="IS85" s="45"/>
      <c r="IT85" s="45"/>
      <c r="IU85" s="45"/>
      <c r="IV85" s="45"/>
      <c r="IW85" s="45"/>
      <c r="IX85" s="45"/>
      <c r="IY85" s="45"/>
      <c r="IZ85" s="45"/>
      <c r="JA85" s="45"/>
      <c r="JB85" s="45"/>
      <c r="JC85" s="45"/>
      <c r="JD85" s="45"/>
      <c r="JE85" s="45"/>
      <c r="JF85" s="45"/>
      <c r="JG85" s="45"/>
      <c r="JH85" s="45"/>
      <c r="JI85" s="45"/>
      <c r="JJ85" s="45"/>
      <c r="JK85" s="45"/>
      <c r="JL85" s="45"/>
      <c r="JM85" s="45"/>
      <c r="JN85" s="45"/>
      <c r="JO85" s="45"/>
      <c r="JP85" s="45"/>
      <c r="JQ85" s="45"/>
      <c r="JR85" s="45"/>
      <c r="JS85" s="45"/>
      <c r="JT85" s="45"/>
      <c r="JU85" s="45"/>
      <c r="JV85" s="45"/>
      <c r="JW85" s="45"/>
      <c r="JX85" s="45"/>
      <c r="JY85" s="45"/>
      <c r="JZ85" s="45"/>
      <c r="KA85" s="45"/>
      <c r="KB85" s="45"/>
      <c r="KC85" s="45"/>
      <c r="KD85" s="45"/>
      <c r="KE85" s="45"/>
      <c r="KF85" s="45"/>
      <c r="KG85" s="45"/>
      <c r="KH85" s="45"/>
      <c r="KI85" s="45"/>
      <c r="KJ85" s="45"/>
      <c r="KK85" s="45"/>
      <c r="KL85" s="45"/>
      <c r="KM85" s="45"/>
      <c r="KN85" s="45"/>
      <c r="KO85" s="45"/>
      <c r="KP85" s="45"/>
      <c r="KQ85" s="45"/>
      <c r="KR85" s="45"/>
      <c r="KS85" s="45"/>
      <c r="KT85" s="45"/>
      <c r="KU85" s="45"/>
      <c r="KV85" s="45"/>
      <c r="KW85" s="45"/>
      <c r="KX85" s="45"/>
      <c r="KY85" s="45"/>
      <c r="KZ85" s="45"/>
      <c r="LA85" s="45"/>
      <c r="LB85" s="45"/>
      <c r="LC85" s="45"/>
      <c r="LD85" s="45"/>
      <c r="LE85" s="45"/>
      <c r="LF85" s="45"/>
      <c r="LG85" s="45"/>
      <c r="LH85" s="45"/>
      <c r="LI85" s="45"/>
      <c r="LJ85" s="45"/>
      <c r="LK85" s="45"/>
      <c r="LL85" s="45"/>
      <c r="LM85" s="45"/>
      <c r="LN85" s="45"/>
      <c r="LO85" s="45"/>
      <c r="LP85" s="45"/>
      <c r="LQ85" s="45"/>
      <c r="LR85" s="45"/>
      <c r="LS85" s="45"/>
      <c r="LT85" s="45"/>
      <c r="LU85" s="45"/>
      <c r="LV85" s="45"/>
      <c r="LW85" s="45"/>
      <c r="LX85" s="45"/>
      <c r="LY85" s="45"/>
      <c r="LZ85" s="45"/>
      <c r="MA85" s="45"/>
      <c r="MB85" s="45"/>
      <c r="MC85" s="45"/>
      <c r="MD85" s="45"/>
      <c r="ME85" s="45"/>
      <c r="MF85" s="45"/>
      <c r="MG85" s="45"/>
      <c r="MH85" s="45"/>
      <c r="MI85" s="45"/>
      <c r="MJ85" s="45"/>
      <c r="MK85" s="45"/>
      <c r="ML85" s="45"/>
      <c r="MM85" s="45"/>
      <c r="MN85" s="45"/>
    </row>
    <row r="86" spans="1:2088" x14ac:dyDescent="0.2">
      <c r="A86" s="1" t="s">
        <v>78</v>
      </c>
      <c r="B86" s="51"/>
    </row>
    <row r="87" spans="1:2088" x14ac:dyDescent="0.2">
      <c r="A87" s="1" t="s">
        <v>79</v>
      </c>
      <c r="B87" s="51"/>
    </row>
    <row r="88" spans="1:2088" x14ac:dyDescent="0.2">
      <c r="A88" s="1" t="s">
        <v>80</v>
      </c>
      <c r="B88" s="22"/>
      <c r="CV88" s="63"/>
    </row>
    <row r="89" spans="1:2088" x14ac:dyDescent="0.2">
      <c r="A89" s="1" t="s">
        <v>81</v>
      </c>
      <c r="B89" s="51"/>
    </row>
    <row r="90" spans="1:2088" x14ac:dyDescent="0.2">
      <c r="A90" s="1" t="s">
        <v>82</v>
      </c>
      <c r="B90" s="22"/>
    </row>
    <row r="91" spans="1:2088" x14ac:dyDescent="0.2">
      <c r="A91" s="1" t="s">
        <v>83</v>
      </c>
      <c r="B91" s="51"/>
    </row>
    <row r="92" spans="1:2088" x14ac:dyDescent="0.2">
      <c r="A92" s="1" t="s">
        <v>84</v>
      </c>
      <c r="B92" s="22"/>
    </row>
    <row r="93" spans="1:2088" x14ac:dyDescent="0.2">
      <c r="A93" s="1" t="s">
        <v>85</v>
      </c>
      <c r="B93" s="51"/>
    </row>
    <row r="94" spans="1:2088" x14ac:dyDescent="0.2">
      <c r="A94" s="1" t="s">
        <v>86</v>
      </c>
      <c r="B94" s="22"/>
    </row>
    <row r="95" spans="1:2088" x14ac:dyDescent="0.2">
      <c r="A95" s="1" t="s">
        <v>194</v>
      </c>
      <c r="B95" s="51"/>
    </row>
    <row r="96" spans="1:2088" x14ac:dyDescent="0.2">
      <c r="A96" s="2" t="s">
        <v>197</v>
      </c>
      <c r="B96" s="33"/>
      <c r="MO96" s="45"/>
      <c r="MP96" s="45"/>
      <c r="MQ96" s="45"/>
      <c r="MR96" s="45"/>
      <c r="MS96" s="45"/>
      <c r="MT96" s="45"/>
      <c r="MU96" s="45"/>
      <c r="MV96" s="45"/>
      <c r="MW96" s="45"/>
      <c r="MX96" s="45"/>
      <c r="MY96" s="45"/>
      <c r="MZ96" s="45"/>
      <c r="NA96" s="45"/>
      <c r="NB96" s="45"/>
      <c r="NC96" s="45"/>
      <c r="ND96" s="45"/>
      <c r="NE96" s="45"/>
      <c r="NF96" s="45"/>
      <c r="NG96" s="45"/>
      <c r="NH96" s="45"/>
      <c r="NI96" s="45"/>
      <c r="NJ96" s="45"/>
      <c r="NK96" s="45"/>
      <c r="NL96" s="45"/>
      <c r="NM96" s="45"/>
      <c r="NN96" s="45"/>
      <c r="NO96" s="45"/>
      <c r="NP96" s="45"/>
      <c r="NQ96" s="45"/>
      <c r="NR96" s="45"/>
      <c r="NS96" s="45"/>
      <c r="NT96" s="45"/>
      <c r="NU96" s="45"/>
      <c r="NV96" s="45"/>
      <c r="NW96" s="45"/>
      <c r="NX96" s="45"/>
      <c r="NY96" s="45"/>
      <c r="NZ96" s="45"/>
      <c r="OA96" s="45"/>
      <c r="OB96" s="45"/>
      <c r="OC96" s="45"/>
      <c r="OD96" s="45"/>
      <c r="OE96" s="45"/>
      <c r="OF96" s="45"/>
      <c r="OG96" s="45"/>
      <c r="OH96" s="45"/>
      <c r="OI96" s="45"/>
      <c r="OJ96" s="45"/>
      <c r="OK96" s="45"/>
      <c r="OL96" s="45"/>
      <c r="OM96" s="45"/>
      <c r="ON96" s="45"/>
      <c r="OO96" s="45"/>
      <c r="OP96" s="45"/>
      <c r="OQ96" s="45"/>
      <c r="OR96" s="45"/>
      <c r="OS96" s="45"/>
      <c r="OT96" s="45"/>
      <c r="OU96" s="45"/>
      <c r="OV96" s="45"/>
      <c r="OW96" s="45"/>
      <c r="OX96" s="45"/>
      <c r="OY96" s="45"/>
      <c r="OZ96" s="45"/>
      <c r="PA96" s="45"/>
      <c r="PB96" s="45"/>
      <c r="PC96" s="45"/>
      <c r="PD96" s="45"/>
      <c r="PE96" s="45"/>
      <c r="PF96" s="45"/>
      <c r="PG96" s="45"/>
      <c r="PH96" s="45"/>
      <c r="PI96" s="45"/>
      <c r="PJ96" s="45"/>
      <c r="PK96" s="45"/>
      <c r="PL96" s="45"/>
      <c r="PM96" s="45"/>
      <c r="PN96" s="45"/>
      <c r="PO96" s="45"/>
      <c r="PP96" s="45"/>
      <c r="PQ96" s="45"/>
      <c r="PR96" s="45"/>
      <c r="PS96" s="45"/>
      <c r="PT96" s="45"/>
      <c r="PU96" s="45"/>
      <c r="PV96" s="45"/>
      <c r="PW96" s="45"/>
      <c r="PX96" s="45"/>
      <c r="PY96" s="45"/>
      <c r="PZ96" s="45"/>
      <c r="QA96" s="45"/>
      <c r="QB96" s="45"/>
      <c r="QC96" s="45"/>
      <c r="QD96" s="45"/>
      <c r="QE96" s="45"/>
      <c r="QF96" s="45"/>
      <c r="QG96" s="45"/>
      <c r="QH96" s="45"/>
      <c r="QI96" s="45"/>
      <c r="QJ96" s="45"/>
      <c r="QK96" s="45"/>
      <c r="QL96" s="45"/>
      <c r="QM96" s="45"/>
      <c r="QN96" s="45"/>
      <c r="QO96" s="45"/>
      <c r="QP96" s="45"/>
      <c r="QQ96" s="45"/>
      <c r="QR96" s="45"/>
      <c r="QS96" s="45"/>
      <c r="QT96" s="45"/>
      <c r="QU96" s="45"/>
      <c r="QV96" s="45"/>
      <c r="QW96" s="45"/>
      <c r="QX96" s="45"/>
      <c r="QY96" s="45"/>
      <c r="QZ96" s="45"/>
      <c r="RA96" s="45"/>
      <c r="RB96" s="45"/>
      <c r="RC96" s="45"/>
      <c r="RD96" s="45"/>
      <c r="RE96" s="45"/>
      <c r="RF96" s="45"/>
      <c r="RG96" s="45"/>
      <c r="RH96" s="45"/>
      <c r="RI96" s="45"/>
      <c r="RJ96" s="45"/>
      <c r="RK96" s="45"/>
      <c r="RL96" s="45"/>
      <c r="RM96" s="45"/>
      <c r="RN96" s="45"/>
      <c r="RO96" s="45"/>
      <c r="RP96" s="45"/>
      <c r="RQ96" s="45"/>
      <c r="RR96" s="45"/>
      <c r="RS96" s="45"/>
      <c r="RT96" s="45"/>
      <c r="RU96" s="45"/>
      <c r="RV96" s="45"/>
      <c r="RW96" s="45"/>
      <c r="RX96" s="45"/>
      <c r="RY96" s="45"/>
      <c r="RZ96" s="45"/>
      <c r="SA96" s="45"/>
      <c r="SB96" s="45"/>
      <c r="SC96" s="45"/>
      <c r="SD96" s="45"/>
      <c r="SE96" s="45"/>
      <c r="SF96" s="45"/>
      <c r="SG96" s="45"/>
      <c r="SH96" s="45"/>
      <c r="SI96" s="45"/>
      <c r="SJ96" s="45"/>
      <c r="SK96" s="45"/>
      <c r="SL96" s="45"/>
      <c r="SM96" s="45"/>
      <c r="SN96" s="45"/>
      <c r="SO96" s="45"/>
      <c r="SP96" s="45"/>
      <c r="SQ96" s="45"/>
      <c r="SR96" s="45"/>
      <c r="SS96" s="45"/>
      <c r="ST96" s="45"/>
      <c r="SU96" s="45"/>
      <c r="SV96" s="45"/>
      <c r="SW96" s="45"/>
      <c r="SX96" s="45"/>
      <c r="SY96" s="45"/>
      <c r="SZ96" s="45"/>
      <c r="TA96" s="45"/>
      <c r="TB96" s="45"/>
      <c r="TC96" s="45"/>
      <c r="TD96" s="45"/>
      <c r="TE96" s="45"/>
      <c r="TF96" s="45"/>
      <c r="TG96" s="45"/>
      <c r="TH96" s="45"/>
      <c r="TI96" s="45"/>
      <c r="TJ96" s="45"/>
      <c r="TK96" s="45"/>
      <c r="TL96" s="45"/>
      <c r="TM96" s="45"/>
      <c r="TN96" s="45"/>
      <c r="TO96" s="45"/>
      <c r="TP96" s="45"/>
      <c r="TQ96" s="45"/>
      <c r="TR96" s="45"/>
      <c r="TS96" s="45"/>
      <c r="TT96" s="45"/>
      <c r="TU96" s="45"/>
      <c r="TV96" s="45"/>
      <c r="TW96" s="45"/>
      <c r="TX96" s="45"/>
      <c r="TY96" s="45"/>
      <c r="TZ96" s="45"/>
      <c r="UA96" s="45"/>
      <c r="UB96" s="45"/>
      <c r="UC96" s="45"/>
      <c r="UD96" s="45"/>
      <c r="UE96" s="45"/>
      <c r="UF96" s="45"/>
      <c r="UG96" s="45"/>
      <c r="UH96" s="45"/>
      <c r="UI96" s="45"/>
      <c r="UJ96" s="45"/>
      <c r="UK96" s="45"/>
      <c r="UL96" s="45"/>
      <c r="UM96" s="45"/>
      <c r="UN96" s="45"/>
      <c r="UO96" s="45"/>
      <c r="UP96" s="45"/>
      <c r="UQ96" s="45"/>
      <c r="UR96" s="45"/>
      <c r="US96" s="45"/>
      <c r="UT96" s="45"/>
      <c r="UU96" s="45"/>
      <c r="UV96" s="45"/>
      <c r="UW96" s="45"/>
      <c r="UX96" s="45"/>
      <c r="UY96" s="45"/>
      <c r="UZ96" s="45"/>
      <c r="VA96" s="45"/>
      <c r="VB96" s="45"/>
      <c r="VC96" s="45"/>
      <c r="VD96" s="45"/>
      <c r="VE96" s="45"/>
      <c r="VF96" s="45"/>
      <c r="VG96" s="45"/>
      <c r="VH96" s="45"/>
      <c r="VI96" s="45"/>
      <c r="VJ96" s="45"/>
      <c r="VK96" s="45"/>
      <c r="VL96" s="45"/>
      <c r="VM96" s="45"/>
      <c r="VN96" s="45"/>
      <c r="VO96" s="45"/>
      <c r="VP96" s="45"/>
      <c r="VQ96" s="45"/>
      <c r="VR96" s="45"/>
      <c r="VS96" s="45"/>
      <c r="VT96" s="45"/>
      <c r="VU96" s="45"/>
      <c r="VV96" s="45"/>
      <c r="VW96" s="45"/>
      <c r="VX96" s="45"/>
      <c r="VY96" s="45"/>
      <c r="VZ96" s="45"/>
      <c r="WA96" s="45"/>
      <c r="WB96" s="45"/>
      <c r="WC96" s="45"/>
      <c r="WD96" s="45"/>
      <c r="WE96" s="45"/>
      <c r="WF96" s="45"/>
      <c r="WG96" s="45"/>
      <c r="WH96" s="45"/>
      <c r="WI96" s="45"/>
      <c r="WJ96" s="45"/>
      <c r="WK96" s="45"/>
      <c r="WL96" s="45"/>
      <c r="WM96" s="45"/>
      <c r="WN96" s="45"/>
      <c r="WO96" s="45"/>
      <c r="WP96" s="45"/>
      <c r="WQ96" s="45"/>
      <c r="WR96" s="45"/>
      <c r="WS96" s="45"/>
      <c r="WT96" s="45"/>
      <c r="WU96" s="45"/>
      <c r="WV96" s="45"/>
      <c r="WW96" s="45"/>
      <c r="WX96" s="45"/>
      <c r="WY96" s="45"/>
      <c r="WZ96" s="45"/>
      <c r="XA96" s="45"/>
      <c r="XB96" s="45"/>
      <c r="XC96" s="45"/>
      <c r="XD96" s="45"/>
      <c r="XE96" s="45"/>
      <c r="XF96" s="45"/>
      <c r="XG96" s="45"/>
      <c r="XH96" s="45"/>
      <c r="XI96" s="45"/>
      <c r="XJ96" s="45"/>
      <c r="XK96" s="45"/>
      <c r="XL96" s="45"/>
      <c r="XM96" s="45"/>
      <c r="XN96" s="45"/>
      <c r="XO96" s="45"/>
      <c r="XP96" s="45"/>
      <c r="XQ96" s="45"/>
      <c r="XR96" s="45"/>
      <c r="XS96" s="45"/>
      <c r="XT96" s="45"/>
      <c r="XU96" s="45"/>
      <c r="XV96" s="45"/>
      <c r="XW96" s="45"/>
      <c r="XX96" s="45"/>
      <c r="XY96" s="45"/>
      <c r="XZ96" s="45"/>
      <c r="YA96" s="45"/>
      <c r="YB96" s="45"/>
      <c r="YC96" s="45"/>
      <c r="YD96" s="45"/>
      <c r="YE96" s="45"/>
      <c r="YF96" s="45"/>
      <c r="YG96" s="45"/>
      <c r="YH96" s="45"/>
      <c r="YI96" s="45"/>
      <c r="YJ96" s="45"/>
      <c r="YK96" s="45"/>
      <c r="YL96" s="45"/>
      <c r="YM96" s="45"/>
      <c r="YN96" s="45"/>
      <c r="YO96" s="45"/>
      <c r="YP96" s="45"/>
      <c r="YQ96" s="45"/>
      <c r="YR96" s="45"/>
      <c r="YS96" s="45"/>
      <c r="YT96" s="45"/>
      <c r="YU96" s="45"/>
      <c r="YV96" s="45"/>
      <c r="YW96" s="45"/>
      <c r="YX96" s="45"/>
      <c r="YY96" s="45"/>
      <c r="YZ96" s="45"/>
      <c r="ZA96" s="45"/>
      <c r="ZB96" s="45"/>
      <c r="ZC96" s="45"/>
      <c r="ZD96" s="45"/>
      <c r="ZE96" s="45"/>
      <c r="ZF96" s="45"/>
      <c r="ZG96" s="45"/>
      <c r="ZH96" s="45"/>
      <c r="ZI96" s="45"/>
      <c r="ZJ96" s="45"/>
      <c r="ZK96" s="45"/>
      <c r="ZL96" s="45"/>
      <c r="ZM96" s="45"/>
      <c r="ZN96" s="45"/>
      <c r="ZO96" s="45"/>
      <c r="ZP96" s="45"/>
      <c r="ZQ96" s="45"/>
      <c r="ZR96" s="45"/>
      <c r="ZS96" s="45"/>
      <c r="ZT96" s="45"/>
      <c r="ZU96" s="45"/>
      <c r="ZV96" s="45"/>
      <c r="ZW96" s="45"/>
      <c r="ZX96" s="45"/>
      <c r="ZY96" s="45"/>
      <c r="ZZ96" s="45"/>
      <c r="AAA96" s="45"/>
      <c r="AAB96" s="45"/>
      <c r="AAC96" s="45"/>
      <c r="AAD96" s="45"/>
      <c r="AAE96" s="45"/>
      <c r="AAF96" s="45"/>
      <c r="AAG96" s="45"/>
      <c r="AAH96" s="45"/>
      <c r="AAI96" s="45"/>
      <c r="AAJ96" s="45"/>
      <c r="AAK96" s="45"/>
      <c r="AAL96" s="45"/>
      <c r="AAM96" s="45"/>
      <c r="AAN96" s="45"/>
      <c r="AAO96" s="45"/>
      <c r="AAP96" s="45"/>
      <c r="AAQ96" s="45"/>
      <c r="AAR96" s="45"/>
      <c r="AAS96" s="45"/>
      <c r="AAT96" s="45"/>
      <c r="AAU96" s="45"/>
      <c r="AAV96" s="45"/>
      <c r="AAW96" s="45"/>
      <c r="AAX96" s="45"/>
      <c r="AAY96" s="45"/>
      <c r="AAZ96" s="45"/>
      <c r="ABA96" s="45"/>
      <c r="ABB96" s="45"/>
      <c r="ABC96" s="45"/>
      <c r="ABD96" s="45"/>
      <c r="ABE96" s="45"/>
      <c r="ABF96" s="45"/>
      <c r="ABG96" s="45"/>
      <c r="ABH96" s="45"/>
      <c r="ABI96" s="45"/>
      <c r="ABJ96" s="45"/>
      <c r="ABK96" s="45"/>
      <c r="ABL96" s="45"/>
      <c r="ABM96" s="45"/>
      <c r="ABN96" s="45"/>
      <c r="ABO96" s="45"/>
      <c r="ABP96" s="45"/>
      <c r="ABQ96" s="45"/>
      <c r="ABR96" s="45"/>
      <c r="ABS96" s="45"/>
      <c r="ABT96" s="45"/>
      <c r="ABU96" s="45"/>
      <c r="ABV96" s="45"/>
      <c r="ABW96" s="45"/>
      <c r="ABX96" s="45"/>
      <c r="ABY96" s="45"/>
      <c r="ABZ96" s="45"/>
      <c r="ACA96" s="45"/>
      <c r="ACB96" s="45"/>
      <c r="ACC96" s="45"/>
      <c r="ACD96" s="45"/>
      <c r="ACE96" s="45"/>
      <c r="ACF96" s="45"/>
      <c r="ACG96" s="45"/>
      <c r="ACH96" s="45"/>
      <c r="ACI96" s="45"/>
      <c r="ACJ96" s="45"/>
      <c r="ACK96" s="45"/>
      <c r="ACL96" s="45"/>
      <c r="ACM96" s="45"/>
      <c r="ACN96" s="45"/>
      <c r="ACO96" s="45"/>
      <c r="ACP96" s="45"/>
      <c r="ACQ96" s="45"/>
      <c r="ACR96" s="45"/>
      <c r="ACS96" s="45"/>
      <c r="ACT96" s="45"/>
      <c r="ACU96" s="45"/>
      <c r="ACV96" s="45"/>
      <c r="ACW96" s="45"/>
      <c r="ACX96" s="45"/>
      <c r="ACY96" s="45"/>
      <c r="ACZ96" s="45"/>
      <c r="ADA96" s="45"/>
      <c r="ADB96" s="45"/>
      <c r="ADC96" s="45"/>
      <c r="ADD96" s="45"/>
      <c r="ADE96" s="45"/>
      <c r="ADF96" s="45"/>
      <c r="ADG96" s="45"/>
      <c r="ADH96" s="45"/>
      <c r="ADI96" s="45"/>
      <c r="ADJ96" s="45"/>
      <c r="ADK96" s="45"/>
      <c r="ADL96" s="45"/>
      <c r="ADM96" s="45"/>
      <c r="ADN96" s="45"/>
      <c r="ADO96" s="45"/>
      <c r="ADP96" s="45"/>
      <c r="ADQ96" s="45"/>
      <c r="ADR96" s="45"/>
      <c r="ADS96" s="45"/>
      <c r="ADT96" s="45"/>
      <c r="ADU96" s="45"/>
      <c r="ADV96" s="45"/>
      <c r="ADW96" s="45"/>
      <c r="ADX96" s="45"/>
      <c r="ADY96" s="45"/>
      <c r="ADZ96" s="45"/>
      <c r="AEA96" s="45"/>
      <c r="AEB96" s="45"/>
      <c r="AEC96" s="45"/>
      <c r="AED96" s="45"/>
      <c r="AEE96" s="45"/>
      <c r="AEF96" s="45"/>
      <c r="AEG96" s="45"/>
      <c r="AEH96" s="45"/>
      <c r="AEI96" s="45"/>
      <c r="AEJ96" s="45"/>
      <c r="AEK96" s="45"/>
      <c r="AEL96" s="45"/>
      <c r="AEM96" s="45"/>
      <c r="AEN96" s="45"/>
      <c r="AEO96" s="45"/>
      <c r="AEP96" s="45"/>
      <c r="AEQ96" s="45"/>
      <c r="AER96" s="45"/>
      <c r="AES96" s="45"/>
      <c r="AET96" s="45"/>
      <c r="AEU96" s="45"/>
      <c r="AEV96" s="45"/>
      <c r="AEW96" s="45"/>
      <c r="AEX96" s="45"/>
      <c r="AEY96" s="45"/>
      <c r="AEZ96" s="45"/>
      <c r="AFA96" s="45"/>
      <c r="AFB96" s="45"/>
      <c r="AFC96" s="45"/>
      <c r="AFD96" s="45"/>
      <c r="AFE96" s="45"/>
      <c r="AFF96" s="45"/>
      <c r="AFG96" s="45"/>
      <c r="AFH96" s="45"/>
      <c r="AFI96" s="45"/>
      <c r="AFJ96" s="45"/>
      <c r="AFK96" s="45"/>
      <c r="AFL96" s="45"/>
      <c r="AFM96" s="45"/>
      <c r="AFN96" s="45"/>
      <c r="AFO96" s="45"/>
      <c r="AFP96" s="45"/>
      <c r="AFQ96" s="45"/>
      <c r="AFR96" s="45"/>
      <c r="AFS96" s="45"/>
      <c r="AFT96" s="45"/>
      <c r="AFU96" s="45"/>
      <c r="AFV96" s="45"/>
      <c r="AFW96" s="45"/>
      <c r="AFX96" s="45"/>
      <c r="AFY96" s="45"/>
      <c r="AFZ96" s="45"/>
      <c r="AGA96" s="45"/>
      <c r="AGB96" s="45"/>
      <c r="AGC96" s="45"/>
      <c r="AGD96" s="45"/>
      <c r="AGE96" s="45"/>
      <c r="AGF96" s="45"/>
      <c r="AGG96" s="45"/>
      <c r="AGH96" s="45"/>
      <c r="AGI96" s="45"/>
      <c r="AGJ96" s="45"/>
      <c r="AGK96" s="45"/>
      <c r="AGL96" s="45"/>
      <c r="AGM96" s="45"/>
      <c r="AGN96" s="45"/>
      <c r="AGO96" s="45"/>
      <c r="AGP96" s="45"/>
      <c r="AGQ96" s="45"/>
      <c r="AGR96" s="45"/>
      <c r="AGS96" s="45"/>
      <c r="AGT96" s="45"/>
      <c r="AGU96" s="45"/>
      <c r="AGV96" s="45"/>
      <c r="AGW96" s="45"/>
      <c r="AGX96" s="45"/>
      <c r="AGY96" s="45"/>
      <c r="AGZ96" s="45"/>
      <c r="AHA96" s="45"/>
      <c r="AHB96" s="45"/>
      <c r="AHC96" s="45"/>
      <c r="AHD96" s="45"/>
      <c r="AHE96" s="45"/>
      <c r="AHF96" s="45"/>
      <c r="AHG96" s="45"/>
      <c r="AHH96" s="45"/>
      <c r="AHI96" s="45"/>
      <c r="AHJ96" s="45"/>
      <c r="AHK96" s="45"/>
      <c r="AHL96" s="45"/>
      <c r="AHM96" s="45"/>
      <c r="AHN96" s="45"/>
      <c r="AHO96" s="45"/>
      <c r="AHP96" s="45"/>
      <c r="AHQ96" s="45"/>
      <c r="AHR96" s="45"/>
      <c r="AHS96" s="45"/>
      <c r="AHT96" s="45"/>
      <c r="AHU96" s="45"/>
      <c r="AHV96" s="45"/>
      <c r="AHW96" s="45"/>
      <c r="AHX96" s="45"/>
      <c r="AHY96" s="45"/>
      <c r="AHZ96" s="45"/>
      <c r="AIA96" s="45"/>
      <c r="AIB96" s="45"/>
      <c r="AIC96" s="45"/>
      <c r="AID96" s="45"/>
      <c r="AIE96" s="45"/>
      <c r="AIF96" s="45"/>
      <c r="AIG96" s="45"/>
      <c r="AIH96" s="45"/>
      <c r="AII96" s="45"/>
      <c r="AIJ96" s="45"/>
      <c r="AIK96" s="45"/>
      <c r="AIL96" s="45"/>
      <c r="AIM96" s="45"/>
      <c r="AIN96" s="45"/>
      <c r="AIO96" s="45"/>
      <c r="AIP96" s="45"/>
      <c r="AIQ96" s="45"/>
      <c r="AIR96" s="45"/>
      <c r="AIS96" s="45"/>
      <c r="AIT96" s="45"/>
      <c r="AIU96" s="45"/>
      <c r="AIV96" s="45"/>
      <c r="AIW96" s="45"/>
      <c r="AIX96" s="45"/>
      <c r="AIY96" s="45"/>
      <c r="AIZ96" s="45"/>
      <c r="AJA96" s="45"/>
      <c r="AJB96" s="45"/>
      <c r="AJC96" s="45"/>
      <c r="AJD96" s="45"/>
      <c r="AJE96" s="45"/>
      <c r="AJF96" s="45"/>
      <c r="AJG96" s="45"/>
      <c r="AJH96" s="45"/>
      <c r="AJI96" s="45"/>
      <c r="AJJ96" s="45"/>
      <c r="AJK96" s="45"/>
      <c r="AJL96" s="45"/>
      <c r="AJM96" s="45"/>
      <c r="AJN96" s="45"/>
      <c r="AJO96" s="45"/>
      <c r="AJP96" s="45"/>
      <c r="AJQ96" s="45"/>
      <c r="AJR96" s="45"/>
      <c r="AJS96" s="45"/>
      <c r="AJT96" s="45"/>
      <c r="AJU96" s="45"/>
      <c r="AJV96" s="45"/>
      <c r="AJW96" s="45"/>
      <c r="AJX96" s="45"/>
      <c r="AJY96" s="45"/>
      <c r="AJZ96" s="45"/>
      <c r="AKA96" s="45"/>
      <c r="AKB96" s="45"/>
      <c r="AKC96" s="45"/>
      <c r="AKD96" s="45"/>
      <c r="AKE96" s="45"/>
      <c r="AKF96" s="45"/>
      <c r="AKG96" s="45"/>
      <c r="AKH96" s="45"/>
      <c r="AKI96" s="45"/>
      <c r="AKJ96" s="45"/>
      <c r="AKK96" s="45"/>
      <c r="AKL96" s="45"/>
      <c r="AKM96" s="45"/>
      <c r="AKN96" s="45"/>
      <c r="AKO96" s="45"/>
      <c r="AKP96" s="45"/>
      <c r="AKQ96" s="45"/>
      <c r="AKR96" s="45"/>
      <c r="AKS96" s="45"/>
      <c r="AKT96" s="45"/>
      <c r="AKU96" s="45"/>
      <c r="AKV96" s="45"/>
      <c r="AKW96" s="45"/>
      <c r="AKX96" s="45"/>
      <c r="AKY96" s="45"/>
      <c r="AKZ96" s="45"/>
      <c r="ALA96" s="45"/>
      <c r="ALB96" s="45"/>
      <c r="ALC96" s="45"/>
      <c r="ALD96" s="45"/>
      <c r="ALE96" s="45"/>
      <c r="ALF96" s="45"/>
      <c r="ALG96" s="45"/>
      <c r="ALH96" s="45"/>
      <c r="ALI96" s="45"/>
      <c r="ALJ96" s="45"/>
      <c r="ALK96" s="45"/>
      <c r="ALL96" s="45"/>
      <c r="ALM96" s="45"/>
      <c r="ALN96" s="45"/>
      <c r="ALO96" s="45"/>
      <c r="ALP96" s="45"/>
      <c r="ALQ96" s="45"/>
      <c r="ALR96" s="45"/>
      <c r="ALS96" s="45"/>
      <c r="ALT96" s="45"/>
      <c r="ALU96" s="45"/>
      <c r="ALV96" s="45"/>
      <c r="ALW96" s="45"/>
      <c r="ALX96" s="45"/>
      <c r="ALY96" s="45"/>
      <c r="ALZ96" s="45"/>
      <c r="AMA96" s="45"/>
      <c r="AMB96" s="45"/>
      <c r="AMC96" s="45"/>
      <c r="AMD96" s="45"/>
      <c r="AME96" s="45"/>
      <c r="AMF96" s="45"/>
      <c r="AMG96" s="45"/>
      <c r="AMH96" s="45"/>
      <c r="AMI96" s="45"/>
      <c r="AMJ96" s="45"/>
      <c r="AMK96" s="45"/>
      <c r="AML96" s="45"/>
      <c r="AMM96" s="45"/>
      <c r="AMN96" s="45"/>
      <c r="AMO96" s="45"/>
      <c r="AMP96" s="45"/>
      <c r="AMQ96" s="45"/>
      <c r="AMR96" s="45"/>
      <c r="AMS96" s="45"/>
      <c r="AMT96" s="45"/>
      <c r="AMU96" s="45"/>
      <c r="AMV96" s="45"/>
      <c r="AMW96" s="45"/>
      <c r="AMX96" s="45"/>
      <c r="AMY96" s="45"/>
      <c r="AMZ96" s="45"/>
      <c r="ANA96" s="45"/>
      <c r="ANB96" s="45"/>
      <c r="ANC96" s="45"/>
      <c r="AND96" s="45"/>
      <c r="ANE96" s="45"/>
      <c r="ANF96" s="45"/>
      <c r="ANG96" s="45"/>
      <c r="ANH96" s="45"/>
      <c r="ANI96" s="45"/>
      <c r="ANJ96" s="45"/>
      <c r="ANK96" s="45"/>
      <c r="ANL96" s="45"/>
      <c r="ANM96" s="45"/>
      <c r="ANN96" s="45"/>
      <c r="ANO96" s="45"/>
      <c r="ANP96" s="45"/>
      <c r="ANQ96" s="45"/>
      <c r="ANR96" s="45"/>
      <c r="ANS96" s="45"/>
      <c r="ANT96" s="45"/>
      <c r="ANU96" s="45"/>
      <c r="ANV96" s="45"/>
      <c r="ANW96" s="45"/>
      <c r="ANX96" s="45"/>
      <c r="ANY96" s="45"/>
      <c r="ANZ96" s="45"/>
      <c r="AOA96" s="45"/>
      <c r="AOB96" s="45"/>
      <c r="AOC96" s="45"/>
      <c r="AOD96" s="45"/>
      <c r="AOE96" s="45"/>
      <c r="AOF96" s="45"/>
      <c r="AOG96" s="45"/>
      <c r="AOH96" s="45"/>
      <c r="AOI96" s="45"/>
      <c r="AOJ96" s="45"/>
      <c r="AOK96" s="45"/>
      <c r="AOL96" s="45"/>
      <c r="AOM96" s="45"/>
      <c r="AON96" s="45"/>
      <c r="AOO96" s="45"/>
      <c r="AOP96" s="45"/>
      <c r="AOQ96" s="45"/>
      <c r="AOR96" s="45"/>
      <c r="AOS96" s="45"/>
      <c r="AOT96" s="45"/>
      <c r="AOU96" s="45"/>
      <c r="AOV96" s="45"/>
      <c r="AOW96" s="45"/>
      <c r="AOX96" s="45"/>
      <c r="AOY96" s="45"/>
      <c r="AOZ96" s="45"/>
      <c r="APA96" s="45"/>
      <c r="APB96" s="45"/>
      <c r="APC96" s="45"/>
      <c r="APD96" s="45"/>
      <c r="APE96" s="45"/>
      <c r="APF96" s="45"/>
      <c r="APG96" s="45"/>
      <c r="APH96" s="45"/>
      <c r="API96" s="45"/>
      <c r="APJ96" s="45"/>
      <c r="APK96" s="45"/>
      <c r="APL96" s="45"/>
      <c r="APM96" s="45"/>
      <c r="APN96" s="45"/>
      <c r="APO96" s="45"/>
      <c r="APP96" s="45"/>
      <c r="APQ96" s="45"/>
      <c r="APR96" s="45"/>
      <c r="APS96" s="45"/>
      <c r="APT96" s="45"/>
      <c r="APU96" s="45"/>
      <c r="APV96" s="45"/>
      <c r="APW96" s="45"/>
      <c r="APX96" s="45"/>
      <c r="APY96" s="45"/>
      <c r="APZ96" s="45"/>
      <c r="AQA96" s="45"/>
      <c r="AQB96" s="45"/>
      <c r="AQC96" s="45"/>
      <c r="AQD96" s="45"/>
      <c r="AQE96" s="45"/>
      <c r="AQF96" s="45"/>
      <c r="AQG96" s="45"/>
      <c r="AQH96" s="45"/>
      <c r="AQI96" s="45"/>
      <c r="AQJ96" s="45"/>
      <c r="AQK96" s="45"/>
      <c r="AQL96" s="45"/>
      <c r="AQM96" s="45"/>
      <c r="AQN96" s="45"/>
      <c r="AQO96" s="45"/>
      <c r="AQP96" s="45"/>
      <c r="AQQ96" s="45"/>
      <c r="AQR96" s="45"/>
      <c r="AQS96" s="45"/>
      <c r="AQT96" s="45"/>
      <c r="AQU96" s="45"/>
      <c r="AQV96" s="45"/>
      <c r="AQW96" s="45"/>
      <c r="AQX96" s="45"/>
      <c r="AQY96" s="45"/>
      <c r="AQZ96" s="45"/>
      <c r="ARA96" s="45"/>
      <c r="ARB96" s="45"/>
      <c r="ARC96" s="45"/>
      <c r="ARD96" s="45"/>
      <c r="ARE96" s="45"/>
      <c r="ARF96" s="45"/>
      <c r="ARG96" s="45"/>
      <c r="ARH96" s="45"/>
      <c r="ARI96" s="45"/>
      <c r="ARJ96" s="45"/>
      <c r="ARK96" s="45"/>
      <c r="ARL96" s="45"/>
      <c r="ARM96" s="45"/>
      <c r="ARN96" s="45"/>
      <c r="ARO96" s="45"/>
      <c r="ARP96" s="45"/>
      <c r="ARQ96" s="45"/>
      <c r="ARR96" s="45"/>
      <c r="ARS96" s="45"/>
      <c r="ART96" s="45"/>
      <c r="ARU96" s="45"/>
      <c r="ARV96" s="45"/>
      <c r="ARW96" s="45"/>
      <c r="ARX96" s="45"/>
      <c r="ARY96" s="45"/>
      <c r="ARZ96" s="45"/>
      <c r="ASA96" s="45"/>
      <c r="ASB96" s="45"/>
      <c r="ASC96" s="45"/>
      <c r="ASD96" s="45"/>
      <c r="ASE96" s="45"/>
      <c r="ASF96" s="45"/>
      <c r="ASG96" s="45"/>
      <c r="ASH96" s="45"/>
      <c r="ASI96" s="45"/>
      <c r="ASJ96" s="45"/>
      <c r="ASK96" s="45"/>
      <c r="ASL96" s="45"/>
      <c r="ASM96" s="45"/>
      <c r="ASN96" s="45"/>
      <c r="ASO96" s="45"/>
      <c r="ASP96" s="45"/>
      <c r="ASQ96" s="45"/>
      <c r="ASR96" s="45"/>
      <c r="ASS96" s="45"/>
      <c r="AST96" s="45"/>
      <c r="ASU96" s="45"/>
      <c r="ASV96" s="45"/>
      <c r="ASW96" s="45"/>
      <c r="ASX96" s="45"/>
      <c r="ASY96" s="45"/>
      <c r="ASZ96" s="45"/>
      <c r="ATA96" s="45"/>
      <c r="ATB96" s="45"/>
      <c r="ATC96" s="45"/>
      <c r="ATD96" s="45"/>
      <c r="ATE96" s="45"/>
      <c r="ATF96" s="45"/>
      <c r="ATG96" s="45"/>
      <c r="ATH96" s="45"/>
      <c r="ATI96" s="45"/>
      <c r="ATJ96" s="45"/>
      <c r="ATK96" s="45"/>
      <c r="ATL96" s="45"/>
      <c r="ATM96" s="45"/>
      <c r="ATN96" s="45"/>
      <c r="ATO96" s="45"/>
      <c r="ATP96" s="45"/>
      <c r="ATQ96" s="45"/>
      <c r="ATR96" s="45"/>
      <c r="ATS96" s="45"/>
      <c r="ATT96" s="45"/>
      <c r="ATU96" s="45"/>
      <c r="ATV96" s="45"/>
      <c r="ATW96" s="45"/>
      <c r="ATX96" s="45"/>
      <c r="ATY96" s="45"/>
      <c r="ATZ96" s="45"/>
      <c r="AUA96" s="45"/>
      <c r="AUB96" s="45"/>
      <c r="AUC96" s="45"/>
      <c r="AUD96" s="45"/>
      <c r="AUE96" s="45"/>
      <c r="AUF96" s="45"/>
      <c r="AUG96" s="45"/>
      <c r="AUH96" s="45"/>
      <c r="AUI96" s="45"/>
      <c r="AUJ96" s="45"/>
      <c r="AUK96" s="45"/>
      <c r="AUL96" s="45"/>
      <c r="AUM96" s="45"/>
      <c r="AUN96" s="45"/>
      <c r="AUO96" s="45"/>
      <c r="AUP96" s="45"/>
      <c r="AUQ96" s="45"/>
      <c r="AUR96" s="45"/>
      <c r="AUS96" s="45"/>
      <c r="AUT96" s="45"/>
      <c r="AUU96" s="45"/>
      <c r="AUV96" s="45"/>
      <c r="AUW96" s="45"/>
      <c r="AUX96" s="45"/>
      <c r="AUY96" s="45"/>
      <c r="AUZ96" s="45"/>
      <c r="AVA96" s="45"/>
      <c r="AVB96" s="45"/>
      <c r="AVC96" s="45"/>
      <c r="AVD96" s="45"/>
      <c r="AVE96" s="45"/>
      <c r="AVF96" s="45"/>
      <c r="AVG96" s="45"/>
      <c r="AVH96" s="45"/>
      <c r="AVI96" s="45"/>
      <c r="AVJ96" s="45"/>
      <c r="AVK96" s="45"/>
      <c r="AVL96" s="45"/>
      <c r="AVM96" s="45"/>
      <c r="AVN96" s="45"/>
      <c r="AVO96" s="45"/>
      <c r="AVP96" s="45"/>
      <c r="AVQ96" s="45"/>
      <c r="AVR96" s="45"/>
      <c r="AVS96" s="45"/>
      <c r="AVT96" s="45"/>
      <c r="AVU96" s="45"/>
      <c r="AVV96" s="45"/>
      <c r="AVW96" s="45"/>
      <c r="AVX96" s="45"/>
      <c r="AVY96" s="45"/>
      <c r="AVZ96" s="45"/>
      <c r="AWA96" s="45"/>
      <c r="AWB96" s="45"/>
      <c r="AWC96" s="45"/>
      <c r="AWD96" s="45"/>
      <c r="AWE96" s="45"/>
      <c r="AWF96" s="45"/>
      <c r="AWG96" s="45"/>
      <c r="AWH96" s="45"/>
      <c r="AWI96" s="45"/>
      <c r="AWJ96" s="45"/>
      <c r="AWK96" s="45"/>
      <c r="AWL96" s="45"/>
      <c r="AWM96" s="45"/>
      <c r="AWN96" s="45"/>
      <c r="AWO96" s="45"/>
      <c r="AWP96" s="45"/>
      <c r="AWQ96" s="45"/>
      <c r="AWR96" s="45"/>
      <c r="AWS96" s="45"/>
      <c r="AWT96" s="45"/>
      <c r="AWU96" s="45"/>
      <c r="AWV96" s="45"/>
      <c r="AWW96" s="45"/>
      <c r="AWX96" s="45"/>
      <c r="AWY96" s="45"/>
      <c r="AWZ96" s="45"/>
      <c r="AXA96" s="45"/>
      <c r="AXB96" s="45"/>
      <c r="AXC96" s="45"/>
      <c r="AXD96" s="45"/>
      <c r="AXE96" s="45"/>
      <c r="AXF96" s="45"/>
      <c r="AXG96" s="45"/>
      <c r="AXH96" s="45"/>
      <c r="AXI96" s="45"/>
      <c r="AXJ96" s="45"/>
      <c r="AXK96" s="45"/>
      <c r="AXL96" s="45"/>
      <c r="AXM96" s="45"/>
      <c r="AXN96" s="45"/>
      <c r="AXO96" s="45"/>
      <c r="AXP96" s="45"/>
      <c r="AXQ96" s="45"/>
      <c r="AXR96" s="45"/>
      <c r="AXS96" s="45"/>
      <c r="AXT96" s="45"/>
      <c r="AXU96" s="45"/>
      <c r="AXV96" s="45"/>
      <c r="AXW96" s="45"/>
      <c r="AXX96" s="45"/>
      <c r="AXY96" s="45"/>
      <c r="AXZ96" s="45"/>
      <c r="AYA96" s="45"/>
      <c r="AYB96" s="45"/>
      <c r="AYC96" s="45"/>
      <c r="AYD96" s="45"/>
      <c r="AYE96" s="45"/>
      <c r="AYF96" s="45"/>
      <c r="AYG96" s="45"/>
      <c r="AYH96" s="45"/>
      <c r="AYI96" s="45"/>
      <c r="AYJ96" s="45"/>
      <c r="AYK96" s="45"/>
      <c r="AYL96" s="45"/>
      <c r="AYM96" s="45"/>
      <c r="AYN96" s="45"/>
      <c r="AYO96" s="45"/>
      <c r="AYP96" s="45"/>
      <c r="AYQ96" s="45"/>
      <c r="AYR96" s="45"/>
      <c r="AYS96" s="45"/>
      <c r="AYT96" s="45"/>
      <c r="AYU96" s="45"/>
      <c r="AYV96" s="45"/>
      <c r="AYW96" s="45"/>
      <c r="AYX96" s="45"/>
      <c r="AYY96" s="45"/>
      <c r="AYZ96" s="45"/>
      <c r="AZA96" s="45"/>
      <c r="AZB96" s="45"/>
      <c r="AZC96" s="45"/>
      <c r="AZD96" s="45"/>
      <c r="AZE96" s="45"/>
      <c r="AZF96" s="45"/>
      <c r="AZG96" s="45"/>
      <c r="AZH96" s="45"/>
      <c r="AZI96" s="45"/>
      <c r="AZJ96" s="45"/>
      <c r="AZK96" s="45"/>
      <c r="AZL96" s="45"/>
      <c r="AZM96" s="45"/>
      <c r="AZN96" s="45"/>
      <c r="AZO96" s="45"/>
      <c r="AZP96" s="45"/>
      <c r="AZQ96" s="45"/>
      <c r="AZR96" s="45"/>
      <c r="AZS96" s="45"/>
      <c r="AZT96" s="45"/>
      <c r="AZU96" s="45"/>
      <c r="AZV96" s="45"/>
      <c r="AZW96" s="45"/>
      <c r="AZX96" s="45"/>
      <c r="AZY96" s="45"/>
      <c r="AZZ96" s="45"/>
      <c r="BAA96" s="45"/>
      <c r="BAB96" s="45"/>
      <c r="BAC96" s="45"/>
      <c r="BAD96" s="45"/>
      <c r="BAE96" s="45"/>
      <c r="BAF96" s="45"/>
      <c r="BAG96" s="45"/>
      <c r="BAH96" s="45"/>
      <c r="BAI96" s="45"/>
      <c r="BAJ96" s="45"/>
      <c r="BAK96" s="45"/>
      <c r="BAL96" s="45"/>
      <c r="BAM96" s="45"/>
      <c r="BAN96" s="45"/>
      <c r="BAO96" s="45"/>
      <c r="BAP96" s="45"/>
      <c r="BAQ96" s="45"/>
      <c r="BAR96" s="45"/>
      <c r="BAS96" s="45"/>
      <c r="BAT96" s="45"/>
      <c r="BAU96" s="45"/>
      <c r="BAV96" s="45"/>
      <c r="BAW96" s="45"/>
      <c r="BAX96" s="45"/>
      <c r="BAY96" s="45"/>
      <c r="BAZ96" s="45"/>
      <c r="BBA96" s="45"/>
      <c r="BBB96" s="45"/>
      <c r="BBC96" s="45"/>
      <c r="BBD96" s="45"/>
      <c r="BBE96" s="45"/>
      <c r="BBF96" s="45"/>
      <c r="BBG96" s="45"/>
      <c r="BBH96" s="45"/>
      <c r="BBI96" s="45"/>
      <c r="BBJ96" s="45"/>
      <c r="BBK96" s="45"/>
      <c r="BBL96" s="45"/>
      <c r="BBM96" s="45"/>
      <c r="BBN96" s="45"/>
      <c r="BBO96" s="45"/>
      <c r="BBP96" s="45"/>
      <c r="BBQ96" s="45"/>
      <c r="BBR96" s="45"/>
      <c r="BBS96" s="45"/>
      <c r="BBT96" s="45"/>
      <c r="BBU96" s="45"/>
      <c r="BBV96" s="45"/>
      <c r="BBW96" s="45"/>
      <c r="BBX96" s="45"/>
      <c r="BBY96" s="45"/>
      <c r="BBZ96" s="45"/>
      <c r="BCA96" s="45"/>
      <c r="BCB96" s="45"/>
      <c r="BCC96" s="45"/>
      <c r="BCD96" s="45"/>
      <c r="BCE96" s="45"/>
      <c r="BCF96" s="45"/>
      <c r="BCG96" s="45"/>
      <c r="BCH96" s="45"/>
      <c r="BCI96" s="45"/>
      <c r="BCJ96" s="45"/>
      <c r="BCK96" s="45"/>
      <c r="BCL96" s="45"/>
      <c r="BCM96" s="45"/>
      <c r="BCN96" s="45"/>
      <c r="BCO96" s="45"/>
      <c r="BCP96" s="45"/>
      <c r="BCQ96" s="45"/>
      <c r="BCR96" s="45"/>
      <c r="BCS96" s="45"/>
      <c r="BCT96" s="45"/>
      <c r="BCU96" s="45"/>
      <c r="BCV96" s="45"/>
      <c r="BCW96" s="45"/>
      <c r="BCX96" s="45"/>
      <c r="BCY96" s="45"/>
      <c r="BCZ96" s="45"/>
      <c r="BDA96" s="45"/>
      <c r="BDB96" s="45"/>
      <c r="BDC96" s="45"/>
      <c r="BDD96" s="45"/>
      <c r="BDE96" s="45"/>
      <c r="BDF96" s="45"/>
      <c r="BDG96" s="45"/>
      <c r="BDH96" s="45"/>
      <c r="BDI96" s="45"/>
      <c r="BDJ96" s="45"/>
      <c r="BDK96" s="45"/>
      <c r="BDL96" s="45"/>
      <c r="BDM96" s="45"/>
      <c r="BDN96" s="45"/>
      <c r="BDO96" s="45"/>
      <c r="BDP96" s="45"/>
      <c r="BDQ96" s="45"/>
      <c r="BDR96" s="45"/>
      <c r="BDS96" s="45"/>
      <c r="BDT96" s="45"/>
      <c r="BDU96" s="45"/>
      <c r="BDV96" s="45"/>
      <c r="BDW96" s="45"/>
      <c r="BDX96" s="45"/>
      <c r="BDY96" s="45"/>
      <c r="BDZ96" s="45"/>
      <c r="BEA96" s="45"/>
      <c r="BEB96" s="45"/>
      <c r="BEC96" s="45"/>
      <c r="BED96" s="45"/>
      <c r="BEE96" s="45"/>
      <c r="BEF96" s="45"/>
      <c r="BEG96" s="45"/>
      <c r="BEH96" s="45"/>
      <c r="BEI96" s="45"/>
      <c r="BEJ96" s="45"/>
      <c r="BEK96" s="45"/>
      <c r="BEL96" s="45"/>
      <c r="BEM96" s="45"/>
      <c r="BEN96" s="45"/>
      <c r="BEO96" s="45"/>
      <c r="BEP96" s="45"/>
      <c r="BEQ96" s="45"/>
      <c r="BER96" s="45"/>
      <c r="BES96" s="45"/>
      <c r="BET96" s="45"/>
      <c r="BEU96" s="45"/>
      <c r="BEV96" s="45"/>
      <c r="BEW96" s="45"/>
      <c r="BEX96" s="45"/>
      <c r="BEY96" s="45"/>
      <c r="BEZ96" s="45"/>
      <c r="BFA96" s="45"/>
      <c r="BFB96" s="45"/>
      <c r="BFC96" s="45"/>
      <c r="BFD96" s="45"/>
      <c r="BFE96" s="45"/>
      <c r="BFF96" s="45"/>
      <c r="BFG96" s="45"/>
      <c r="BFH96" s="45"/>
      <c r="BFI96" s="45"/>
      <c r="BFJ96" s="45"/>
      <c r="BFK96" s="45"/>
      <c r="BFL96" s="45"/>
      <c r="BFM96" s="45"/>
      <c r="BFN96" s="45"/>
      <c r="BFO96" s="45"/>
      <c r="BFP96" s="45"/>
      <c r="BFQ96" s="45"/>
      <c r="BFR96" s="45"/>
      <c r="BFS96" s="45"/>
      <c r="BFT96" s="45"/>
      <c r="BFU96" s="45"/>
      <c r="BFV96" s="45"/>
      <c r="BFW96" s="45"/>
      <c r="BFX96" s="45"/>
      <c r="BFY96" s="45"/>
      <c r="BFZ96" s="45"/>
      <c r="BGA96" s="45"/>
      <c r="BGB96" s="45"/>
      <c r="BGC96" s="45"/>
      <c r="BGD96" s="45"/>
      <c r="BGE96" s="45"/>
      <c r="BGF96" s="45"/>
      <c r="BGG96" s="45"/>
      <c r="BGH96" s="45"/>
      <c r="BGI96" s="45"/>
      <c r="BGJ96" s="45"/>
      <c r="BGK96" s="45"/>
      <c r="BGL96" s="45"/>
      <c r="BGM96" s="45"/>
      <c r="BGN96" s="45"/>
      <c r="BGO96" s="45"/>
      <c r="BGP96" s="45"/>
      <c r="BGQ96" s="45"/>
      <c r="BGR96" s="45"/>
      <c r="BGS96" s="45"/>
      <c r="BGT96" s="45"/>
      <c r="BGU96" s="45"/>
      <c r="BGV96" s="45"/>
      <c r="BGW96" s="45"/>
      <c r="BGX96" s="45"/>
      <c r="BGY96" s="45"/>
      <c r="BGZ96" s="45"/>
      <c r="BHA96" s="45"/>
      <c r="BHB96" s="45"/>
      <c r="BHC96" s="45"/>
      <c r="BHD96" s="45"/>
      <c r="BHE96" s="45"/>
      <c r="BHF96" s="45"/>
      <c r="BHG96" s="45"/>
      <c r="BHH96" s="45"/>
      <c r="BHI96" s="45"/>
      <c r="BHJ96" s="45"/>
      <c r="BHK96" s="45"/>
      <c r="BHL96" s="45"/>
      <c r="BHM96" s="45"/>
      <c r="BHN96" s="45"/>
      <c r="BHO96" s="45"/>
      <c r="BHP96" s="45"/>
      <c r="BHQ96" s="45"/>
      <c r="BHR96" s="45"/>
      <c r="BHS96" s="45"/>
      <c r="BHT96" s="45"/>
      <c r="BHU96" s="45"/>
      <c r="BHV96" s="45"/>
      <c r="BHW96" s="45"/>
      <c r="BHX96" s="45"/>
      <c r="BHY96" s="45"/>
      <c r="BHZ96" s="45"/>
      <c r="BIA96" s="45"/>
      <c r="BIB96" s="45"/>
      <c r="BIC96" s="45"/>
      <c r="BID96" s="45"/>
      <c r="BIE96" s="45"/>
      <c r="BIF96" s="45"/>
      <c r="BIG96" s="45"/>
      <c r="BIH96" s="45"/>
      <c r="BII96" s="45"/>
      <c r="BIJ96" s="45"/>
      <c r="BIK96" s="45"/>
      <c r="BIL96" s="45"/>
      <c r="BIM96" s="45"/>
      <c r="BIN96" s="45"/>
      <c r="BIO96" s="45"/>
      <c r="BIP96" s="45"/>
      <c r="BIQ96" s="45"/>
      <c r="BIR96" s="45"/>
      <c r="BIS96" s="45"/>
      <c r="BIT96" s="45"/>
      <c r="BIU96" s="45"/>
      <c r="BIV96" s="45"/>
      <c r="BIW96" s="45"/>
      <c r="BIX96" s="45"/>
      <c r="BIY96" s="45"/>
      <c r="BIZ96" s="45"/>
      <c r="BJA96" s="45"/>
      <c r="BJB96" s="45"/>
      <c r="BJC96" s="45"/>
      <c r="BJD96" s="45"/>
      <c r="BJE96" s="45"/>
      <c r="BJF96" s="45"/>
      <c r="BJG96" s="45"/>
      <c r="BJH96" s="45"/>
      <c r="BJI96" s="45"/>
      <c r="BJJ96" s="45"/>
      <c r="BJK96" s="45"/>
      <c r="BJL96" s="45"/>
      <c r="BJM96" s="45"/>
      <c r="BJN96" s="45"/>
      <c r="BJO96" s="45"/>
      <c r="BJP96" s="45"/>
      <c r="BJQ96" s="45"/>
      <c r="BJR96" s="45"/>
      <c r="BJS96" s="45"/>
      <c r="BJT96" s="45"/>
      <c r="BJU96" s="45"/>
      <c r="BJV96" s="45"/>
      <c r="BJW96" s="45"/>
      <c r="BJX96" s="45"/>
      <c r="BJY96" s="45"/>
      <c r="BJZ96" s="45"/>
      <c r="BKA96" s="45"/>
      <c r="BKB96" s="45"/>
      <c r="BKC96" s="45"/>
      <c r="BKD96" s="45"/>
      <c r="BKE96" s="45"/>
      <c r="BKF96" s="45"/>
      <c r="BKG96" s="45"/>
      <c r="BKH96" s="45"/>
      <c r="BKI96" s="45"/>
      <c r="BKJ96" s="45"/>
      <c r="BKK96" s="45"/>
      <c r="BKL96" s="45"/>
      <c r="BKM96" s="45"/>
      <c r="BKN96" s="45"/>
      <c r="BKO96" s="45"/>
      <c r="BKP96" s="45"/>
      <c r="BKQ96" s="45"/>
      <c r="BKR96" s="45"/>
      <c r="BKS96" s="45"/>
      <c r="BKT96" s="45"/>
      <c r="BKU96" s="45"/>
      <c r="BKV96" s="45"/>
      <c r="BKW96" s="45"/>
      <c r="BKX96" s="45"/>
      <c r="BKY96" s="45"/>
      <c r="BKZ96" s="45"/>
      <c r="BLA96" s="45"/>
      <c r="BLB96" s="45"/>
      <c r="BLC96" s="45"/>
      <c r="BLD96" s="45"/>
      <c r="BLE96" s="45"/>
      <c r="BLF96" s="45"/>
      <c r="BLG96" s="45"/>
      <c r="BLH96" s="45"/>
      <c r="BLI96" s="45"/>
      <c r="BLJ96" s="45"/>
      <c r="BLK96" s="45"/>
      <c r="BLL96" s="45"/>
      <c r="BLM96" s="45"/>
      <c r="BLN96" s="45"/>
      <c r="BLO96" s="45"/>
      <c r="BLP96" s="45"/>
      <c r="BLQ96" s="45"/>
      <c r="BLR96" s="45"/>
      <c r="BLS96" s="45"/>
      <c r="BLT96" s="45"/>
      <c r="BLU96" s="45"/>
      <c r="BLV96" s="45"/>
      <c r="BLW96" s="45"/>
      <c r="BLX96" s="45"/>
      <c r="BLY96" s="45"/>
      <c r="BLZ96" s="45"/>
      <c r="BMA96" s="45"/>
      <c r="BMB96" s="45"/>
      <c r="BMC96" s="45"/>
      <c r="BMD96" s="45"/>
      <c r="BME96" s="45"/>
      <c r="BMF96" s="45"/>
      <c r="BMG96" s="45"/>
      <c r="BMH96" s="45"/>
      <c r="BMI96" s="45"/>
      <c r="BMJ96" s="45"/>
      <c r="BMK96" s="45"/>
      <c r="BML96" s="45"/>
      <c r="BMM96" s="45"/>
      <c r="BMN96" s="45"/>
      <c r="BMO96" s="45"/>
      <c r="BMP96" s="45"/>
      <c r="BMQ96" s="45"/>
      <c r="BMR96" s="45"/>
      <c r="BMS96" s="45"/>
      <c r="BMT96" s="45"/>
      <c r="BMU96" s="45"/>
      <c r="BMV96" s="45"/>
      <c r="BMW96" s="45"/>
      <c r="BMX96" s="45"/>
      <c r="BMY96" s="45"/>
      <c r="BMZ96" s="45"/>
      <c r="BNA96" s="45"/>
      <c r="BNB96" s="45"/>
      <c r="BNC96" s="45"/>
      <c r="BND96" s="45"/>
      <c r="BNE96" s="45"/>
      <c r="BNF96" s="45"/>
      <c r="BNG96" s="45"/>
      <c r="BNH96" s="45"/>
      <c r="BNI96" s="45"/>
      <c r="BNJ96" s="45"/>
      <c r="BNK96" s="45"/>
      <c r="BNL96" s="45"/>
      <c r="BNM96" s="45"/>
      <c r="BNN96" s="45"/>
      <c r="BNO96" s="45"/>
      <c r="BNP96" s="45"/>
      <c r="BNQ96" s="45"/>
      <c r="BNR96" s="45"/>
      <c r="BNS96" s="45"/>
      <c r="BNT96" s="45"/>
      <c r="BNU96" s="45"/>
      <c r="BNV96" s="45"/>
      <c r="BNW96" s="45"/>
      <c r="BNX96" s="45"/>
      <c r="BNY96" s="45"/>
      <c r="BNZ96" s="45"/>
      <c r="BOA96" s="45"/>
      <c r="BOB96" s="45"/>
      <c r="BOC96" s="45"/>
      <c r="BOD96" s="45"/>
      <c r="BOE96" s="45"/>
      <c r="BOF96" s="45"/>
      <c r="BOG96" s="45"/>
      <c r="BOH96" s="45"/>
      <c r="BOI96" s="45"/>
      <c r="BOJ96" s="45"/>
      <c r="BOK96" s="45"/>
      <c r="BOL96" s="45"/>
      <c r="BOM96" s="45"/>
      <c r="BON96" s="45"/>
      <c r="BOO96" s="45"/>
      <c r="BOP96" s="45"/>
      <c r="BOQ96" s="45"/>
      <c r="BOR96" s="45"/>
      <c r="BOS96" s="45"/>
      <c r="BOT96" s="45"/>
      <c r="BOU96" s="45"/>
      <c r="BOV96" s="45"/>
      <c r="BOW96" s="45"/>
      <c r="BOX96" s="45"/>
      <c r="BOY96" s="45"/>
      <c r="BOZ96" s="45"/>
      <c r="BPA96" s="45"/>
      <c r="BPB96" s="45"/>
      <c r="BPC96" s="45"/>
      <c r="BPD96" s="45"/>
      <c r="BPE96" s="45"/>
      <c r="BPF96" s="45"/>
      <c r="BPG96" s="45"/>
      <c r="BPH96" s="45"/>
      <c r="BPI96" s="45"/>
      <c r="BPJ96" s="45"/>
      <c r="BPK96" s="45"/>
      <c r="BPL96" s="45"/>
      <c r="BPM96" s="45"/>
      <c r="BPN96" s="45"/>
      <c r="BPO96" s="45"/>
      <c r="BPP96" s="45"/>
      <c r="BPQ96" s="45"/>
      <c r="BPR96" s="45"/>
      <c r="BPS96" s="45"/>
      <c r="BPT96" s="45"/>
      <c r="BPU96" s="45"/>
      <c r="BPV96" s="45"/>
      <c r="BPW96" s="45"/>
      <c r="BPX96" s="45"/>
      <c r="BPY96" s="45"/>
      <c r="BPZ96" s="45"/>
      <c r="BQA96" s="45"/>
      <c r="BQB96" s="45"/>
      <c r="BQC96" s="45"/>
      <c r="BQD96" s="45"/>
      <c r="BQE96" s="45"/>
      <c r="BQF96" s="45"/>
      <c r="BQG96" s="45"/>
      <c r="BQH96" s="45"/>
      <c r="BQI96" s="45"/>
      <c r="BQJ96" s="45"/>
      <c r="BQK96" s="45"/>
      <c r="BQL96" s="45"/>
      <c r="BQM96" s="45"/>
      <c r="BQN96" s="45"/>
      <c r="BQO96" s="45"/>
      <c r="BQP96" s="45"/>
      <c r="BQQ96" s="45"/>
      <c r="BQR96" s="45"/>
      <c r="BQS96" s="45"/>
      <c r="BQT96" s="45"/>
      <c r="BQU96" s="45"/>
      <c r="BQV96" s="45"/>
      <c r="BQW96" s="45"/>
      <c r="BQX96" s="45"/>
      <c r="BQY96" s="45"/>
      <c r="BQZ96" s="45"/>
      <c r="BRA96" s="45"/>
      <c r="BRB96" s="45"/>
      <c r="BRC96" s="45"/>
      <c r="BRD96" s="45"/>
      <c r="BRE96" s="45"/>
      <c r="BRF96" s="45"/>
      <c r="BRG96" s="45"/>
      <c r="BRH96" s="45"/>
      <c r="BRI96" s="45"/>
      <c r="BRJ96" s="45"/>
      <c r="BRK96" s="45"/>
      <c r="BRL96" s="45"/>
      <c r="BRM96" s="45"/>
      <c r="BRN96" s="45"/>
      <c r="BRO96" s="45"/>
      <c r="BRP96" s="45"/>
      <c r="BRQ96" s="45"/>
      <c r="BRR96" s="45"/>
      <c r="BRS96" s="45"/>
      <c r="BRT96" s="45"/>
      <c r="BRU96" s="45"/>
      <c r="BRV96" s="45"/>
      <c r="BRW96" s="45"/>
      <c r="BRX96" s="45"/>
      <c r="BRY96" s="45"/>
      <c r="BRZ96" s="45"/>
      <c r="BSA96" s="45"/>
      <c r="BSB96" s="45"/>
      <c r="BSC96" s="45"/>
      <c r="BSD96" s="45"/>
      <c r="BSE96" s="45"/>
      <c r="BSF96" s="45"/>
      <c r="BSG96" s="45"/>
      <c r="BSH96" s="45"/>
      <c r="BSI96" s="45"/>
      <c r="BSJ96" s="45"/>
      <c r="BSK96" s="45"/>
      <c r="BSL96" s="45"/>
      <c r="BSM96" s="45"/>
      <c r="BSN96" s="45"/>
      <c r="BSO96" s="45"/>
      <c r="BSP96" s="45"/>
      <c r="BSQ96" s="45"/>
      <c r="BSR96" s="45"/>
      <c r="BSS96" s="45"/>
      <c r="BST96" s="45"/>
      <c r="BSU96" s="45"/>
      <c r="BSV96" s="45"/>
      <c r="BSW96" s="45"/>
      <c r="BSX96" s="45"/>
      <c r="BSY96" s="45"/>
      <c r="BSZ96" s="45"/>
      <c r="BTA96" s="45"/>
      <c r="BTB96" s="45"/>
      <c r="BTC96" s="45"/>
      <c r="BTD96" s="45"/>
      <c r="BTE96" s="45"/>
      <c r="BTF96" s="45"/>
      <c r="BTG96" s="45"/>
      <c r="BTH96" s="45"/>
      <c r="BTI96" s="45"/>
      <c r="BTJ96" s="45"/>
      <c r="BTK96" s="45"/>
      <c r="BTL96" s="45"/>
      <c r="BTM96" s="45"/>
      <c r="BTN96" s="45"/>
      <c r="BTO96" s="45"/>
      <c r="BTP96" s="45"/>
      <c r="BTQ96" s="45"/>
      <c r="BTR96" s="45"/>
      <c r="BTS96" s="45"/>
      <c r="BTT96" s="45"/>
      <c r="BTU96" s="45"/>
      <c r="BTV96" s="45"/>
      <c r="BTW96" s="45"/>
      <c r="BTX96" s="45"/>
      <c r="BTY96" s="45"/>
      <c r="BTZ96" s="45"/>
      <c r="BUA96" s="45"/>
      <c r="BUB96" s="45"/>
      <c r="BUC96" s="45"/>
      <c r="BUD96" s="45"/>
      <c r="BUE96" s="45"/>
      <c r="BUF96" s="45"/>
      <c r="BUG96" s="45"/>
      <c r="BUH96" s="45"/>
      <c r="BUI96" s="45"/>
      <c r="BUJ96" s="45"/>
      <c r="BUK96" s="45"/>
      <c r="BUL96" s="45"/>
      <c r="BUM96" s="45"/>
      <c r="BUN96" s="45"/>
      <c r="BUO96" s="45"/>
      <c r="BUP96" s="45"/>
      <c r="BUQ96" s="45"/>
      <c r="BUR96" s="45"/>
      <c r="BUS96" s="45"/>
      <c r="BUT96" s="45"/>
      <c r="BUU96" s="45"/>
      <c r="BUV96" s="45"/>
      <c r="BUW96" s="45"/>
      <c r="BUX96" s="45"/>
      <c r="BUY96" s="45"/>
      <c r="BUZ96" s="45"/>
      <c r="BVA96" s="45"/>
      <c r="BVB96" s="45"/>
      <c r="BVC96" s="45"/>
      <c r="BVD96" s="45"/>
      <c r="BVE96" s="45"/>
      <c r="BVF96" s="45"/>
      <c r="BVG96" s="45"/>
      <c r="BVH96" s="45"/>
      <c r="BVI96" s="45"/>
      <c r="BVJ96" s="45"/>
      <c r="BVK96" s="45"/>
      <c r="BVL96" s="45"/>
      <c r="BVM96" s="45"/>
      <c r="BVN96" s="45"/>
      <c r="BVO96" s="45"/>
      <c r="BVP96" s="45"/>
      <c r="BVQ96" s="45"/>
      <c r="BVR96" s="45"/>
      <c r="BVS96" s="45"/>
      <c r="BVT96" s="45"/>
      <c r="BVU96" s="45"/>
      <c r="BVV96" s="45"/>
      <c r="BVW96" s="45"/>
      <c r="BVX96" s="45"/>
      <c r="BVY96" s="45"/>
      <c r="BVZ96" s="45"/>
      <c r="BWA96" s="45"/>
      <c r="BWB96" s="45"/>
      <c r="BWC96" s="45"/>
      <c r="BWD96" s="45"/>
      <c r="BWE96" s="45"/>
      <c r="BWF96" s="45"/>
      <c r="BWG96" s="45"/>
      <c r="BWH96" s="45"/>
      <c r="BWI96" s="45"/>
      <c r="BWJ96" s="45"/>
      <c r="BWK96" s="45"/>
      <c r="BWL96" s="45"/>
      <c r="BWM96" s="45"/>
      <c r="BWN96" s="45"/>
      <c r="BWO96" s="45"/>
      <c r="BWP96" s="45"/>
      <c r="BWQ96" s="45"/>
      <c r="BWR96" s="45"/>
      <c r="BWS96" s="45"/>
      <c r="BWT96" s="45"/>
      <c r="BWU96" s="45"/>
      <c r="BWV96" s="45"/>
      <c r="BWW96" s="45"/>
      <c r="BWX96" s="45"/>
      <c r="BWY96" s="45"/>
      <c r="BWZ96" s="45"/>
      <c r="BXA96" s="45"/>
      <c r="BXB96" s="45"/>
      <c r="BXC96" s="45"/>
      <c r="BXD96" s="45"/>
      <c r="BXE96" s="45"/>
      <c r="BXF96" s="45"/>
      <c r="BXG96" s="45"/>
      <c r="BXH96" s="45"/>
      <c r="BXI96" s="45"/>
      <c r="BXJ96" s="45"/>
      <c r="BXK96" s="45"/>
      <c r="BXL96" s="45"/>
      <c r="BXM96" s="45"/>
      <c r="BXN96" s="45"/>
      <c r="BXO96" s="45"/>
      <c r="BXP96" s="45"/>
      <c r="BXQ96" s="45"/>
      <c r="BXR96" s="45"/>
      <c r="BXS96" s="45"/>
      <c r="BXT96" s="45"/>
      <c r="BXU96" s="45"/>
      <c r="BXV96" s="45"/>
      <c r="BXW96" s="45"/>
      <c r="BXX96" s="45"/>
      <c r="BXY96" s="45"/>
      <c r="BXZ96" s="45"/>
      <c r="BYA96" s="45"/>
      <c r="BYB96" s="45"/>
      <c r="BYC96" s="45"/>
      <c r="BYD96" s="45"/>
      <c r="BYE96" s="45"/>
      <c r="BYF96" s="45"/>
      <c r="BYG96" s="45"/>
      <c r="BYH96" s="45"/>
      <c r="BYI96" s="45"/>
      <c r="BYJ96" s="45"/>
      <c r="BYK96" s="45"/>
      <c r="BYL96" s="45"/>
      <c r="BYM96" s="45"/>
      <c r="BYN96" s="45"/>
      <c r="BYO96" s="45"/>
      <c r="BYP96" s="45"/>
      <c r="BYQ96" s="45"/>
      <c r="BYR96" s="45"/>
      <c r="BYS96" s="45"/>
      <c r="BYT96" s="45"/>
      <c r="BYU96" s="45"/>
      <c r="BYV96" s="45"/>
      <c r="BYW96" s="45"/>
      <c r="BYX96" s="45"/>
      <c r="BYY96" s="45"/>
      <c r="BYZ96" s="45"/>
      <c r="BZA96" s="45"/>
      <c r="BZB96" s="45"/>
      <c r="BZC96" s="45"/>
      <c r="BZD96" s="45"/>
      <c r="BZE96" s="45"/>
      <c r="BZF96" s="45"/>
      <c r="BZG96" s="45"/>
      <c r="BZH96" s="45"/>
      <c r="BZI96" s="45"/>
      <c r="BZJ96" s="45"/>
      <c r="BZK96" s="45"/>
      <c r="BZL96" s="45"/>
      <c r="BZM96" s="45"/>
      <c r="BZN96" s="45"/>
      <c r="BZO96" s="45"/>
      <c r="BZP96" s="45"/>
      <c r="BZQ96" s="45"/>
      <c r="BZR96" s="45"/>
      <c r="BZS96" s="45"/>
      <c r="BZT96" s="45"/>
      <c r="BZU96" s="45"/>
      <c r="BZV96" s="45"/>
      <c r="BZW96" s="45"/>
      <c r="BZX96" s="45"/>
      <c r="BZY96" s="45"/>
      <c r="BZZ96" s="45"/>
      <c r="CAA96" s="45"/>
      <c r="CAB96" s="45"/>
      <c r="CAC96" s="45"/>
      <c r="CAD96" s="45"/>
      <c r="CAE96" s="45"/>
      <c r="CAF96" s="45"/>
      <c r="CAG96" s="45"/>
      <c r="CAH96" s="45"/>
      <c r="CAI96" s="45"/>
      <c r="CAJ96" s="45"/>
      <c r="CAK96" s="45"/>
      <c r="CAL96" s="45"/>
      <c r="CAM96" s="45"/>
      <c r="CAN96" s="45"/>
      <c r="CAO96" s="45"/>
      <c r="CAP96" s="45"/>
      <c r="CAQ96" s="45"/>
      <c r="CAR96" s="45"/>
      <c r="CAS96" s="45"/>
      <c r="CAT96" s="45"/>
      <c r="CAU96" s="45"/>
      <c r="CAV96" s="45"/>
      <c r="CAW96" s="45"/>
      <c r="CAX96" s="45"/>
      <c r="CAY96" s="45"/>
      <c r="CAZ96" s="45"/>
      <c r="CBA96" s="45"/>
      <c r="CBB96" s="45"/>
      <c r="CBC96" s="45"/>
      <c r="CBD96" s="45"/>
      <c r="CBE96" s="45"/>
      <c r="CBF96" s="45"/>
      <c r="CBG96" s="45"/>
      <c r="CBH96" s="45"/>
    </row>
    <row r="97" spans="1:16372" x14ac:dyDescent="0.2">
      <c r="A97" s="16" t="s">
        <v>184</v>
      </c>
      <c r="B97" s="32">
        <f t="shared" ref="B97" si="10">EDATE(B2, 24)</f>
        <v>731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  <c r="GL97" s="45"/>
      <c r="GM97" s="45"/>
      <c r="GN97" s="45"/>
      <c r="GO97" s="45"/>
      <c r="GP97" s="45"/>
      <c r="GQ97" s="45"/>
      <c r="GR97" s="45"/>
      <c r="GS97" s="45"/>
      <c r="GT97" s="45"/>
      <c r="GU97" s="45"/>
      <c r="GV97" s="45"/>
      <c r="GW97" s="45"/>
      <c r="GX97" s="45"/>
      <c r="GY97" s="45"/>
      <c r="GZ97" s="45"/>
      <c r="HA97" s="45"/>
      <c r="HB97" s="45"/>
      <c r="HC97" s="45"/>
      <c r="HD97" s="45"/>
      <c r="HE97" s="45"/>
      <c r="HF97" s="45"/>
      <c r="HG97" s="45"/>
      <c r="HH97" s="45"/>
      <c r="HI97" s="45"/>
      <c r="HJ97" s="45"/>
      <c r="HK97" s="45"/>
      <c r="HL97" s="45"/>
      <c r="HM97" s="45"/>
      <c r="HN97" s="45"/>
      <c r="HO97" s="45"/>
      <c r="HP97" s="45"/>
      <c r="HQ97" s="45"/>
      <c r="HR97" s="45"/>
      <c r="HS97" s="45"/>
      <c r="HT97" s="45"/>
      <c r="HU97" s="45"/>
      <c r="HV97" s="45"/>
      <c r="HW97" s="45"/>
      <c r="HX97" s="45"/>
      <c r="HY97" s="45"/>
      <c r="HZ97" s="45"/>
      <c r="IA97" s="45"/>
      <c r="IB97" s="45"/>
      <c r="IC97" s="45"/>
      <c r="ID97" s="45"/>
      <c r="IE97" s="45"/>
      <c r="IF97" s="45"/>
      <c r="IG97" s="45"/>
      <c r="IH97" s="45"/>
      <c r="II97" s="45"/>
      <c r="IJ97" s="45"/>
      <c r="IK97" s="45"/>
      <c r="IL97" s="45"/>
      <c r="IM97" s="45"/>
      <c r="IN97" s="45"/>
      <c r="IO97" s="45"/>
      <c r="IP97" s="45"/>
      <c r="IQ97" s="45"/>
      <c r="IR97" s="45"/>
      <c r="IS97" s="45"/>
      <c r="IT97" s="45"/>
      <c r="IU97" s="45"/>
      <c r="IV97" s="45"/>
      <c r="IW97" s="45"/>
      <c r="IX97" s="45"/>
      <c r="IY97" s="45"/>
      <c r="IZ97" s="45"/>
      <c r="JA97" s="45"/>
      <c r="JB97" s="45"/>
      <c r="JC97" s="45"/>
      <c r="JD97" s="45"/>
      <c r="JE97" s="45"/>
      <c r="JF97" s="45"/>
      <c r="JG97" s="45"/>
      <c r="JH97" s="45"/>
      <c r="JI97" s="45"/>
      <c r="JJ97" s="45"/>
      <c r="JK97" s="45"/>
      <c r="JL97" s="45"/>
      <c r="JM97" s="45"/>
      <c r="JN97" s="45"/>
      <c r="JO97" s="45"/>
      <c r="JP97" s="45"/>
      <c r="JQ97" s="45"/>
      <c r="JR97" s="45"/>
      <c r="JS97" s="45"/>
      <c r="JT97" s="45"/>
      <c r="JU97" s="45"/>
      <c r="JV97" s="45"/>
      <c r="JW97" s="45"/>
      <c r="JX97" s="45"/>
      <c r="JY97" s="45"/>
      <c r="JZ97" s="45"/>
      <c r="KA97" s="45"/>
      <c r="KB97" s="45"/>
      <c r="KC97" s="45"/>
      <c r="KD97" s="45"/>
      <c r="KE97" s="45"/>
      <c r="KF97" s="45"/>
      <c r="KG97" s="45"/>
      <c r="KH97" s="45"/>
      <c r="KI97" s="45"/>
      <c r="KJ97" s="45"/>
      <c r="KK97" s="45"/>
      <c r="KL97" s="45"/>
      <c r="KM97" s="45"/>
      <c r="KN97" s="45"/>
      <c r="KO97" s="45"/>
      <c r="KP97" s="45"/>
      <c r="KQ97" s="45"/>
      <c r="KR97" s="45"/>
      <c r="KS97" s="45"/>
      <c r="KT97" s="45"/>
      <c r="KU97" s="45"/>
      <c r="KV97" s="45"/>
      <c r="KW97" s="45"/>
      <c r="KX97" s="45"/>
      <c r="KY97" s="45"/>
      <c r="KZ97" s="45"/>
      <c r="LA97" s="45"/>
      <c r="LB97" s="45"/>
      <c r="LC97" s="45"/>
      <c r="LD97" s="45"/>
      <c r="LE97" s="45"/>
      <c r="LF97" s="45"/>
      <c r="LG97" s="45"/>
      <c r="LH97" s="45"/>
      <c r="LI97" s="45"/>
      <c r="LJ97" s="45"/>
      <c r="LK97" s="45"/>
      <c r="LL97" s="45"/>
      <c r="LM97" s="45"/>
      <c r="LN97" s="45"/>
      <c r="LO97" s="45"/>
      <c r="LP97" s="45"/>
      <c r="LQ97" s="45"/>
      <c r="LR97" s="45"/>
      <c r="LS97" s="45"/>
      <c r="LT97" s="45"/>
      <c r="LU97" s="45"/>
      <c r="LV97" s="45"/>
      <c r="LW97" s="45"/>
      <c r="LX97" s="45"/>
      <c r="LY97" s="45"/>
      <c r="LZ97" s="45"/>
      <c r="MA97" s="45"/>
      <c r="MB97" s="45"/>
      <c r="MC97" s="45"/>
      <c r="MD97" s="45"/>
      <c r="ME97" s="45"/>
      <c r="MF97" s="45"/>
      <c r="MG97" s="45"/>
      <c r="MH97" s="45"/>
      <c r="MI97" s="45"/>
      <c r="MJ97" s="45"/>
      <c r="MK97" s="45"/>
      <c r="ML97" s="45"/>
      <c r="MM97" s="45"/>
      <c r="MN97" s="45"/>
    </row>
    <row r="98" spans="1:16372" s="47" customFormat="1" x14ac:dyDescent="0.2">
      <c r="A98" s="1" t="s">
        <v>87</v>
      </c>
      <c r="B98" s="5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  <c r="MG98" s="15"/>
      <c r="MH98" s="15"/>
      <c r="MI98" s="15"/>
      <c r="MJ98" s="15"/>
      <c r="MK98" s="15"/>
      <c r="ML98" s="15"/>
      <c r="MM98" s="15"/>
      <c r="MN98" s="15"/>
      <c r="MO98" s="15"/>
      <c r="MP98" s="15"/>
      <c r="MQ98" s="15"/>
      <c r="MR98" s="15"/>
      <c r="MS98" s="15"/>
      <c r="MT98" s="15"/>
      <c r="MU98" s="15"/>
      <c r="MV98" s="15"/>
      <c r="MW98" s="15"/>
      <c r="MX98" s="15"/>
      <c r="MY98" s="15"/>
      <c r="MZ98" s="15"/>
      <c r="NA98" s="15"/>
      <c r="NB98" s="15"/>
      <c r="NC98" s="15"/>
      <c r="ND98" s="15"/>
      <c r="NE98" s="15"/>
      <c r="NF98" s="15"/>
      <c r="NG98" s="15"/>
      <c r="NH98" s="15"/>
      <c r="NI98" s="15"/>
      <c r="NJ98" s="15"/>
      <c r="NK98" s="15"/>
      <c r="NL98" s="15"/>
      <c r="NM98" s="15"/>
      <c r="NN98" s="15"/>
      <c r="NO98" s="15"/>
      <c r="NP98" s="15"/>
      <c r="NQ98" s="15"/>
      <c r="NR98" s="15"/>
      <c r="NS98" s="15"/>
      <c r="NT98" s="15"/>
      <c r="NU98" s="15"/>
      <c r="NV98" s="15"/>
      <c r="NW98" s="15"/>
      <c r="NX98" s="15"/>
      <c r="NY98" s="15"/>
      <c r="NZ98" s="15"/>
      <c r="OA98" s="15"/>
      <c r="OB98" s="15"/>
      <c r="OC98" s="15"/>
      <c r="OD98" s="15"/>
      <c r="OE98" s="15"/>
      <c r="OF98" s="15"/>
      <c r="OG98" s="15"/>
      <c r="OH98" s="15"/>
      <c r="OI98" s="15"/>
      <c r="OJ98" s="15"/>
      <c r="OK98" s="15"/>
      <c r="OL98" s="15"/>
      <c r="OM98" s="15"/>
      <c r="ON98" s="15"/>
      <c r="OO98" s="15"/>
      <c r="OP98" s="15"/>
      <c r="OQ98" s="15"/>
      <c r="OR98" s="15"/>
      <c r="OS98" s="15"/>
      <c r="OT98" s="15"/>
      <c r="OU98" s="15"/>
      <c r="OV98" s="15"/>
      <c r="OW98" s="15"/>
      <c r="OX98" s="15"/>
      <c r="OY98" s="15"/>
      <c r="OZ98" s="15"/>
      <c r="PA98" s="15"/>
      <c r="PB98" s="15"/>
      <c r="PC98" s="15"/>
      <c r="PD98" s="15"/>
      <c r="PE98" s="15"/>
      <c r="PF98" s="15"/>
      <c r="PG98" s="15"/>
      <c r="PH98" s="15"/>
      <c r="PI98" s="15"/>
      <c r="PJ98" s="15"/>
      <c r="PK98" s="15"/>
      <c r="PL98" s="15"/>
      <c r="PM98" s="15"/>
      <c r="PN98" s="15"/>
      <c r="PO98" s="15"/>
      <c r="PP98" s="15"/>
      <c r="PQ98" s="15"/>
      <c r="PR98" s="15"/>
      <c r="PS98" s="15"/>
      <c r="PT98" s="15"/>
      <c r="PU98" s="15"/>
      <c r="PV98" s="15"/>
      <c r="PW98" s="15"/>
      <c r="PX98" s="15"/>
      <c r="PY98" s="15"/>
      <c r="PZ98" s="15"/>
      <c r="QA98" s="15"/>
      <c r="QB98" s="15"/>
      <c r="QC98" s="15"/>
      <c r="QD98" s="15"/>
      <c r="QE98" s="15"/>
      <c r="QF98" s="15"/>
      <c r="QG98" s="15"/>
      <c r="QH98" s="15"/>
      <c r="QI98" s="15"/>
      <c r="QJ98" s="15"/>
      <c r="QK98" s="15"/>
      <c r="QL98" s="15"/>
      <c r="QM98" s="15"/>
      <c r="QN98" s="15"/>
      <c r="QO98" s="15"/>
      <c r="QP98" s="15"/>
      <c r="QQ98" s="15"/>
      <c r="QR98" s="15"/>
      <c r="QS98" s="15"/>
      <c r="QT98" s="15"/>
      <c r="QU98" s="15"/>
      <c r="QV98" s="15"/>
      <c r="QW98" s="15"/>
      <c r="QX98" s="15"/>
      <c r="QY98" s="15"/>
      <c r="QZ98" s="15"/>
      <c r="RA98" s="15"/>
      <c r="RB98" s="15"/>
      <c r="RC98" s="15"/>
      <c r="RD98" s="15"/>
      <c r="RE98" s="15"/>
      <c r="RF98" s="15"/>
      <c r="RG98" s="15"/>
      <c r="RH98" s="15"/>
      <c r="RI98" s="15"/>
      <c r="RJ98" s="15"/>
      <c r="RK98" s="15"/>
      <c r="RL98" s="15"/>
      <c r="RM98" s="15"/>
      <c r="RN98" s="15"/>
      <c r="RO98" s="15"/>
      <c r="RP98" s="15"/>
      <c r="RQ98" s="15"/>
      <c r="RR98" s="15"/>
      <c r="RS98" s="15"/>
      <c r="RT98" s="15"/>
      <c r="RU98" s="15"/>
      <c r="RV98" s="15"/>
      <c r="RW98" s="15"/>
      <c r="RX98" s="15"/>
      <c r="RY98" s="15"/>
      <c r="RZ98" s="15"/>
      <c r="SA98" s="15"/>
      <c r="SB98" s="15"/>
      <c r="SC98" s="15"/>
      <c r="SD98" s="15"/>
      <c r="SE98" s="15"/>
      <c r="SF98" s="15"/>
      <c r="SG98" s="15"/>
      <c r="SH98" s="15"/>
      <c r="SI98" s="15"/>
      <c r="SJ98" s="15"/>
      <c r="SK98" s="15"/>
      <c r="SL98" s="15"/>
      <c r="SM98" s="15"/>
      <c r="SN98" s="15"/>
      <c r="SO98" s="15"/>
      <c r="SP98" s="15"/>
      <c r="SQ98" s="15"/>
      <c r="SR98" s="15"/>
      <c r="SS98" s="15"/>
      <c r="ST98" s="15"/>
      <c r="SU98" s="15"/>
      <c r="SV98" s="15"/>
      <c r="SW98" s="15"/>
      <c r="SX98" s="15"/>
      <c r="SY98" s="15"/>
      <c r="SZ98" s="15"/>
      <c r="TA98" s="15"/>
      <c r="TB98" s="15"/>
      <c r="TC98" s="15"/>
      <c r="TD98" s="15"/>
      <c r="TE98" s="15"/>
      <c r="TF98" s="15"/>
      <c r="TG98" s="15"/>
      <c r="TH98" s="15"/>
      <c r="TI98" s="15"/>
      <c r="TJ98" s="15"/>
      <c r="TK98" s="15"/>
      <c r="TL98" s="15"/>
      <c r="TM98" s="15"/>
      <c r="TN98" s="15"/>
      <c r="TO98" s="15"/>
      <c r="TP98" s="15"/>
      <c r="TQ98" s="15"/>
      <c r="TR98" s="15"/>
      <c r="TS98" s="15"/>
      <c r="TT98" s="15"/>
      <c r="TU98" s="15"/>
      <c r="TV98" s="15"/>
      <c r="TW98" s="15"/>
      <c r="TX98" s="15"/>
      <c r="TY98" s="15"/>
      <c r="TZ98" s="15"/>
      <c r="UA98" s="15"/>
      <c r="UB98" s="15"/>
      <c r="UC98" s="15"/>
      <c r="UD98" s="15"/>
      <c r="UE98" s="15"/>
      <c r="UF98" s="15"/>
      <c r="UG98" s="15"/>
      <c r="UH98" s="15"/>
      <c r="UI98" s="15"/>
      <c r="UJ98" s="15"/>
      <c r="UK98" s="15"/>
      <c r="UL98" s="15"/>
      <c r="UM98" s="15"/>
      <c r="UN98" s="15"/>
      <c r="UO98" s="15"/>
      <c r="UP98" s="15"/>
      <c r="UQ98" s="15"/>
      <c r="UR98" s="15"/>
      <c r="US98" s="15"/>
      <c r="UT98" s="15"/>
      <c r="UU98" s="15"/>
      <c r="UV98" s="15"/>
      <c r="UW98" s="15"/>
      <c r="UX98" s="15"/>
      <c r="UY98" s="15"/>
      <c r="UZ98" s="15"/>
      <c r="VA98" s="15"/>
      <c r="VB98" s="15"/>
      <c r="VC98" s="15"/>
      <c r="VD98" s="15"/>
      <c r="VE98" s="15"/>
      <c r="VF98" s="15"/>
      <c r="VG98" s="15"/>
      <c r="VH98" s="15"/>
      <c r="VI98" s="15"/>
      <c r="VJ98" s="15"/>
      <c r="VK98" s="15"/>
      <c r="VL98" s="15"/>
      <c r="VM98" s="15"/>
      <c r="VN98" s="15"/>
      <c r="VO98" s="15"/>
      <c r="VP98" s="15"/>
      <c r="VQ98" s="15"/>
      <c r="VR98" s="15"/>
      <c r="VS98" s="15"/>
      <c r="VT98" s="15"/>
      <c r="VU98" s="15"/>
      <c r="VV98" s="15"/>
      <c r="VW98" s="15"/>
      <c r="VX98" s="15"/>
      <c r="VY98" s="15"/>
      <c r="VZ98" s="15"/>
      <c r="WA98" s="15"/>
      <c r="WB98" s="15"/>
      <c r="WC98" s="15"/>
      <c r="WD98" s="15"/>
      <c r="WE98" s="15"/>
      <c r="WF98" s="15"/>
      <c r="WG98" s="15"/>
      <c r="WH98" s="15"/>
      <c r="WI98" s="15"/>
      <c r="WJ98" s="15"/>
      <c r="WK98" s="15"/>
      <c r="WL98" s="15"/>
      <c r="WM98" s="15"/>
      <c r="WN98" s="15"/>
      <c r="WO98" s="15"/>
      <c r="WP98" s="15"/>
      <c r="WQ98" s="15"/>
      <c r="WR98" s="15"/>
      <c r="WS98" s="15"/>
      <c r="WT98" s="15"/>
      <c r="WU98" s="15"/>
      <c r="WV98" s="15"/>
      <c r="WW98" s="15"/>
      <c r="WX98" s="15"/>
      <c r="WY98" s="15"/>
      <c r="WZ98" s="15"/>
      <c r="XA98" s="15"/>
      <c r="XB98" s="15"/>
      <c r="XC98" s="15"/>
      <c r="XD98" s="15"/>
      <c r="XE98" s="15"/>
      <c r="XF98" s="15"/>
      <c r="XG98" s="15"/>
      <c r="XH98" s="15"/>
      <c r="XI98" s="15"/>
      <c r="XJ98" s="15"/>
      <c r="XK98" s="15"/>
      <c r="XL98" s="15"/>
      <c r="XM98" s="15"/>
      <c r="XN98" s="15"/>
      <c r="XO98" s="15"/>
      <c r="XP98" s="15"/>
      <c r="XQ98" s="15"/>
      <c r="XR98" s="15"/>
      <c r="XS98" s="15"/>
      <c r="XT98" s="15"/>
      <c r="XU98" s="15"/>
      <c r="XV98" s="15"/>
      <c r="XW98" s="15"/>
      <c r="XX98" s="15"/>
      <c r="XY98" s="15"/>
      <c r="XZ98" s="15"/>
      <c r="YA98" s="15"/>
      <c r="YB98" s="15"/>
      <c r="YC98" s="15"/>
      <c r="YD98" s="15"/>
      <c r="YE98" s="15"/>
      <c r="YF98" s="15"/>
      <c r="YG98" s="15"/>
      <c r="YH98" s="15"/>
      <c r="YI98" s="15"/>
      <c r="YJ98" s="15"/>
      <c r="YK98" s="15"/>
      <c r="YL98" s="15"/>
      <c r="YM98" s="15"/>
      <c r="YN98" s="15"/>
      <c r="YO98" s="15"/>
      <c r="YP98" s="15"/>
      <c r="YQ98" s="15"/>
      <c r="YR98" s="15"/>
      <c r="YS98" s="15"/>
      <c r="YT98" s="15"/>
      <c r="YU98" s="15"/>
      <c r="YV98" s="15"/>
      <c r="YW98" s="15"/>
      <c r="YX98" s="15"/>
      <c r="YY98" s="15"/>
      <c r="YZ98" s="15"/>
      <c r="ZA98" s="15"/>
      <c r="ZB98" s="15"/>
      <c r="ZC98" s="15"/>
      <c r="ZD98" s="15"/>
      <c r="ZE98" s="15"/>
      <c r="ZF98" s="15"/>
      <c r="ZG98" s="15"/>
      <c r="ZH98" s="15"/>
      <c r="ZI98" s="15"/>
      <c r="ZJ98" s="15"/>
      <c r="ZK98" s="15"/>
      <c r="ZL98" s="15"/>
      <c r="ZM98" s="15"/>
      <c r="ZN98" s="15"/>
      <c r="ZO98" s="15"/>
      <c r="ZP98" s="15"/>
      <c r="ZQ98" s="15"/>
      <c r="ZR98" s="15"/>
      <c r="ZS98" s="15"/>
      <c r="ZT98" s="15"/>
      <c r="ZU98" s="15"/>
      <c r="ZV98" s="15"/>
      <c r="ZW98" s="15"/>
      <c r="ZX98" s="15"/>
      <c r="ZY98" s="15"/>
      <c r="ZZ98" s="15"/>
      <c r="AAA98" s="15"/>
      <c r="AAB98" s="15"/>
      <c r="AAC98" s="15"/>
      <c r="AAD98" s="15"/>
      <c r="AAE98" s="15"/>
      <c r="AAF98" s="15"/>
      <c r="AAG98" s="15"/>
      <c r="AAH98" s="15"/>
      <c r="AAI98" s="15"/>
      <c r="AAJ98" s="15"/>
      <c r="AAK98" s="15"/>
      <c r="AAL98" s="15"/>
      <c r="AAM98" s="15"/>
      <c r="AAN98" s="15"/>
      <c r="AAO98" s="15"/>
      <c r="AAP98" s="15"/>
      <c r="AAQ98" s="15"/>
      <c r="AAR98" s="15"/>
      <c r="AAS98" s="15"/>
      <c r="AAT98" s="15"/>
      <c r="AAU98" s="15"/>
      <c r="AAV98" s="15"/>
      <c r="AAW98" s="15"/>
      <c r="AAX98" s="15"/>
      <c r="AAY98" s="15"/>
      <c r="AAZ98" s="15"/>
      <c r="ABA98" s="15"/>
      <c r="ABB98" s="15"/>
      <c r="ABC98" s="15"/>
      <c r="ABD98" s="15"/>
      <c r="ABE98" s="15"/>
      <c r="ABF98" s="15"/>
      <c r="ABG98" s="15"/>
      <c r="ABH98" s="15"/>
      <c r="ABI98" s="15"/>
      <c r="ABJ98" s="15"/>
      <c r="ABK98" s="15"/>
      <c r="ABL98" s="15"/>
      <c r="ABM98" s="15"/>
      <c r="ABN98" s="15"/>
      <c r="ABO98" s="15"/>
      <c r="ABP98" s="15"/>
      <c r="ABQ98" s="15"/>
      <c r="ABR98" s="15"/>
      <c r="ABS98" s="15"/>
      <c r="ABT98" s="15"/>
      <c r="ABU98" s="15"/>
      <c r="ABV98" s="15"/>
      <c r="ABW98" s="15"/>
      <c r="ABX98" s="15"/>
      <c r="ABY98" s="15"/>
      <c r="ABZ98" s="15"/>
      <c r="ACA98" s="15"/>
      <c r="ACB98" s="15"/>
      <c r="ACC98" s="15"/>
      <c r="ACD98" s="15"/>
      <c r="ACE98" s="15"/>
      <c r="ACF98" s="15"/>
      <c r="ACG98" s="15"/>
      <c r="ACH98" s="15"/>
      <c r="ACI98" s="15"/>
      <c r="ACJ98" s="15"/>
      <c r="ACK98" s="15"/>
      <c r="ACL98" s="15"/>
      <c r="ACM98" s="15"/>
      <c r="ACN98" s="15"/>
      <c r="ACO98" s="15"/>
      <c r="ACP98" s="15"/>
      <c r="ACQ98" s="15"/>
      <c r="ACR98" s="15"/>
      <c r="ACS98" s="15"/>
      <c r="ACT98" s="15"/>
      <c r="ACU98" s="15"/>
      <c r="ACV98" s="15"/>
      <c r="ACW98" s="15"/>
      <c r="ACX98" s="15"/>
      <c r="ACY98" s="15"/>
      <c r="ACZ98" s="15"/>
      <c r="ADA98" s="15"/>
      <c r="ADB98" s="15"/>
      <c r="ADC98" s="15"/>
      <c r="ADD98" s="15"/>
      <c r="ADE98" s="15"/>
      <c r="ADF98" s="15"/>
      <c r="ADG98" s="15"/>
      <c r="ADH98" s="15"/>
      <c r="ADI98" s="15"/>
      <c r="ADJ98" s="15"/>
      <c r="ADK98" s="15"/>
      <c r="ADL98" s="15"/>
      <c r="ADM98" s="15"/>
      <c r="ADN98" s="15"/>
      <c r="ADO98" s="15"/>
      <c r="ADP98" s="15"/>
      <c r="ADQ98" s="15"/>
      <c r="ADR98" s="15"/>
      <c r="ADS98" s="15"/>
      <c r="ADT98" s="15"/>
      <c r="ADU98" s="15"/>
      <c r="ADV98" s="15"/>
      <c r="ADW98" s="15"/>
      <c r="ADX98" s="15"/>
      <c r="ADY98" s="15"/>
      <c r="ADZ98" s="15"/>
      <c r="AEA98" s="15"/>
      <c r="AEB98" s="15"/>
      <c r="AEC98" s="15"/>
      <c r="AED98" s="15"/>
      <c r="AEE98" s="15"/>
      <c r="AEF98" s="15"/>
      <c r="AEG98" s="15"/>
      <c r="AEH98" s="15"/>
      <c r="AEI98" s="15"/>
      <c r="AEJ98" s="15"/>
      <c r="AEK98" s="15"/>
      <c r="AEL98" s="15"/>
      <c r="AEM98" s="15"/>
      <c r="AEN98" s="15"/>
      <c r="AEO98" s="15"/>
      <c r="AEP98" s="15"/>
      <c r="AEQ98" s="15"/>
      <c r="AER98" s="15"/>
      <c r="AES98" s="15"/>
      <c r="AET98" s="15"/>
      <c r="AEU98" s="15"/>
      <c r="AEV98" s="15"/>
      <c r="AEW98" s="15"/>
      <c r="AEX98" s="15"/>
      <c r="AEY98" s="15"/>
      <c r="AEZ98" s="15"/>
      <c r="AFA98" s="15"/>
      <c r="AFB98" s="15"/>
      <c r="AFC98" s="15"/>
      <c r="AFD98" s="15"/>
      <c r="AFE98" s="15"/>
      <c r="AFF98" s="15"/>
      <c r="AFG98" s="15"/>
      <c r="AFH98" s="15"/>
      <c r="AFI98" s="15"/>
      <c r="AFJ98" s="15"/>
      <c r="AFK98" s="15"/>
      <c r="AFL98" s="15"/>
      <c r="AFM98" s="15"/>
      <c r="AFN98" s="15"/>
      <c r="AFO98" s="15"/>
      <c r="AFP98" s="15"/>
      <c r="AFQ98" s="15"/>
      <c r="AFR98" s="15"/>
      <c r="AFS98" s="15"/>
      <c r="AFT98" s="15"/>
      <c r="AFU98" s="15"/>
      <c r="AFV98" s="15"/>
      <c r="AFW98" s="15"/>
      <c r="AFX98" s="15"/>
      <c r="AFY98" s="15"/>
      <c r="AFZ98" s="15"/>
      <c r="AGA98" s="15"/>
      <c r="AGB98" s="15"/>
      <c r="AGC98" s="15"/>
      <c r="AGD98" s="15"/>
      <c r="AGE98" s="15"/>
      <c r="AGF98" s="15"/>
      <c r="AGG98" s="15"/>
      <c r="AGH98" s="15"/>
      <c r="AGI98" s="15"/>
      <c r="AGJ98" s="15"/>
      <c r="AGK98" s="15"/>
      <c r="AGL98" s="15"/>
      <c r="AGM98" s="15"/>
      <c r="AGN98" s="15"/>
      <c r="AGO98" s="15"/>
      <c r="AGP98" s="15"/>
      <c r="AGQ98" s="15"/>
      <c r="AGR98" s="15"/>
      <c r="AGS98" s="15"/>
      <c r="AGT98" s="15"/>
      <c r="AGU98" s="15"/>
      <c r="AGV98" s="15"/>
      <c r="AGW98" s="15"/>
      <c r="AGX98" s="15"/>
      <c r="AGY98" s="15"/>
      <c r="AGZ98" s="15"/>
      <c r="AHA98" s="15"/>
      <c r="AHB98" s="15"/>
      <c r="AHC98" s="15"/>
      <c r="AHD98" s="15"/>
      <c r="AHE98" s="15"/>
      <c r="AHF98" s="15"/>
      <c r="AHG98" s="15"/>
      <c r="AHH98" s="15"/>
      <c r="AHI98" s="15"/>
      <c r="AHJ98" s="15"/>
      <c r="AHK98" s="15"/>
      <c r="AHL98" s="15"/>
      <c r="AHM98" s="15"/>
      <c r="AHN98" s="15"/>
      <c r="AHO98" s="15"/>
      <c r="AHP98" s="15"/>
      <c r="AHQ98" s="15"/>
      <c r="AHR98" s="15"/>
      <c r="AHS98" s="15"/>
      <c r="AHT98" s="15"/>
      <c r="AHU98" s="15"/>
      <c r="AHV98" s="15"/>
      <c r="AHW98" s="15"/>
      <c r="AHX98" s="15"/>
      <c r="AHY98" s="15"/>
      <c r="AHZ98" s="15"/>
      <c r="AIA98" s="15"/>
      <c r="AIB98" s="15"/>
      <c r="AIC98" s="15"/>
      <c r="AID98" s="15"/>
      <c r="AIE98" s="15"/>
      <c r="AIF98" s="15"/>
      <c r="AIG98" s="15"/>
      <c r="AIH98" s="15"/>
      <c r="AII98" s="15"/>
      <c r="AIJ98" s="15"/>
      <c r="AIK98" s="15"/>
      <c r="AIL98" s="15"/>
      <c r="AIM98" s="15"/>
      <c r="AIN98" s="15"/>
      <c r="AIO98" s="15"/>
      <c r="AIP98" s="15"/>
      <c r="AIQ98" s="15"/>
      <c r="AIR98" s="15"/>
      <c r="AIS98" s="15"/>
      <c r="AIT98" s="15"/>
      <c r="AIU98" s="15"/>
      <c r="AIV98" s="15"/>
      <c r="AIW98" s="15"/>
      <c r="AIX98" s="15"/>
      <c r="AIY98" s="15"/>
      <c r="AIZ98" s="15"/>
      <c r="AJA98" s="15"/>
      <c r="AJB98" s="15"/>
      <c r="AJC98" s="15"/>
      <c r="AJD98" s="15"/>
      <c r="AJE98" s="15"/>
      <c r="AJF98" s="15"/>
      <c r="AJG98" s="15"/>
      <c r="AJH98" s="15"/>
      <c r="AJI98" s="15"/>
      <c r="AJJ98" s="15"/>
      <c r="AJK98" s="15"/>
      <c r="AJL98" s="15"/>
      <c r="AJM98" s="15"/>
      <c r="AJN98" s="15"/>
      <c r="AJO98" s="15"/>
      <c r="AJP98" s="15"/>
      <c r="AJQ98" s="15"/>
      <c r="AJR98" s="15"/>
      <c r="AJS98" s="15"/>
      <c r="AJT98" s="15"/>
      <c r="AJU98" s="15"/>
      <c r="AJV98" s="15"/>
      <c r="AJW98" s="15"/>
      <c r="AJX98" s="15"/>
      <c r="AJY98" s="15"/>
      <c r="AJZ98" s="15"/>
      <c r="AKA98" s="15"/>
      <c r="AKB98" s="15"/>
      <c r="AKC98" s="15"/>
      <c r="AKD98" s="15"/>
      <c r="AKE98" s="15"/>
      <c r="AKF98" s="15"/>
      <c r="AKG98" s="15"/>
      <c r="AKH98" s="15"/>
      <c r="AKI98" s="15"/>
      <c r="AKJ98" s="15"/>
      <c r="AKK98" s="15"/>
      <c r="AKL98" s="15"/>
      <c r="AKM98" s="15"/>
      <c r="AKN98" s="15"/>
      <c r="AKO98" s="15"/>
      <c r="AKP98" s="15"/>
      <c r="AKQ98" s="15"/>
      <c r="AKR98" s="15"/>
      <c r="AKS98" s="15"/>
      <c r="AKT98" s="15"/>
      <c r="AKU98" s="15"/>
      <c r="AKV98" s="15"/>
      <c r="AKW98" s="15"/>
      <c r="AKX98" s="15"/>
      <c r="AKY98" s="15"/>
      <c r="AKZ98" s="15"/>
      <c r="ALA98" s="15"/>
      <c r="ALB98" s="15"/>
      <c r="ALC98" s="15"/>
      <c r="ALD98" s="15"/>
      <c r="ALE98" s="15"/>
      <c r="ALF98" s="15"/>
      <c r="ALG98" s="15"/>
      <c r="ALH98" s="15"/>
      <c r="ALI98" s="15"/>
      <c r="ALJ98" s="15"/>
      <c r="ALK98" s="15"/>
      <c r="ALL98" s="15"/>
      <c r="ALM98" s="15"/>
      <c r="ALN98" s="15"/>
      <c r="ALO98" s="15"/>
      <c r="ALP98" s="15"/>
      <c r="ALQ98" s="15"/>
      <c r="ALR98" s="15"/>
      <c r="ALS98" s="15"/>
      <c r="ALT98" s="15"/>
      <c r="ALU98" s="15"/>
      <c r="ALV98" s="15"/>
      <c r="ALW98" s="15"/>
      <c r="ALX98" s="15"/>
      <c r="ALY98" s="15"/>
      <c r="ALZ98" s="15"/>
      <c r="AMA98" s="15"/>
      <c r="AMB98" s="15"/>
      <c r="AMC98" s="15"/>
      <c r="AMD98" s="15"/>
      <c r="AME98" s="15"/>
      <c r="AMF98" s="15"/>
      <c r="AMG98" s="15"/>
      <c r="AMH98" s="15"/>
      <c r="AMI98" s="15"/>
      <c r="AMJ98" s="15"/>
      <c r="AMK98" s="15"/>
      <c r="AML98" s="15"/>
      <c r="AMM98" s="15"/>
      <c r="AMN98" s="15"/>
      <c r="AMO98" s="15"/>
      <c r="AMP98" s="15"/>
      <c r="AMQ98" s="15"/>
      <c r="AMR98" s="15"/>
      <c r="AMS98" s="15"/>
      <c r="AMT98" s="15"/>
      <c r="AMU98" s="15"/>
      <c r="AMV98" s="15"/>
      <c r="AMW98" s="15"/>
      <c r="AMX98" s="15"/>
      <c r="AMY98" s="15"/>
      <c r="AMZ98" s="15"/>
      <c r="ANA98" s="15"/>
      <c r="ANB98" s="15"/>
      <c r="ANC98" s="15"/>
      <c r="AND98" s="15"/>
      <c r="ANE98" s="15"/>
      <c r="ANF98" s="15"/>
      <c r="ANG98" s="15"/>
      <c r="ANH98" s="15"/>
      <c r="ANI98" s="15"/>
      <c r="ANJ98" s="15"/>
      <c r="ANK98" s="15"/>
      <c r="ANL98" s="15"/>
      <c r="ANM98" s="15"/>
      <c r="ANN98" s="15"/>
      <c r="ANO98" s="15"/>
      <c r="ANP98" s="15"/>
      <c r="ANQ98" s="15"/>
      <c r="ANR98" s="15"/>
      <c r="ANS98" s="15"/>
      <c r="ANT98" s="15"/>
      <c r="ANU98" s="15"/>
      <c r="ANV98" s="15"/>
      <c r="ANW98" s="15"/>
      <c r="ANX98" s="15"/>
      <c r="ANY98" s="15"/>
      <c r="ANZ98" s="15"/>
      <c r="AOA98" s="15"/>
      <c r="AOB98" s="15"/>
      <c r="AOC98" s="15"/>
      <c r="AOD98" s="15"/>
      <c r="AOE98" s="15"/>
      <c r="AOF98" s="15"/>
      <c r="AOG98" s="15"/>
      <c r="AOH98" s="15"/>
      <c r="AOI98" s="15"/>
      <c r="AOJ98" s="15"/>
      <c r="AOK98" s="15"/>
      <c r="AOL98" s="15"/>
      <c r="AOM98" s="15"/>
      <c r="AON98" s="15"/>
      <c r="AOO98" s="15"/>
      <c r="AOP98" s="15"/>
      <c r="AOQ98" s="15"/>
      <c r="AOR98" s="15"/>
      <c r="AOS98" s="15"/>
      <c r="AOT98" s="15"/>
      <c r="AOU98" s="15"/>
      <c r="AOV98" s="15"/>
      <c r="AOW98" s="15"/>
      <c r="AOX98" s="15"/>
      <c r="AOY98" s="15"/>
      <c r="AOZ98" s="15"/>
      <c r="APA98" s="15"/>
      <c r="APB98" s="15"/>
      <c r="APC98" s="15"/>
      <c r="APD98" s="15"/>
      <c r="APE98" s="15"/>
      <c r="APF98" s="15"/>
      <c r="APG98" s="15"/>
      <c r="APH98" s="15"/>
      <c r="API98" s="15"/>
      <c r="APJ98" s="15"/>
      <c r="APK98" s="15"/>
      <c r="APL98" s="15"/>
      <c r="APM98" s="15"/>
      <c r="APN98" s="15"/>
      <c r="APO98" s="15"/>
      <c r="APP98" s="15"/>
      <c r="APQ98" s="15"/>
      <c r="APR98" s="15"/>
      <c r="APS98" s="15"/>
      <c r="APT98" s="15"/>
      <c r="APU98" s="15"/>
      <c r="APV98" s="15"/>
      <c r="APW98" s="15"/>
      <c r="APX98" s="15"/>
      <c r="APY98" s="15"/>
      <c r="APZ98" s="15"/>
      <c r="AQA98" s="15"/>
      <c r="AQB98" s="15"/>
      <c r="AQC98" s="15"/>
      <c r="AQD98" s="15"/>
      <c r="AQE98" s="15"/>
      <c r="AQF98" s="15"/>
      <c r="AQG98" s="15"/>
      <c r="AQH98" s="15"/>
      <c r="AQI98" s="15"/>
      <c r="AQJ98" s="15"/>
      <c r="AQK98" s="15"/>
      <c r="AQL98" s="15"/>
      <c r="AQM98" s="15"/>
      <c r="AQN98" s="15"/>
      <c r="AQO98" s="15"/>
      <c r="AQP98" s="15"/>
      <c r="AQQ98" s="15"/>
      <c r="AQR98" s="15"/>
      <c r="AQS98" s="15"/>
      <c r="AQT98" s="15"/>
      <c r="AQU98" s="15"/>
      <c r="AQV98" s="15"/>
      <c r="AQW98" s="15"/>
      <c r="AQX98" s="15"/>
      <c r="AQY98" s="15"/>
      <c r="AQZ98" s="15"/>
      <c r="ARA98" s="15"/>
      <c r="ARB98" s="15"/>
      <c r="ARC98" s="15"/>
      <c r="ARD98" s="15"/>
      <c r="ARE98" s="15"/>
      <c r="ARF98" s="15"/>
      <c r="ARG98" s="15"/>
      <c r="ARH98" s="15"/>
      <c r="ARI98" s="15"/>
      <c r="ARJ98" s="15"/>
      <c r="ARK98" s="15"/>
      <c r="ARL98" s="15"/>
      <c r="ARM98" s="15"/>
      <c r="ARN98" s="15"/>
      <c r="ARO98" s="15"/>
      <c r="ARP98" s="15"/>
      <c r="ARQ98" s="15"/>
      <c r="ARR98" s="15"/>
      <c r="ARS98" s="15"/>
      <c r="ART98" s="15"/>
      <c r="ARU98" s="15"/>
      <c r="ARV98" s="15"/>
      <c r="ARW98" s="15"/>
      <c r="ARX98" s="15"/>
      <c r="ARY98" s="15"/>
      <c r="ARZ98" s="15"/>
      <c r="ASA98" s="15"/>
      <c r="ASB98" s="15"/>
      <c r="ASC98" s="15"/>
      <c r="ASD98" s="15"/>
      <c r="ASE98" s="15"/>
      <c r="ASF98" s="15"/>
      <c r="ASG98" s="15"/>
      <c r="ASH98" s="15"/>
      <c r="ASI98" s="15"/>
      <c r="ASJ98" s="15"/>
      <c r="ASK98" s="15"/>
      <c r="ASL98" s="15"/>
      <c r="ASM98" s="15"/>
      <c r="ASN98" s="15"/>
      <c r="ASO98" s="15"/>
      <c r="ASP98" s="15"/>
      <c r="ASQ98" s="15"/>
      <c r="ASR98" s="15"/>
      <c r="ASS98" s="15"/>
      <c r="AST98" s="15"/>
      <c r="ASU98" s="15"/>
      <c r="ASV98" s="15"/>
      <c r="ASW98" s="15"/>
      <c r="ASX98" s="15"/>
      <c r="ASY98" s="15"/>
      <c r="ASZ98" s="15"/>
      <c r="ATA98" s="15"/>
      <c r="ATB98" s="15"/>
      <c r="ATC98" s="15"/>
      <c r="ATD98" s="15"/>
      <c r="ATE98" s="15"/>
      <c r="ATF98" s="15"/>
      <c r="ATG98" s="15"/>
      <c r="ATH98" s="15"/>
      <c r="ATI98" s="15"/>
      <c r="ATJ98" s="15"/>
      <c r="ATK98" s="15"/>
      <c r="ATL98" s="15"/>
      <c r="ATM98" s="15"/>
      <c r="ATN98" s="15"/>
      <c r="ATO98" s="15"/>
      <c r="ATP98" s="15"/>
      <c r="ATQ98" s="15"/>
      <c r="ATR98" s="15"/>
      <c r="ATS98" s="15"/>
      <c r="ATT98" s="15"/>
      <c r="ATU98" s="15"/>
      <c r="ATV98" s="15"/>
      <c r="ATW98" s="15"/>
      <c r="ATX98" s="15"/>
      <c r="ATY98" s="15"/>
      <c r="ATZ98" s="15"/>
      <c r="AUA98" s="15"/>
      <c r="AUB98" s="15"/>
      <c r="AUC98" s="15"/>
      <c r="AUD98" s="15"/>
      <c r="AUE98" s="15"/>
      <c r="AUF98" s="15"/>
      <c r="AUG98" s="15"/>
      <c r="AUH98" s="15"/>
      <c r="AUI98" s="15"/>
      <c r="AUJ98" s="15"/>
      <c r="AUK98" s="15"/>
      <c r="AUL98" s="15"/>
      <c r="AUM98" s="15"/>
      <c r="AUN98" s="15"/>
      <c r="AUO98" s="15"/>
      <c r="AUP98" s="15"/>
      <c r="AUQ98" s="15"/>
      <c r="AUR98" s="15"/>
      <c r="AUS98" s="15"/>
      <c r="AUT98" s="15"/>
      <c r="AUU98" s="15"/>
      <c r="AUV98" s="15"/>
      <c r="AUW98" s="15"/>
      <c r="AUX98" s="15"/>
      <c r="AUY98" s="15"/>
      <c r="AUZ98" s="15"/>
      <c r="AVA98" s="15"/>
      <c r="AVB98" s="15"/>
      <c r="AVC98" s="15"/>
      <c r="AVD98" s="15"/>
      <c r="AVE98" s="15"/>
      <c r="AVF98" s="15"/>
      <c r="AVG98" s="15"/>
      <c r="AVH98" s="15"/>
      <c r="AVI98" s="15"/>
      <c r="AVJ98" s="15"/>
      <c r="AVK98" s="15"/>
      <c r="AVL98" s="15"/>
      <c r="AVM98" s="15"/>
      <c r="AVN98" s="15"/>
      <c r="AVO98" s="15"/>
      <c r="AVP98" s="15"/>
      <c r="AVQ98" s="15"/>
      <c r="AVR98" s="15"/>
      <c r="AVS98" s="15"/>
      <c r="AVT98" s="15"/>
      <c r="AVU98" s="15"/>
      <c r="AVV98" s="15"/>
      <c r="AVW98" s="15"/>
      <c r="AVX98" s="15"/>
      <c r="AVY98" s="15"/>
      <c r="AVZ98" s="15"/>
      <c r="AWA98" s="15"/>
      <c r="AWB98" s="15"/>
      <c r="AWC98" s="15"/>
      <c r="AWD98" s="15"/>
      <c r="AWE98" s="15"/>
      <c r="AWF98" s="15"/>
      <c r="AWG98" s="15"/>
      <c r="AWH98" s="15"/>
      <c r="AWI98" s="15"/>
      <c r="AWJ98" s="15"/>
      <c r="AWK98" s="15"/>
      <c r="AWL98" s="15"/>
      <c r="AWM98" s="15"/>
      <c r="AWN98" s="15"/>
      <c r="AWO98" s="15"/>
      <c r="AWP98" s="15"/>
      <c r="AWQ98" s="15"/>
      <c r="AWR98" s="15"/>
      <c r="AWS98" s="15"/>
      <c r="AWT98" s="15"/>
      <c r="AWU98" s="15"/>
      <c r="AWV98" s="15"/>
      <c r="AWW98" s="15"/>
      <c r="AWX98" s="15"/>
      <c r="AWY98" s="15"/>
      <c r="AWZ98" s="15"/>
      <c r="AXA98" s="15"/>
      <c r="AXB98" s="15"/>
      <c r="AXC98" s="15"/>
      <c r="AXD98" s="15"/>
      <c r="AXE98" s="15"/>
      <c r="AXF98" s="15"/>
      <c r="AXG98" s="15"/>
      <c r="AXH98" s="15"/>
      <c r="AXI98" s="15"/>
      <c r="AXJ98" s="15"/>
      <c r="AXK98" s="15"/>
      <c r="AXL98" s="15"/>
      <c r="AXM98" s="15"/>
      <c r="AXN98" s="15"/>
      <c r="AXO98" s="15"/>
      <c r="AXP98" s="15"/>
      <c r="AXQ98" s="15"/>
      <c r="AXR98" s="15"/>
      <c r="AXS98" s="15"/>
      <c r="AXT98" s="15"/>
      <c r="AXU98" s="15"/>
      <c r="AXV98" s="15"/>
      <c r="AXW98" s="15"/>
      <c r="AXX98" s="15"/>
      <c r="AXY98" s="15"/>
      <c r="AXZ98" s="15"/>
      <c r="AYA98" s="15"/>
      <c r="AYB98" s="15"/>
      <c r="AYC98" s="15"/>
      <c r="AYD98" s="15"/>
      <c r="AYE98" s="15"/>
      <c r="AYF98" s="15"/>
      <c r="AYG98" s="15"/>
      <c r="AYH98" s="15"/>
      <c r="AYI98" s="15"/>
      <c r="AYJ98" s="15"/>
      <c r="AYK98" s="15"/>
      <c r="AYL98" s="15"/>
      <c r="AYM98" s="15"/>
      <c r="AYN98" s="15"/>
      <c r="AYO98" s="15"/>
      <c r="AYP98" s="15"/>
      <c r="AYQ98" s="15"/>
      <c r="AYR98" s="15"/>
      <c r="AYS98" s="15"/>
      <c r="AYT98" s="15"/>
      <c r="AYU98" s="15"/>
      <c r="AYV98" s="15"/>
      <c r="AYW98" s="15"/>
      <c r="AYX98" s="15"/>
      <c r="AYY98" s="15"/>
      <c r="AYZ98" s="15"/>
      <c r="AZA98" s="15"/>
      <c r="AZB98" s="15"/>
      <c r="AZC98" s="15"/>
      <c r="AZD98" s="15"/>
      <c r="AZE98" s="15"/>
      <c r="AZF98" s="15"/>
      <c r="AZG98" s="15"/>
      <c r="AZH98" s="15"/>
      <c r="AZI98" s="15"/>
      <c r="AZJ98" s="15"/>
      <c r="AZK98" s="15"/>
      <c r="AZL98" s="15"/>
      <c r="AZM98" s="15"/>
      <c r="AZN98" s="15"/>
      <c r="AZO98" s="15"/>
      <c r="AZP98" s="15"/>
      <c r="AZQ98" s="15"/>
      <c r="AZR98" s="15"/>
      <c r="AZS98" s="15"/>
      <c r="AZT98" s="15"/>
      <c r="AZU98" s="15"/>
      <c r="AZV98" s="15"/>
      <c r="AZW98" s="15"/>
      <c r="AZX98" s="15"/>
      <c r="AZY98" s="15"/>
      <c r="AZZ98" s="15"/>
      <c r="BAA98" s="15"/>
      <c r="BAB98" s="15"/>
      <c r="BAC98" s="15"/>
      <c r="BAD98" s="15"/>
      <c r="BAE98" s="15"/>
      <c r="BAF98" s="15"/>
      <c r="BAG98" s="15"/>
      <c r="BAH98" s="15"/>
      <c r="BAI98" s="15"/>
      <c r="BAJ98" s="15"/>
      <c r="BAK98" s="15"/>
      <c r="BAL98" s="15"/>
      <c r="BAM98" s="15"/>
      <c r="BAN98" s="15"/>
      <c r="BAO98" s="15"/>
      <c r="BAP98" s="15"/>
      <c r="BAQ98" s="15"/>
      <c r="BAR98" s="15"/>
      <c r="BAS98" s="15"/>
      <c r="BAT98" s="15"/>
      <c r="BAU98" s="15"/>
      <c r="BAV98" s="15"/>
      <c r="BAW98" s="15"/>
      <c r="BAX98" s="15"/>
      <c r="BAY98" s="15"/>
      <c r="BAZ98" s="15"/>
      <c r="BBA98" s="15"/>
      <c r="BBB98" s="15"/>
      <c r="BBC98" s="15"/>
      <c r="BBD98" s="15"/>
      <c r="BBE98" s="15"/>
      <c r="BBF98" s="15"/>
      <c r="BBG98" s="15"/>
      <c r="BBH98" s="15"/>
      <c r="BBI98" s="15"/>
      <c r="BBJ98" s="15"/>
      <c r="BBK98" s="15"/>
      <c r="BBL98" s="15"/>
      <c r="BBM98" s="15"/>
      <c r="BBN98" s="15"/>
      <c r="BBO98" s="15"/>
      <c r="BBP98" s="15"/>
      <c r="BBQ98" s="15"/>
      <c r="BBR98" s="15"/>
      <c r="BBS98" s="15"/>
      <c r="BBT98" s="15"/>
      <c r="BBU98" s="15"/>
      <c r="BBV98" s="15"/>
      <c r="BBW98" s="15"/>
      <c r="BBX98" s="15"/>
      <c r="BBY98" s="15"/>
      <c r="BBZ98" s="15"/>
      <c r="BCA98" s="15"/>
      <c r="BCB98" s="15"/>
      <c r="BCC98" s="15"/>
      <c r="BCD98" s="15"/>
      <c r="BCE98" s="15"/>
      <c r="BCF98" s="15"/>
      <c r="BCG98" s="15"/>
      <c r="BCH98" s="15"/>
      <c r="BCI98" s="15"/>
      <c r="BCJ98" s="15"/>
      <c r="BCK98" s="15"/>
      <c r="BCL98" s="15"/>
      <c r="BCM98" s="15"/>
      <c r="BCN98" s="15"/>
      <c r="BCO98" s="15"/>
      <c r="BCP98" s="15"/>
      <c r="BCQ98" s="15"/>
      <c r="BCR98" s="15"/>
      <c r="BCS98" s="15"/>
      <c r="BCT98" s="15"/>
      <c r="BCU98" s="15"/>
      <c r="BCV98" s="15"/>
      <c r="BCW98" s="15"/>
      <c r="BCX98" s="15"/>
      <c r="BCY98" s="15"/>
      <c r="BCZ98" s="15"/>
      <c r="BDA98" s="15"/>
      <c r="BDB98" s="15"/>
      <c r="BDC98" s="15"/>
      <c r="BDD98" s="15"/>
      <c r="BDE98" s="15"/>
      <c r="BDF98" s="15"/>
      <c r="BDG98" s="15"/>
      <c r="BDH98" s="15"/>
      <c r="BDI98" s="15"/>
      <c r="BDJ98" s="15"/>
      <c r="BDK98" s="15"/>
      <c r="BDL98" s="15"/>
      <c r="BDM98" s="15"/>
      <c r="BDN98" s="15"/>
      <c r="BDO98" s="15"/>
      <c r="BDP98" s="15"/>
      <c r="BDQ98" s="15"/>
      <c r="BDR98" s="15"/>
      <c r="BDS98" s="15"/>
      <c r="BDT98" s="15"/>
      <c r="BDU98" s="15"/>
      <c r="BDV98" s="15"/>
      <c r="BDW98" s="15"/>
      <c r="BDX98" s="15"/>
      <c r="BDY98" s="15"/>
      <c r="BDZ98" s="15"/>
      <c r="BEA98" s="15"/>
      <c r="BEB98" s="15"/>
      <c r="BEC98" s="15"/>
      <c r="BED98" s="15"/>
      <c r="BEE98" s="15"/>
      <c r="BEF98" s="15"/>
      <c r="BEG98" s="15"/>
      <c r="BEH98" s="15"/>
      <c r="BEI98" s="15"/>
      <c r="BEJ98" s="15"/>
      <c r="BEK98" s="15"/>
      <c r="BEL98" s="15"/>
      <c r="BEM98" s="15"/>
      <c r="BEN98" s="15"/>
      <c r="BEO98" s="15"/>
      <c r="BEP98" s="15"/>
      <c r="BEQ98" s="15"/>
      <c r="BER98" s="15"/>
      <c r="BES98" s="15"/>
      <c r="BET98" s="15"/>
      <c r="BEU98" s="15"/>
      <c r="BEV98" s="15"/>
      <c r="BEW98" s="15"/>
      <c r="BEX98" s="15"/>
      <c r="BEY98" s="15"/>
      <c r="BEZ98" s="15"/>
      <c r="BFA98" s="15"/>
      <c r="BFB98" s="15"/>
      <c r="BFC98" s="15"/>
      <c r="BFD98" s="15"/>
      <c r="BFE98" s="15"/>
      <c r="BFF98" s="15"/>
      <c r="BFG98" s="15"/>
      <c r="BFH98" s="15"/>
      <c r="BFI98" s="15"/>
      <c r="BFJ98" s="15"/>
      <c r="BFK98" s="15"/>
      <c r="BFL98" s="15"/>
      <c r="BFM98" s="15"/>
      <c r="BFN98" s="15"/>
      <c r="BFO98" s="15"/>
      <c r="BFP98" s="15"/>
      <c r="BFQ98" s="15"/>
      <c r="BFR98" s="15"/>
      <c r="BFS98" s="15"/>
      <c r="BFT98" s="15"/>
      <c r="BFU98" s="15"/>
      <c r="BFV98" s="15"/>
      <c r="BFW98" s="15"/>
      <c r="BFX98" s="15"/>
      <c r="BFY98" s="15"/>
      <c r="BFZ98" s="15"/>
      <c r="BGA98" s="15"/>
      <c r="BGB98" s="15"/>
      <c r="BGC98" s="15"/>
      <c r="BGD98" s="15"/>
      <c r="BGE98" s="15"/>
      <c r="BGF98" s="15"/>
      <c r="BGG98" s="15"/>
      <c r="BGH98" s="15"/>
      <c r="BGI98" s="15"/>
      <c r="BGJ98" s="15"/>
      <c r="BGK98" s="15"/>
      <c r="BGL98" s="15"/>
      <c r="BGM98" s="15"/>
      <c r="BGN98" s="15"/>
      <c r="BGO98" s="15"/>
      <c r="BGP98" s="15"/>
      <c r="BGQ98" s="15"/>
      <c r="BGR98" s="15"/>
      <c r="BGS98" s="15"/>
      <c r="BGT98" s="15"/>
      <c r="BGU98" s="15"/>
      <c r="BGV98" s="15"/>
      <c r="BGW98" s="15"/>
      <c r="BGX98" s="15"/>
      <c r="BGY98" s="15"/>
      <c r="BGZ98" s="15"/>
      <c r="BHA98" s="15"/>
      <c r="BHB98" s="15"/>
      <c r="BHC98" s="15"/>
      <c r="BHD98" s="15"/>
      <c r="BHE98" s="15"/>
      <c r="BHF98" s="15"/>
      <c r="BHG98" s="15"/>
      <c r="BHH98" s="15"/>
      <c r="BHI98" s="15"/>
      <c r="BHJ98" s="15"/>
      <c r="BHK98" s="15"/>
      <c r="BHL98" s="15"/>
      <c r="BHM98" s="15"/>
      <c r="BHN98" s="15"/>
      <c r="BHO98" s="15"/>
      <c r="BHP98" s="15"/>
      <c r="BHQ98" s="15"/>
      <c r="BHR98" s="15"/>
      <c r="BHS98" s="15"/>
      <c r="BHT98" s="15"/>
      <c r="BHU98" s="15"/>
      <c r="BHV98" s="15"/>
      <c r="BHW98" s="15"/>
      <c r="BHX98" s="15"/>
      <c r="BHY98" s="15"/>
      <c r="BHZ98" s="15"/>
      <c r="BIA98" s="15"/>
      <c r="BIB98" s="15"/>
      <c r="BIC98" s="15"/>
      <c r="BID98" s="15"/>
      <c r="BIE98" s="15"/>
      <c r="BIF98" s="15"/>
      <c r="BIG98" s="15"/>
      <c r="BIH98" s="15"/>
      <c r="BII98" s="15"/>
      <c r="BIJ98" s="15"/>
      <c r="BIK98" s="15"/>
      <c r="BIL98" s="15"/>
      <c r="BIM98" s="15"/>
      <c r="BIN98" s="15"/>
      <c r="BIO98" s="15"/>
      <c r="BIP98" s="15"/>
      <c r="BIQ98" s="15"/>
      <c r="BIR98" s="15"/>
      <c r="BIS98" s="15"/>
      <c r="BIT98" s="15"/>
      <c r="BIU98" s="15"/>
      <c r="BIV98" s="15"/>
      <c r="BIW98" s="15"/>
      <c r="BIX98" s="15"/>
      <c r="BIY98" s="15"/>
      <c r="BIZ98" s="15"/>
      <c r="BJA98" s="15"/>
      <c r="BJB98" s="15"/>
      <c r="BJC98" s="15"/>
      <c r="BJD98" s="15"/>
      <c r="BJE98" s="15"/>
      <c r="BJF98" s="15"/>
      <c r="BJG98" s="15"/>
      <c r="BJH98" s="15"/>
      <c r="BJI98" s="15"/>
      <c r="BJJ98" s="15"/>
      <c r="BJK98" s="15"/>
      <c r="BJL98" s="15"/>
      <c r="BJM98" s="15"/>
      <c r="BJN98" s="15"/>
      <c r="BJO98" s="15"/>
      <c r="BJP98" s="15"/>
      <c r="BJQ98" s="15"/>
      <c r="BJR98" s="15"/>
      <c r="BJS98" s="15"/>
      <c r="BJT98" s="15"/>
      <c r="BJU98" s="15"/>
      <c r="BJV98" s="15"/>
      <c r="BJW98" s="15"/>
      <c r="BJX98" s="15"/>
      <c r="BJY98" s="15"/>
      <c r="BJZ98" s="15"/>
      <c r="BKA98" s="15"/>
      <c r="BKB98" s="15"/>
      <c r="BKC98" s="15"/>
      <c r="BKD98" s="15"/>
      <c r="BKE98" s="15"/>
      <c r="BKF98" s="15"/>
      <c r="BKG98" s="15"/>
      <c r="BKH98" s="15"/>
      <c r="BKI98" s="15"/>
      <c r="BKJ98" s="15"/>
      <c r="BKK98" s="15"/>
      <c r="BKL98" s="15"/>
      <c r="BKM98" s="15"/>
      <c r="BKN98" s="15"/>
      <c r="BKO98" s="15"/>
      <c r="BKP98" s="15"/>
      <c r="BKQ98" s="15"/>
      <c r="BKR98" s="15"/>
      <c r="BKS98" s="15"/>
      <c r="BKT98" s="15"/>
      <c r="BKU98" s="15"/>
      <c r="BKV98" s="15"/>
      <c r="BKW98" s="15"/>
      <c r="BKX98" s="15"/>
      <c r="BKY98" s="15"/>
      <c r="BKZ98" s="15"/>
      <c r="BLA98" s="15"/>
      <c r="BLB98" s="15"/>
      <c r="BLC98" s="15"/>
      <c r="BLD98" s="15"/>
      <c r="BLE98" s="15"/>
      <c r="BLF98" s="15"/>
      <c r="BLG98" s="15"/>
      <c r="BLH98" s="15"/>
      <c r="BLI98" s="15"/>
      <c r="BLJ98" s="15"/>
      <c r="BLK98" s="15"/>
      <c r="BLL98" s="15"/>
      <c r="BLM98" s="15"/>
      <c r="BLN98" s="15"/>
      <c r="BLO98" s="15"/>
      <c r="BLP98" s="15"/>
      <c r="BLQ98" s="15"/>
      <c r="BLR98" s="15"/>
      <c r="BLS98" s="15"/>
      <c r="BLT98" s="15"/>
      <c r="BLU98" s="15"/>
      <c r="BLV98" s="15"/>
      <c r="BLW98" s="15"/>
      <c r="BLX98" s="15"/>
      <c r="BLY98" s="15"/>
      <c r="BLZ98" s="15"/>
      <c r="BMA98" s="15"/>
      <c r="BMB98" s="15"/>
      <c r="BMC98" s="15"/>
      <c r="BMD98" s="15"/>
      <c r="BME98" s="15"/>
      <c r="BMF98" s="15"/>
      <c r="BMG98" s="15"/>
      <c r="BMH98" s="15"/>
      <c r="BMI98" s="15"/>
      <c r="BMJ98" s="15"/>
      <c r="BMK98" s="15"/>
      <c r="BML98" s="15"/>
      <c r="BMM98" s="15"/>
      <c r="BMN98" s="15"/>
      <c r="BMO98" s="15"/>
      <c r="BMP98" s="15"/>
      <c r="BMQ98" s="15"/>
      <c r="BMR98" s="15"/>
      <c r="BMS98" s="15"/>
      <c r="BMT98" s="15"/>
      <c r="BMU98" s="15"/>
      <c r="BMV98" s="15"/>
      <c r="BMW98" s="15"/>
      <c r="BMX98" s="15"/>
      <c r="BMY98" s="15"/>
      <c r="BMZ98" s="15"/>
      <c r="BNA98" s="15"/>
      <c r="BNB98" s="15"/>
      <c r="BNC98" s="15"/>
      <c r="BND98" s="15"/>
      <c r="BNE98" s="15"/>
      <c r="BNF98" s="15"/>
      <c r="BNG98" s="15"/>
      <c r="BNH98" s="15"/>
      <c r="BNI98" s="15"/>
      <c r="BNJ98" s="15"/>
      <c r="BNK98" s="15"/>
      <c r="BNL98" s="15"/>
      <c r="BNM98" s="15"/>
      <c r="BNN98" s="15"/>
      <c r="BNO98" s="15"/>
      <c r="BNP98" s="15"/>
      <c r="BNQ98" s="15"/>
      <c r="BNR98" s="15"/>
      <c r="BNS98" s="15"/>
      <c r="BNT98" s="15"/>
      <c r="BNU98" s="15"/>
      <c r="BNV98" s="15"/>
      <c r="BNW98" s="15"/>
      <c r="BNX98" s="15"/>
      <c r="BNY98" s="15"/>
      <c r="BNZ98" s="15"/>
      <c r="BOA98" s="15"/>
      <c r="BOB98" s="15"/>
      <c r="BOC98" s="15"/>
      <c r="BOD98" s="15"/>
      <c r="BOE98" s="15"/>
      <c r="BOF98" s="15"/>
      <c r="BOG98" s="15"/>
      <c r="BOH98" s="15"/>
      <c r="BOI98" s="15"/>
      <c r="BOJ98" s="15"/>
      <c r="BOK98" s="15"/>
      <c r="BOL98" s="15"/>
      <c r="BOM98" s="15"/>
      <c r="BON98" s="15"/>
      <c r="BOO98" s="15"/>
      <c r="BOP98" s="15"/>
      <c r="BOQ98" s="15"/>
      <c r="BOR98" s="15"/>
      <c r="BOS98" s="15"/>
      <c r="BOT98" s="15"/>
      <c r="BOU98" s="15"/>
      <c r="BOV98" s="15"/>
      <c r="BOW98" s="15"/>
      <c r="BOX98" s="15"/>
      <c r="BOY98" s="15"/>
      <c r="BOZ98" s="15"/>
      <c r="BPA98" s="15"/>
      <c r="BPB98" s="15"/>
      <c r="BPC98" s="15"/>
      <c r="BPD98" s="15"/>
      <c r="BPE98" s="15"/>
      <c r="BPF98" s="15"/>
      <c r="BPG98" s="15"/>
      <c r="BPH98" s="15"/>
      <c r="BPI98" s="15"/>
      <c r="BPJ98" s="15"/>
      <c r="BPK98" s="15"/>
      <c r="BPL98" s="15"/>
      <c r="BPM98" s="15"/>
      <c r="BPN98" s="15"/>
      <c r="BPO98" s="15"/>
      <c r="BPP98" s="15"/>
      <c r="BPQ98" s="15"/>
      <c r="BPR98" s="15"/>
      <c r="BPS98" s="15"/>
      <c r="BPT98" s="15"/>
      <c r="BPU98" s="15"/>
      <c r="BPV98" s="15"/>
      <c r="BPW98" s="15"/>
      <c r="BPX98" s="15"/>
      <c r="BPY98" s="15"/>
      <c r="BPZ98" s="15"/>
      <c r="BQA98" s="15"/>
      <c r="BQB98" s="15"/>
      <c r="BQC98" s="15"/>
      <c r="BQD98" s="15"/>
      <c r="BQE98" s="15"/>
      <c r="BQF98" s="15"/>
      <c r="BQG98" s="15"/>
      <c r="BQH98" s="15"/>
      <c r="BQI98" s="15"/>
      <c r="BQJ98" s="15"/>
      <c r="BQK98" s="15"/>
      <c r="BQL98" s="15"/>
      <c r="BQM98" s="15"/>
      <c r="BQN98" s="15"/>
      <c r="BQO98" s="15"/>
      <c r="BQP98" s="15"/>
      <c r="BQQ98" s="15"/>
      <c r="BQR98" s="15"/>
      <c r="BQS98" s="15"/>
      <c r="BQT98" s="15"/>
      <c r="BQU98" s="15"/>
      <c r="BQV98" s="15"/>
      <c r="BQW98" s="15"/>
      <c r="BQX98" s="15"/>
      <c r="BQY98" s="15"/>
      <c r="BQZ98" s="15"/>
      <c r="BRA98" s="15"/>
      <c r="BRB98" s="15"/>
      <c r="BRC98" s="15"/>
      <c r="BRD98" s="15"/>
      <c r="BRE98" s="15"/>
      <c r="BRF98" s="15"/>
      <c r="BRG98" s="15"/>
      <c r="BRH98" s="15"/>
      <c r="BRI98" s="15"/>
      <c r="BRJ98" s="15"/>
      <c r="BRK98" s="15"/>
      <c r="BRL98" s="15"/>
      <c r="BRM98" s="15"/>
      <c r="BRN98" s="15"/>
      <c r="BRO98" s="15"/>
      <c r="BRP98" s="15"/>
      <c r="BRQ98" s="15"/>
      <c r="BRR98" s="15"/>
      <c r="BRS98" s="15"/>
      <c r="BRT98" s="15"/>
      <c r="BRU98" s="15"/>
      <c r="BRV98" s="15"/>
      <c r="BRW98" s="15"/>
      <c r="BRX98" s="15"/>
      <c r="BRY98" s="15"/>
      <c r="BRZ98" s="15"/>
      <c r="BSA98" s="15"/>
      <c r="BSB98" s="15"/>
      <c r="BSC98" s="15"/>
      <c r="BSD98" s="15"/>
      <c r="BSE98" s="15"/>
      <c r="BSF98" s="15"/>
      <c r="BSG98" s="15"/>
      <c r="BSH98" s="15"/>
      <c r="BSI98" s="15"/>
      <c r="BSJ98" s="15"/>
      <c r="BSK98" s="15"/>
      <c r="BSL98" s="15"/>
      <c r="BSM98" s="15"/>
      <c r="BSN98" s="15"/>
      <c r="BSO98" s="15"/>
      <c r="BSP98" s="15"/>
      <c r="BSQ98" s="15"/>
      <c r="BSR98" s="15"/>
      <c r="BSS98" s="15"/>
      <c r="BST98" s="15"/>
      <c r="BSU98" s="15"/>
      <c r="BSV98" s="15"/>
      <c r="BSW98" s="15"/>
      <c r="BSX98" s="15"/>
      <c r="BSY98" s="15"/>
      <c r="BSZ98" s="15"/>
      <c r="BTA98" s="15"/>
      <c r="BTB98" s="15"/>
      <c r="BTC98" s="15"/>
      <c r="BTD98" s="15"/>
      <c r="BTE98" s="15"/>
      <c r="BTF98" s="15"/>
      <c r="BTG98" s="15"/>
      <c r="BTH98" s="15"/>
      <c r="BTI98" s="15"/>
      <c r="BTJ98" s="15"/>
      <c r="BTK98" s="15"/>
      <c r="BTL98" s="15"/>
      <c r="BTM98" s="15"/>
      <c r="BTN98" s="15"/>
      <c r="BTO98" s="15"/>
      <c r="BTP98" s="15"/>
      <c r="BTQ98" s="15"/>
      <c r="BTR98" s="15"/>
      <c r="BTS98" s="15"/>
      <c r="BTT98" s="15"/>
      <c r="BTU98" s="15"/>
      <c r="BTV98" s="15"/>
      <c r="BTW98" s="15"/>
      <c r="BTX98" s="15"/>
      <c r="BTY98" s="15"/>
      <c r="BTZ98" s="15"/>
      <c r="BUA98" s="15"/>
      <c r="BUB98" s="15"/>
      <c r="BUC98" s="15"/>
      <c r="BUD98" s="15"/>
      <c r="BUE98" s="15"/>
      <c r="BUF98" s="15"/>
      <c r="BUG98" s="15"/>
      <c r="BUH98" s="15"/>
      <c r="BUI98" s="15"/>
      <c r="BUJ98" s="15"/>
      <c r="BUK98" s="15"/>
      <c r="BUL98" s="15"/>
      <c r="BUM98" s="15"/>
      <c r="BUN98" s="15"/>
      <c r="BUO98" s="15"/>
      <c r="BUP98" s="15"/>
      <c r="BUQ98" s="15"/>
      <c r="BUR98" s="15"/>
      <c r="BUS98" s="15"/>
      <c r="BUT98" s="15"/>
      <c r="BUU98" s="15"/>
      <c r="BUV98" s="15"/>
      <c r="BUW98" s="15"/>
      <c r="BUX98" s="15"/>
      <c r="BUY98" s="15"/>
      <c r="BUZ98" s="15"/>
      <c r="BVA98" s="15"/>
      <c r="BVB98" s="15"/>
      <c r="BVC98" s="15"/>
      <c r="BVD98" s="15"/>
      <c r="BVE98" s="15"/>
      <c r="BVF98" s="15"/>
      <c r="BVG98" s="15"/>
      <c r="BVH98" s="15"/>
      <c r="BVI98" s="15"/>
      <c r="BVJ98" s="15"/>
      <c r="BVK98" s="15"/>
      <c r="BVL98" s="15"/>
      <c r="BVM98" s="15"/>
      <c r="BVN98" s="15"/>
      <c r="BVO98" s="15"/>
      <c r="BVP98" s="15"/>
      <c r="BVQ98" s="15"/>
      <c r="BVR98" s="15"/>
      <c r="BVS98" s="15"/>
      <c r="BVT98" s="15"/>
      <c r="BVU98" s="15"/>
      <c r="BVV98" s="15"/>
      <c r="BVW98" s="15"/>
      <c r="BVX98" s="15"/>
      <c r="BVY98" s="15"/>
      <c r="BVZ98" s="15"/>
      <c r="BWA98" s="15"/>
      <c r="BWB98" s="15"/>
      <c r="BWC98" s="15"/>
      <c r="BWD98" s="15"/>
      <c r="BWE98" s="15"/>
      <c r="BWF98" s="15"/>
      <c r="BWG98" s="15"/>
      <c r="BWH98" s="15"/>
      <c r="BWI98" s="15"/>
      <c r="BWJ98" s="15"/>
      <c r="BWK98" s="15"/>
      <c r="BWL98" s="15"/>
      <c r="BWM98" s="15"/>
      <c r="BWN98" s="15"/>
      <c r="BWO98" s="15"/>
      <c r="BWP98" s="15"/>
      <c r="BWQ98" s="15"/>
      <c r="BWR98" s="15"/>
      <c r="BWS98" s="15"/>
      <c r="BWT98" s="15"/>
      <c r="BWU98" s="15"/>
      <c r="BWV98" s="15"/>
      <c r="BWW98" s="15"/>
      <c r="BWX98" s="15"/>
      <c r="BWY98" s="15"/>
      <c r="BWZ98" s="15"/>
      <c r="BXA98" s="15"/>
      <c r="BXB98" s="15"/>
      <c r="BXC98" s="15"/>
      <c r="BXD98" s="15"/>
      <c r="BXE98" s="15"/>
      <c r="BXF98" s="15"/>
      <c r="BXG98" s="15"/>
      <c r="BXH98" s="15"/>
      <c r="BXI98" s="15"/>
      <c r="BXJ98" s="15"/>
      <c r="BXK98" s="15"/>
      <c r="BXL98" s="15"/>
      <c r="BXM98" s="15"/>
      <c r="BXN98" s="15"/>
      <c r="BXO98" s="15"/>
      <c r="BXP98" s="15"/>
      <c r="BXQ98" s="15"/>
      <c r="BXR98" s="15"/>
      <c r="BXS98" s="15"/>
      <c r="BXT98" s="15"/>
      <c r="BXU98" s="15"/>
      <c r="BXV98" s="15"/>
      <c r="BXW98" s="15"/>
      <c r="BXX98" s="15"/>
      <c r="BXY98" s="15"/>
      <c r="BXZ98" s="15"/>
      <c r="BYA98" s="15"/>
      <c r="BYB98" s="15"/>
      <c r="BYC98" s="15"/>
      <c r="BYD98" s="15"/>
      <c r="BYE98" s="15"/>
      <c r="BYF98" s="15"/>
      <c r="BYG98" s="15"/>
      <c r="BYH98" s="15"/>
      <c r="BYI98" s="15"/>
      <c r="BYJ98" s="15"/>
      <c r="BYK98" s="15"/>
      <c r="BYL98" s="15"/>
      <c r="BYM98" s="15"/>
      <c r="BYN98" s="15"/>
      <c r="BYO98" s="15"/>
      <c r="BYP98" s="15"/>
      <c r="BYQ98" s="15"/>
      <c r="BYR98" s="15"/>
      <c r="BYS98" s="15"/>
      <c r="BYT98" s="15"/>
      <c r="BYU98" s="15"/>
      <c r="BYV98" s="15"/>
      <c r="BYW98" s="15"/>
      <c r="BYX98" s="15"/>
      <c r="BYY98" s="15"/>
      <c r="BYZ98" s="15"/>
      <c r="BZA98" s="15"/>
      <c r="BZB98" s="15"/>
      <c r="BZC98" s="15"/>
      <c r="BZD98" s="15"/>
      <c r="BZE98" s="15"/>
      <c r="BZF98" s="15"/>
      <c r="BZG98" s="15"/>
      <c r="BZH98" s="15"/>
      <c r="BZI98" s="15"/>
      <c r="BZJ98" s="15"/>
      <c r="BZK98" s="15"/>
      <c r="BZL98" s="15"/>
      <c r="BZM98" s="15"/>
      <c r="BZN98" s="15"/>
      <c r="BZO98" s="15"/>
      <c r="BZP98" s="15"/>
      <c r="BZQ98" s="15"/>
      <c r="BZR98" s="15"/>
      <c r="BZS98" s="15"/>
      <c r="BZT98" s="15"/>
      <c r="BZU98" s="15"/>
      <c r="BZV98" s="15"/>
      <c r="BZW98" s="15"/>
      <c r="BZX98" s="15"/>
      <c r="BZY98" s="15"/>
      <c r="BZZ98" s="15"/>
      <c r="CAA98" s="15"/>
      <c r="CAB98" s="15"/>
      <c r="CAC98" s="15"/>
      <c r="CAD98" s="15"/>
      <c r="CAE98" s="15"/>
      <c r="CAF98" s="15"/>
      <c r="CAG98" s="15"/>
      <c r="CAH98" s="15"/>
      <c r="CAI98" s="15"/>
      <c r="CAJ98" s="15"/>
      <c r="CAK98" s="15"/>
      <c r="CAL98" s="15"/>
      <c r="CAM98" s="15"/>
      <c r="CAN98" s="15"/>
      <c r="CAO98" s="15"/>
      <c r="CAP98" s="15"/>
      <c r="CAQ98" s="15"/>
      <c r="CAR98" s="15"/>
      <c r="CAS98" s="15"/>
      <c r="CAT98" s="15"/>
      <c r="CAU98" s="15"/>
      <c r="CAV98" s="15"/>
      <c r="CAW98" s="15"/>
      <c r="CAX98" s="15"/>
      <c r="CAY98" s="15"/>
      <c r="CAZ98" s="15"/>
      <c r="CBA98" s="15"/>
      <c r="CBB98" s="15"/>
      <c r="CBC98" s="15"/>
      <c r="CBD98" s="15"/>
      <c r="CBE98" s="15"/>
      <c r="CBF98" s="15"/>
      <c r="CBG98" s="15"/>
      <c r="CBH98" s="15"/>
      <c r="CBI98" s="46"/>
      <c r="CBJ98" s="46"/>
      <c r="CBK98" s="46"/>
      <c r="CBL98" s="46"/>
      <c r="CBM98" s="46"/>
      <c r="CBN98" s="46"/>
      <c r="CBO98" s="46"/>
      <c r="CBP98" s="46"/>
      <c r="CBQ98" s="46"/>
      <c r="CBR98" s="46"/>
      <c r="CBS98" s="46"/>
      <c r="CBT98" s="46"/>
      <c r="CBU98" s="46"/>
      <c r="CBV98" s="46"/>
      <c r="CBW98" s="46"/>
      <c r="CBX98" s="46"/>
      <c r="CBY98" s="46"/>
      <c r="CBZ98" s="46"/>
      <c r="CCA98" s="46"/>
      <c r="CCB98" s="46"/>
      <c r="CCC98" s="46"/>
      <c r="CCD98" s="46"/>
      <c r="CCE98" s="46"/>
      <c r="CCF98" s="46"/>
      <c r="CCG98" s="46"/>
      <c r="CCH98" s="46"/>
      <c r="CCI98" s="46"/>
      <c r="CCJ98" s="46"/>
      <c r="CCK98" s="46"/>
      <c r="CCL98" s="46"/>
      <c r="CCM98" s="46"/>
      <c r="CCN98" s="46"/>
      <c r="CCO98" s="46"/>
      <c r="CCP98" s="46"/>
      <c r="CCQ98" s="46"/>
      <c r="CCR98" s="46"/>
      <c r="CCS98" s="46"/>
      <c r="CCT98" s="46"/>
      <c r="CCU98" s="46"/>
      <c r="CCV98" s="46"/>
      <c r="CCW98" s="46"/>
      <c r="CCX98" s="46"/>
      <c r="CCY98" s="46"/>
      <c r="CCZ98" s="46"/>
      <c r="CDA98" s="46"/>
      <c r="CDB98" s="46"/>
      <c r="CDC98" s="46"/>
      <c r="CDD98" s="46"/>
      <c r="CDE98" s="46"/>
      <c r="CDF98" s="46"/>
      <c r="CDG98" s="46"/>
      <c r="CDH98" s="46"/>
      <c r="CDI98" s="46"/>
      <c r="CDJ98" s="46"/>
      <c r="CDK98" s="46"/>
      <c r="CDL98" s="46"/>
      <c r="CDM98" s="46"/>
      <c r="CDN98" s="46"/>
      <c r="CDO98" s="46"/>
      <c r="CDP98" s="46"/>
      <c r="CDQ98" s="46"/>
      <c r="CDR98" s="46"/>
      <c r="CDS98" s="46"/>
      <c r="CDT98" s="46"/>
      <c r="CDU98" s="46"/>
      <c r="CDV98" s="46"/>
      <c r="CDW98" s="46"/>
      <c r="CDX98" s="46"/>
      <c r="CDY98" s="46"/>
      <c r="CDZ98" s="46"/>
      <c r="CEA98" s="46"/>
      <c r="CEB98" s="46"/>
      <c r="CEC98" s="46"/>
      <c r="CED98" s="46"/>
      <c r="CEE98" s="46"/>
      <c r="CEF98" s="46"/>
      <c r="CEG98" s="46"/>
      <c r="CEH98" s="46"/>
      <c r="CEI98" s="46"/>
      <c r="CEJ98" s="46"/>
      <c r="CEK98" s="46"/>
      <c r="CEL98" s="46"/>
      <c r="CEM98" s="46"/>
      <c r="CEN98" s="46"/>
      <c r="CEO98" s="46"/>
      <c r="CEP98" s="46"/>
      <c r="CEQ98" s="46"/>
      <c r="CER98" s="46"/>
      <c r="CES98" s="46"/>
      <c r="CET98" s="46"/>
      <c r="CEU98" s="46"/>
      <c r="CEV98" s="46"/>
      <c r="CEW98" s="46"/>
      <c r="CEX98" s="46"/>
      <c r="CEY98" s="46"/>
      <c r="CEZ98" s="46"/>
      <c r="CFA98" s="46"/>
      <c r="CFB98" s="46"/>
      <c r="CFC98" s="46"/>
      <c r="CFD98" s="46"/>
      <c r="CFE98" s="46"/>
      <c r="CFF98" s="46"/>
      <c r="CFG98" s="46"/>
      <c r="CFH98" s="46"/>
      <c r="CFI98" s="46"/>
      <c r="CFJ98" s="46"/>
      <c r="CFK98" s="46"/>
      <c r="CFL98" s="46"/>
      <c r="CFM98" s="46"/>
      <c r="CFN98" s="46"/>
      <c r="CFO98" s="46"/>
      <c r="CFP98" s="46"/>
      <c r="CFQ98" s="46"/>
      <c r="CFR98" s="46"/>
      <c r="CFS98" s="46"/>
      <c r="CFT98" s="46"/>
      <c r="CFU98" s="46"/>
      <c r="CFV98" s="46"/>
      <c r="CFW98" s="46"/>
      <c r="CFX98" s="46"/>
      <c r="CFY98" s="46"/>
      <c r="CFZ98" s="46"/>
      <c r="CGA98" s="46"/>
      <c r="CGB98" s="46"/>
      <c r="CGC98" s="46"/>
      <c r="CGD98" s="46"/>
      <c r="CGE98" s="46"/>
      <c r="CGF98" s="46"/>
      <c r="CGG98" s="46"/>
      <c r="CGH98" s="46"/>
      <c r="CGI98" s="46"/>
      <c r="CGJ98" s="46"/>
      <c r="CGK98" s="46"/>
      <c r="CGL98" s="46"/>
      <c r="CGM98" s="46"/>
      <c r="CGN98" s="46"/>
      <c r="CGO98" s="46"/>
      <c r="CGP98" s="46"/>
      <c r="CGQ98" s="46"/>
      <c r="CGR98" s="46"/>
      <c r="CGS98" s="46"/>
      <c r="CGT98" s="46"/>
      <c r="CGU98" s="46"/>
      <c r="CGV98" s="46"/>
      <c r="CGW98" s="46"/>
      <c r="CGX98" s="46"/>
      <c r="CGY98" s="46"/>
      <c r="CGZ98" s="46"/>
      <c r="CHA98" s="46"/>
      <c r="CHB98" s="46"/>
      <c r="CHC98" s="46"/>
      <c r="CHD98" s="46"/>
      <c r="CHE98" s="46"/>
      <c r="CHF98" s="46"/>
      <c r="CHG98" s="46"/>
      <c r="CHH98" s="46"/>
      <c r="CHI98" s="46"/>
      <c r="CHJ98" s="46"/>
      <c r="CHK98" s="46"/>
      <c r="CHL98" s="46"/>
      <c r="CHM98" s="46"/>
      <c r="CHN98" s="46"/>
      <c r="CHO98" s="46"/>
      <c r="CHP98" s="46"/>
      <c r="CHQ98" s="46"/>
      <c r="CHR98" s="46"/>
      <c r="CHS98" s="46"/>
      <c r="CHT98" s="46"/>
      <c r="CHU98" s="46"/>
      <c r="CHV98" s="46"/>
      <c r="CHW98" s="46"/>
      <c r="CHX98" s="46"/>
      <c r="CHY98" s="46"/>
      <c r="CHZ98" s="46"/>
      <c r="CIA98" s="46"/>
      <c r="CIB98" s="46"/>
      <c r="CIC98" s="46"/>
      <c r="CID98" s="46"/>
      <c r="CIE98" s="46"/>
      <c r="CIF98" s="46"/>
      <c r="CIG98" s="46"/>
      <c r="CIH98" s="46"/>
      <c r="CII98" s="46"/>
      <c r="CIJ98" s="46"/>
      <c r="CIK98" s="46"/>
      <c r="CIL98" s="46"/>
      <c r="CIM98" s="46"/>
      <c r="CIN98" s="46"/>
      <c r="CIO98" s="46"/>
      <c r="CIP98" s="46"/>
      <c r="CIQ98" s="46"/>
      <c r="CIR98" s="46"/>
      <c r="CIS98" s="46"/>
      <c r="CIT98" s="46"/>
      <c r="CIU98" s="46"/>
      <c r="CIV98" s="46"/>
      <c r="CIW98" s="46"/>
      <c r="CIX98" s="46"/>
      <c r="CIY98" s="46"/>
      <c r="CIZ98" s="46"/>
      <c r="CJA98" s="46"/>
      <c r="CJB98" s="46"/>
      <c r="CJC98" s="46"/>
      <c r="CJD98" s="46"/>
      <c r="CJE98" s="46"/>
      <c r="CJF98" s="46"/>
      <c r="CJG98" s="46"/>
      <c r="CJH98" s="46"/>
      <c r="CJI98" s="46"/>
      <c r="CJJ98" s="46"/>
      <c r="CJK98" s="46"/>
      <c r="CJL98" s="46"/>
      <c r="CJM98" s="46"/>
      <c r="CJN98" s="46"/>
      <c r="CJO98" s="46"/>
      <c r="CJP98" s="46"/>
      <c r="CJQ98" s="46"/>
      <c r="CJR98" s="46"/>
      <c r="CJS98" s="46"/>
      <c r="CJT98" s="46"/>
      <c r="CJU98" s="46"/>
      <c r="CJV98" s="46"/>
      <c r="CJW98" s="46"/>
      <c r="CJX98" s="46"/>
      <c r="CJY98" s="46"/>
      <c r="CJZ98" s="46"/>
      <c r="CKA98" s="46"/>
      <c r="CKB98" s="46"/>
      <c r="CKC98" s="46"/>
      <c r="CKD98" s="46"/>
      <c r="CKE98" s="46"/>
      <c r="CKF98" s="46"/>
      <c r="CKG98" s="46"/>
      <c r="CKH98" s="46"/>
      <c r="CKI98" s="46"/>
      <c r="CKJ98" s="46"/>
      <c r="CKK98" s="46"/>
      <c r="CKL98" s="46"/>
      <c r="CKM98" s="46"/>
      <c r="CKN98" s="46"/>
      <c r="CKO98" s="46"/>
      <c r="CKP98" s="46"/>
      <c r="CKQ98" s="46"/>
      <c r="CKR98" s="46"/>
      <c r="CKS98" s="46"/>
      <c r="CKT98" s="46"/>
      <c r="CKU98" s="46"/>
      <c r="CKV98" s="46"/>
      <c r="CKW98" s="46"/>
      <c r="CKX98" s="46"/>
      <c r="CKY98" s="46"/>
      <c r="CKZ98" s="46"/>
      <c r="CLA98" s="46"/>
      <c r="CLB98" s="46"/>
      <c r="CLC98" s="46"/>
      <c r="CLD98" s="46"/>
      <c r="CLE98" s="46"/>
      <c r="CLF98" s="46"/>
      <c r="CLG98" s="46"/>
      <c r="CLH98" s="46"/>
      <c r="CLI98" s="46"/>
      <c r="CLJ98" s="46"/>
      <c r="CLK98" s="46"/>
      <c r="CLL98" s="46"/>
      <c r="CLM98" s="46"/>
      <c r="CLN98" s="46"/>
      <c r="CLO98" s="46"/>
      <c r="CLP98" s="46"/>
      <c r="CLQ98" s="46"/>
      <c r="CLR98" s="46"/>
      <c r="CLS98" s="46"/>
      <c r="CLT98" s="46"/>
      <c r="CLU98" s="46"/>
      <c r="CLV98" s="46"/>
      <c r="CLW98" s="46"/>
      <c r="CLX98" s="46"/>
      <c r="CLY98" s="46"/>
      <c r="CLZ98" s="46"/>
      <c r="CMA98" s="46"/>
      <c r="CMB98" s="46"/>
      <c r="CMC98" s="46"/>
      <c r="CMD98" s="46"/>
      <c r="CME98" s="46"/>
      <c r="CMF98" s="46"/>
      <c r="CMG98" s="46"/>
      <c r="CMH98" s="46"/>
      <c r="CMI98" s="46"/>
      <c r="CMJ98" s="46"/>
      <c r="CMK98" s="46"/>
      <c r="CML98" s="46"/>
      <c r="CMM98" s="46"/>
      <c r="CMN98" s="46"/>
      <c r="CMO98" s="46"/>
      <c r="CMP98" s="46"/>
      <c r="CMQ98" s="46"/>
      <c r="CMR98" s="46"/>
      <c r="CMS98" s="46"/>
      <c r="CMT98" s="46"/>
      <c r="CMU98" s="46"/>
      <c r="CMV98" s="46"/>
      <c r="CMW98" s="46"/>
      <c r="CMX98" s="46"/>
      <c r="CMY98" s="46"/>
      <c r="CMZ98" s="46"/>
      <c r="CNA98" s="46"/>
      <c r="CNB98" s="46"/>
      <c r="CNC98" s="46"/>
      <c r="CND98" s="46"/>
      <c r="CNE98" s="46"/>
      <c r="CNF98" s="46"/>
      <c r="CNG98" s="46"/>
      <c r="CNH98" s="46"/>
      <c r="CNI98" s="46"/>
      <c r="CNJ98" s="46"/>
      <c r="CNK98" s="46"/>
      <c r="CNL98" s="46"/>
      <c r="CNM98" s="46"/>
      <c r="CNN98" s="46"/>
      <c r="CNO98" s="46"/>
      <c r="CNP98" s="46"/>
      <c r="CNQ98" s="46"/>
      <c r="CNR98" s="46"/>
      <c r="CNS98" s="46"/>
      <c r="CNT98" s="46"/>
      <c r="CNU98" s="46"/>
      <c r="CNV98" s="46"/>
      <c r="CNW98" s="46"/>
      <c r="CNX98" s="46"/>
      <c r="CNY98" s="46"/>
      <c r="CNZ98" s="46"/>
      <c r="COA98" s="46"/>
      <c r="COB98" s="46"/>
      <c r="COC98" s="46"/>
      <c r="COD98" s="46"/>
      <c r="COE98" s="46"/>
      <c r="COF98" s="46"/>
      <c r="COG98" s="46"/>
      <c r="COH98" s="46"/>
      <c r="COI98" s="46"/>
      <c r="COJ98" s="46"/>
      <c r="COK98" s="46"/>
      <c r="COL98" s="46"/>
      <c r="COM98" s="46"/>
      <c r="CON98" s="46"/>
      <c r="COO98" s="46"/>
      <c r="COP98" s="46"/>
      <c r="COQ98" s="46"/>
      <c r="COR98" s="46"/>
      <c r="COS98" s="46"/>
      <c r="COT98" s="46"/>
      <c r="COU98" s="46"/>
      <c r="COV98" s="46"/>
      <c r="COW98" s="46"/>
      <c r="COX98" s="46"/>
      <c r="COY98" s="46"/>
      <c r="COZ98" s="46"/>
      <c r="CPA98" s="46"/>
      <c r="CPB98" s="46"/>
      <c r="CPC98" s="46"/>
      <c r="CPD98" s="46"/>
      <c r="CPE98" s="46"/>
      <c r="CPF98" s="46"/>
      <c r="CPG98" s="46"/>
      <c r="CPH98" s="46"/>
      <c r="CPI98" s="46"/>
      <c r="CPJ98" s="46"/>
      <c r="CPK98" s="46"/>
      <c r="CPL98" s="46"/>
      <c r="CPM98" s="46"/>
      <c r="CPN98" s="46"/>
      <c r="CPO98" s="46"/>
      <c r="CPP98" s="46"/>
      <c r="CPQ98" s="46"/>
      <c r="CPR98" s="46"/>
      <c r="CPS98" s="46"/>
      <c r="CPT98" s="46"/>
      <c r="CPU98" s="46"/>
      <c r="CPV98" s="46"/>
      <c r="CPW98" s="46"/>
      <c r="CPX98" s="46"/>
      <c r="CPY98" s="46"/>
      <c r="CPZ98" s="46"/>
      <c r="CQA98" s="46"/>
      <c r="CQB98" s="46"/>
      <c r="CQC98" s="46"/>
      <c r="CQD98" s="46"/>
      <c r="CQE98" s="46"/>
      <c r="CQF98" s="46"/>
      <c r="CQG98" s="46"/>
      <c r="CQH98" s="46"/>
      <c r="CQI98" s="46"/>
      <c r="CQJ98" s="46"/>
      <c r="CQK98" s="46"/>
      <c r="CQL98" s="46"/>
      <c r="CQM98" s="46"/>
      <c r="CQN98" s="46"/>
      <c r="CQO98" s="46"/>
      <c r="CQP98" s="46"/>
      <c r="CQQ98" s="46"/>
      <c r="CQR98" s="46"/>
      <c r="CQS98" s="46"/>
      <c r="CQT98" s="46"/>
      <c r="CQU98" s="46"/>
      <c r="CQV98" s="46"/>
      <c r="CQW98" s="46"/>
      <c r="CQX98" s="46"/>
      <c r="CQY98" s="46"/>
      <c r="CQZ98" s="46"/>
      <c r="CRA98" s="46"/>
      <c r="CRB98" s="46"/>
      <c r="CRC98" s="46"/>
      <c r="CRD98" s="46"/>
      <c r="CRE98" s="46"/>
      <c r="CRF98" s="46"/>
      <c r="CRG98" s="46"/>
      <c r="CRH98" s="46"/>
      <c r="CRI98" s="46"/>
      <c r="CRJ98" s="46"/>
      <c r="CRK98" s="46"/>
      <c r="CRL98" s="46"/>
      <c r="CRM98" s="46"/>
      <c r="CRN98" s="46"/>
      <c r="CRO98" s="46"/>
      <c r="CRP98" s="46"/>
      <c r="CRQ98" s="46"/>
      <c r="CRR98" s="46"/>
      <c r="CRS98" s="46"/>
      <c r="CRT98" s="46"/>
      <c r="CRU98" s="46"/>
      <c r="CRV98" s="46"/>
      <c r="CRW98" s="46"/>
      <c r="CRX98" s="46"/>
      <c r="CRY98" s="46"/>
      <c r="CRZ98" s="46"/>
      <c r="CSA98" s="46"/>
      <c r="CSB98" s="46"/>
      <c r="CSC98" s="46"/>
      <c r="CSD98" s="46"/>
      <c r="CSE98" s="46"/>
      <c r="CSF98" s="46"/>
      <c r="CSG98" s="46"/>
      <c r="CSH98" s="46"/>
      <c r="CSI98" s="46"/>
      <c r="CSJ98" s="46"/>
      <c r="CSK98" s="46"/>
      <c r="CSL98" s="46"/>
      <c r="CSM98" s="46"/>
      <c r="CSN98" s="46"/>
      <c r="CSO98" s="46"/>
      <c r="CSP98" s="46"/>
      <c r="CSQ98" s="46"/>
      <c r="CSR98" s="46"/>
      <c r="CSS98" s="46"/>
      <c r="CST98" s="46"/>
      <c r="CSU98" s="46"/>
      <c r="CSV98" s="46"/>
      <c r="CSW98" s="46"/>
      <c r="CSX98" s="46"/>
      <c r="CSY98" s="46"/>
      <c r="CSZ98" s="46"/>
      <c r="CTA98" s="46"/>
      <c r="CTB98" s="46"/>
      <c r="CTC98" s="46"/>
      <c r="CTD98" s="46"/>
      <c r="CTE98" s="46"/>
      <c r="CTF98" s="46"/>
      <c r="CTG98" s="46"/>
      <c r="CTH98" s="46"/>
      <c r="CTI98" s="46"/>
      <c r="CTJ98" s="46"/>
      <c r="CTK98" s="46"/>
      <c r="CTL98" s="46"/>
      <c r="CTM98" s="46"/>
      <c r="CTN98" s="46"/>
      <c r="CTO98" s="46"/>
      <c r="CTP98" s="46"/>
      <c r="CTQ98" s="46"/>
      <c r="CTR98" s="46"/>
      <c r="CTS98" s="46"/>
      <c r="CTT98" s="46"/>
      <c r="CTU98" s="46"/>
      <c r="CTV98" s="46"/>
      <c r="CTW98" s="46"/>
      <c r="CTX98" s="46"/>
      <c r="CTY98" s="46"/>
      <c r="CTZ98" s="46"/>
      <c r="CUA98" s="46"/>
      <c r="CUB98" s="46"/>
      <c r="CUC98" s="46"/>
      <c r="CUD98" s="46"/>
      <c r="CUE98" s="46"/>
      <c r="CUF98" s="46"/>
      <c r="CUG98" s="46"/>
      <c r="CUH98" s="46"/>
      <c r="CUI98" s="46"/>
      <c r="CUJ98" s="46"/>
      <c r="CUK98" s="46"/>
      <c r="CUL98" s="46"/>
      <c r="CUM98" s="46"/>
      <c r="CUN98" s="46"/>
      <c r="CUO98" s="46"/>
      <c r="CUP98" s="46"/>
      <c r="CUQ98" s="46"/>
      <c r="CUR98" s="46"/>
      <c r="CUS98" s="46"/>
      <c r="CUT98" s="46"/>
      <c r="CUU98" s="46"/>
      <c r="CUV98" s="46"/>
      <c r="CUW98" s="46"/>
      <c r="CUX98" s="46"/>
      <c r="CUY98" s="46"/>
      <c r="CUZ98" s="46"/>
      <c r="CVA98" s="46"/>
      <c r="CVB98" s="46"/>
      <c r="CVC98" s="46"/>
      <c r="CVD98" s="46"/>
      <c r="CVE98" s="46"/>
      <c r="CVF98" s="46"/>
      <c r="CVG98" s="46"/>
      <c r="CVH98" s="46"/>
      <c r="CVI98" s="46"/>
      <c r="CVJ98" s="46"/>
      <c r="CVK98" s="46"/>
      <c r="CVL98" s="46"/>
      <c r="CVM98" s="46"/>
      <c r="CVN98" s="46"/>
      <c r="CVO98" s="46"/>
      <c r="CVP98" s="46"/>
      <c r="CVQ98" s="46"/>
      <c r="CVR98" s="46"/>
      <c r="CVS98" s="46"/>
      <c r="CVT98" s="46"/>
      <c r="CVU98" s="46"/>
      <c r="CVV98" s="46"/>
      <c r="CVW98" s="46"/>
      <c r="CVX98" s="46"/>
      <c r="CVY98" s="46"/>
      <c r="CVZ98" s="46"/>
      <c r="CWA98" s="46"/>
      <c r="CWB98" s="46"/>
      <c r="CWC98" s="46"/>
      <c r="CWD98" s="46"/>
      <c r="CWE98" s="46"/>
      <c r="CWF98" s="46"/>
      <c r="CWG98" s="46"/>
      <c r="CWH98" s="46"/>
      <c r="CWI98" s="46"/>
      <c r="CWJ98" s="46"/>
      <c r="CWK98" s="46"/>
      <c r="CWL98" s="46"/>
      <c r="CWM98" s="46"/>
      <c r="CWN98" s="46"/>
      <c r="CWO98" s="46"/>
      <c r="CWP98" s="46"/>
      <c r="CWQ98" s="46"/>
      <c r="CWR98" s="46"/>
      <c r="CWS98" s="46"/>
      <c r="CWT98" s="46"/>
      <c r="CWU98" s="46"/>
      <c r="CWV98" s="46"/>
      <c r="CWW98" s="46"/>
      <c r="CWX98" s="46"/>
      <c r="CWY98" s="46"/>
      <c r="CWZ98" s="46"/>
      <c r="CXA98" s="46"/>
      <c r="CXB98" s="46"/>
      <c r="CXC98" s="46"/>
      <c r="CXD98" s="46"/>
      <c r="CXE98" s="46"/>
      <c r="CXF98" s="46"/>
      <c r="CXG98" s="46"/>
      <c r="CXH98" s="46"/>
      <c r="CXI98" s="46"/>
      <c r="CXJ98" s="46"/>
      <c r="CXK98" s="46"/>
      <c r="CXL98" s="46"/>
      <c r="CXM98" s="46"/>
      <c r="CXN98" s="46"/>
      <c r="CXO98" s="46"/>
      <c r="CXP98" s="46"/>
      <c r="CXQ98" s="46"/>
      <c r="CXR98" s="46"/>
      <c r="CXS98" s="46"/>
      <c r="CXT98" s="46"/>
      <c r="CXU98" s="46"/>
      <c r="CXV98" s="46"/>
      <c r="CXW98" s="46"/>
      <c r="CXX98" s="46"/>
      <c r="CXY98" s="46"/>
      <c r="CXZ98" s="46"/>
      <c r="CYA98" s="46"/>
      <c r="CYB98" s="46"/>
      <c r="CYC98" s="46"/>
      <c r="CYD98" s="46"/>
      <c r="CYE98" s="46"/>
      <c r="CYF98" s="46"/>
      <c r="CYG98" s="46"/>
      <c r="CYH98" s="46"/>
      <c r="CYI98" s="46"/>
      <c r="CYJ98" s="46"/>
      <c r="CYK98" s="46"/>
      <c r="CYL98" s="46"/>
      <c r="CYM98" s="46"/>
      <c r="CYN98" s="46"/>
      <c r="CYO98" s="46"/>
      <c r="CYP98" s="46"/>
      <c r="CYQ98" s="46"/>
      <c r="CYR98" s="46"/>
      <c r="CYS98" s="46"/>
      <c r="CYT98" s="46"/>
      <c r="CYU98" s="46"/>
      <c r="CYV98" s="46"/>
      <c r="CYW98" s="46"/>
      <c r="CYX98" s="46"/>
      <c r="CYY98" s="46"/>
      <c r="CYZ98" s="46"/>
      <c r="CZA98" s="46"/>
      <c r="CZB98" s="46"/>
      <c r="CZC98" s="46"/>
      <c r="CZD98" s="46"/>
      <c r="CZE98" s="46"/>
      <c r="CZF98" s="46"/>
      <c r="CZG98" s="46"/>
      <c r="CZH98" s="46"/>
      <c r="CZI98" s="46"/>
      <c r="CZJ98" s="46"/>
      <c r="CZK98" s="46"/>
      <c r="CZL98" s="46"/>
      <c r="CZM98" s="46"/>
      <c r="CZN98" s="46"/>
      <c r="CZO98" s="46"/>
      <c r="CZP98" s="46"/>
      <c r="CZQ98" s="46"/>
      <c r="CZR98" s="46"/>
      <c r="CZS98" s="46"/>
      <c r="CZT98" s="46"/>
      <c r="CZU98" s="46"/>
      <c r="CZV98" s="46"/>
      <c r="CZW98" s="46"/>
      <c r="CZX98" s="46"/>
      <c r="CZY98" s="46"/>
      <c r="CZZ98" s="46"/>
      <c r="DAA98" s="46"/>
      <c r="DAB98" s="46"/>
      <c r="DAC98" s="46"/>
      <c r="DAD98" s="46"/>
      <c r="DAE98" s="46"/>
      <c r="DAF98" s="46"/>
      <c r="DAG98" s="46"/>
      <c r="DAH98" s="46"/>
      <c r="DAI98" s="46"/>
      <c r="DAJ98" s="46"/>
      <c r="DAK98" s="46"/>
      <c r="DAL98" s="46"/>
      <c r="DAM98" s="46"/>
      <c r="DAN98" s="46"/>
      <c r="DAO98" s="46"/>
      <c r="DAP98" s="46"/>
      <c r="DAQ98" s="46"/>
      <c r="DAR98" s="46"/>
      <c r="DAS98" s="46"/>
      <c r="DAT98" s="46"/>
      <c r="DAU98" s="46"/>
      <c r="DAV98" s="46"/>
      <c r="DAW98" s="46"/>
      <c r="DAX98" s="46"/>
      <c r="DAY98" s="46"/>
      <c r="DAZ98" s="46"/>
      <c r="DBA98" s="46"/>
      <c r="DBB98" s="46"/>
      <c r="DBC98" s="46"/>
      <c r="DBD98" s="46"/>
      <c r="DBE98" s="46"/>
      <c r="DBF98" s="46"/>
      <c r="DBG98" s="46"/>
      <c r="DBH98" s="46"/>
      <c r="DBI98" s="46"/>
      <c r="DBJ98" s="46"/>
      <c r="DBK98" s="46"/>
      <c r="DBL98" s="46"/>
      <c r="DBM98" s="46"/>
      <c r="DBN98" s="46"/>
      <c r="DBO98" s="46"/>
      <c r="DBP98" s="46"/>
      <c r="DBQ98" s="46"/>
      <c r="DBR98" s="46"/>
      <c r="DBS98" s="46"/>
      <c r="DBT98" s="46"/>
      <c r="DBU98" s="46"/>
      <c r="DBV98" s="46"/>
      <c r="DBW98" s="46"/>
      <c r="DBX98" s="46"/>
      <c r="DBY98" s="46"/>
      <c r="DBZ98" s="46"/>
      <c r="DCA98" s="46"/>
      <c r="DCB98" s="46"/>
      <c r="DCC98" s="46"/>
      <c r="DCD98" s="46"/>
      <c r="DCE98" s="46"/>
      <c r="DCF98" s="46"/>
      <c r="DCG98" s="46"/>
      <c r="DCH98" s="46"/>
      <c r="DCI98" s="46"/>
      <c r="DCJ98" s="46"/>
      <c r="DCK98" s="46"/>
      <c r="DCL98" s="46"/>
      <c r="DCM98" s="46"/>
      <c r="DCN98" s="46"/>
      <c r="DCO98" s="46"/>
      <c r="DCP98" s="46"/>
      <c r="DCQ98" s="46"/>
      <c r="DCR98" s="46"/>
      <c r="DCS98" s="46"/>
      <c r="DCT98" s="46"/>
      <c r="DCU98" s="46"/>
      <c r="DCV98" s="46"/>
      <c r="DCW98" s="46"/>
      <c r="DCX98" s="46"/>
      <c r="DCY98" s="46"/>
      <c r="DCZ98" s="46"/>
      <c r="DDA98" s="46"/>
      <c r="DDB98" s="46"/>
      <c r="DDC98" s="46"/>
      <c r="DDD98" s="46"/>
      <c r="DDE98" s="46"/>
      <c r="DDF98" s="46"/>
      <c r="DDG98" s="46"/>
      <c r="DDH98" s="46"/>
      <c r="DDI98" s="46"/>
      <c r="DDJ98" s="46"/>
      <c r="DDK98" s="46"/>
      <c r="DDL98" s="46"/>
      <c r="DDM98" s="46"/>
      <c r="DDN98" s="46"/>
      <c r="DDO98" s="46"/>
      <c r="DDP98" s="46"/>
      <c r="DDQ98" s="46"/>
      <c r="DDR98" s="46"/>
      <c r="DDS98" s="46"/>
      <c r="DDT98" s="46"/>
      <c r="DDU98" s="46"/>
      <c r="DDV98" s="46"/>
      <c r="DDW98" s="46"/>
      <c r="DDX98" s="46"/>
      <c r="DDY98" s="46"/>
      <c r="DDZ98" s="46"/>
      <c r="DEA98" s="46"/>
      <c r="DEB98" s="46"/>
      <c r="DEC98" s="46"/>
      <c r="DED98" s="46"/>
      <c r="DEE98" s="46"/>
      <c r="DEF98" s="46"/>
      <c r="DEG98" s="46"/>
      <c r="DEH98" s="46"/>
      <c r="DEI98" s="46"/>
      <c r="DEJ98" s="46"/>
      <c r="DEK98" s="46"/>
      <c r="DEL98" s="46"/>
      <c r="DEM98" s="46"/>
      <c r="DEN98" s="46"/>
      <c r="DEO98" s="46"/>
      <c r="DEP98" s="46"/>
      <c r="DEQ98" s="46"/>
      <c r="DER98" s="46"/>
      <c r="DES98" s="46"/>
      <c r="DET98" s="46"/>
      <c r="DEU98" s="46"/>
      <c r="DEV98" s="46"/>
      <c r="DEW98" s="46"/>
      <c r="DEX98" s="46"/>
      <c r="DEY98" s="46"/>
      <c r="DEZ98" s="46"/>
      <c r="DFA98" s="46"/>
      <c r="DFB98" s="46"/>
      <c r="DFC98" s="46"/>
      <c r="DFD98" s="46"/>
      <c r="DFE98" s="46"/>
      <c r="DFF98" s="46"/>
      <c r="DFG98" s="46"/>
      <c r="DFH98" s="46"/>
      <c r="DFI98" s="46"/>
      <c r="DFJ98" s="46"/>
      <c r="DFK98" s="46"/>
      <c r="DFL98" s="46"/>
      <c r="DFM98" s="46"/>
      <c r="DFN98" s="46"/>
      <c r="DFO98" s="46"/>
      <c r="DFP98" s="46"/>
      <c r="DFQ98" s="46"/>
      <c r="DFR98" s="46"/>
      <c r="DFS98" s="46"/>
      <c r="DFT98" s="46"/>
      <c r="DFU98" s="46"/>
      <c r="DFV98" s="46"/>
      <c r="DFW98" s="46"/>
      <c r="DFX98" s="46"/>
      <c r="DFY98" s="46"/>
      <c r="DFZ98" s="46"/>
      <c r="DGA98" s="46"/>
      <c r="DGB98" s="46"/>
      <c r="DGC98" s="46"/>
      <c r="DGD98" s="46"/>
      <c r="DGE98" s="46"/>
      <c r="DGF98" s="46"/>
      <c r="DGG98" s="46"/>
      <c r="DGH98" s="46"/>
      <c r="DGI98" s="46"/>
      <c r="DGJ98" s="46"/>
      <c r="DGK98" s="46"/>
      <c r="DGL98" s="46"/>
      <c r="DGM98" s="46"/>
      <c r="DGN98" s="46"/>
      <c r="DGO98" s="46"/>
      <c r="DGP98" s="46"/>
      <c r="DGQ98" s="46"/>
      <c r="DGR98" s="46"/>
      <c r="DGS98" s="46"/>
      <c r="DGT98" s="46"/>
      <c r="DGU98" s="46"/>
      <c r="DGV98" s="46"/>
      <c r="DGW98" s="46"/>
      <c r="DGX98" s="46"/>
      <c r="DGY98" s="46"/>
      <c r="DGZ98" s="46"/>
      <c r="DHA98" s="46"/>
      <c r="DHB98" s="46"/>
      <c r="DHC98" s="46"/>
      <c r="DHD98" s="46"/>
      <c r="DHE98" s="46"/>
      <c r="DHF98" s="46"/>
      <c r="DHG98" s="46"/>
      <c r="DHH98" s="46"/>
      <c r="DHI98" s="46"/>
      <c r="DHJ98" s="46"/>
      <c r="DHK98" s="46"/>
      <c r="DHL98" s="46"/>
      <c r="DHM98" s="46"/>
      <c r="DHN98" s="46"/>
      <c r="DHO98" s="46"/>
      <c r="DHP98" s="46"/>
      <c r="DHQ98" s="46"/>
      <c r="DHR98" s="46"/>
      <c r="DHS98" s="46"/>
      <c r="DHT98" s="46"/>
      <c r="DHU98" s="46"/>
      <c r="DHV98" s="46"/>
      <c r="DHW98" s="46"/>
      <c r="DHX98" s="46"/>
      <c r="DHY98" s="46"/>
      <c r="DHZ98" s="46"/>
      <c r="DIA98" s="46"/>
      <c r="DIB98" s="46"/>
      <c r="DIC98" s="46"/>
      <c r="DID98" s="46"/>
      <c r="DIE98" s="46"/>
      <c r="DIF98" s="46"/>
      <c r="DIG98" s="46"/>
      <c r="DIH98" s="46"/>
      <c r="DII98" s="46"/>
      <c r="DIJ98" s="46"/>
      <c r="DIK98" s="46"/>
      <c r="DIL98" s="46"/>
      <c r="DIM98" s="46"/>
      <c r="DIN98" s="46"/>
      <c r="DIO98" s="46"/>
      <c r="DIP98" s="46"/>
      <c r="DIQ98" s="46"/>
      <c r="DIR98" s="46"/>
      <c r="DIS98" s="46"/>
      <c r="DIT98" s="46"/>
      <c r="DIU98" s="46"/>
      <c r="DIV98" s="46"/>
      <c r="DIW98" s="46"/>
      <c r="DIX98" s="46"/>
      <c r="DIY98" s="46"/>
      <c r="DIZ98" s="46"/>
      <c r="DJA98" s="46"/>
      <c r="DJB98" s="46"/>
      <c r="DJC98" s="46"/>
      <c r="DJD98" s="46"/>
      <c r="DJE98" s="46"/>
      <c r="DJF98" s="46"/>
      <c r="DJG98" s="46"/>
      <c r="DJH98" s="46"/>
      <c r="DJI98" s="46"/>
      <c r="DJJ98" s="46"/>
      <c r="DJK98" s="46"/>
      <c r="DJL98" s="46"/>
      <c r="DJM98" s="46"/>
      <c r="DJN98" s="46"/>
      <c r="DJO98" s="46"/>
      <c r="DJP98" s="46"/>
      <c r="DJQ98" s="46"/>
      <c r="DJR98" s="46"/>
      <c r="DJS98" s="46"/>
      <c r="DJT98" s="46"/>
      <c r="DJU98" s="46"/>
      <c r="DJV98" s="46"/>
      <c r="DJW98" s="46"/>
      <c r="DJX98" s="46"/>
      <c r="DJY98" s="46"/>
      <c r="DJZ98" s="46"/>
      <c r="DKA98" s="46"/>
      <c r="DKB98" s="46"/>
      <c r="DKC98" s="46"/>
      <c r="DKD98" s="46"/>
      <c r="DKE98" s="46"/>
      <c r="DKF98" s="46"/>
      <c r="DKG98" s="46"/>
      <c r="DKH98" s="46"/>
      <c r="DKI98" s="46"/>
      <c r="DKJ98" s="46"/>
      <c r="DKK98" s="46"/>
      <c r="DKL98" s="46"/>
      <c r="DKM98" s="46"/>
      <c r="DKN98" s="46"/>
      <c r="DKO98" s="46"/>
      <c r="DKP98" s="46"/>
      <c r="DKQ98" s="46"/>
      <c r="DKR98" s="46"/>
      <c r="DKS98" s="46"/>
      <c r="DKT98" s="46"/>
      <c r="DKU98" s="46"/>
      <c r="DKV98" s="46"/>
      <c r="DKW98" s="46"/>
      <c r="DKX98" s="46"/>
      <c r="DKY98" s="46"/>
      <c r="DKZ98" s="46"/>
      <c r="DLA98" s="46"/>
      <c r="DLB98" s="46"/>
      <c r="DLC98" s="46"/>
      <c r="DLD98" s="46"/>
      <c r="DLE98" s="46"/>
      <c r="DLF98" s="46"/>
      <c r="DLG98" s="46"/>
      <c r="DLH98" s="46"/>
      <c r="DLI98" s="46"/>
      <c r="DLJ98" s="46"/>
      <c r="DLK98" s="46"/>
      <c r="DLL98" s="46"/>
      <c r="DLM98" s="46"/>
      <c r="DLN98" s="46"/>
      <c r="DLO98" s="46"/>
      <c r="DLP98" s="46"/>
      <c r="DLQ98" s="46"/>
      <c r="DLR98" s="46"/>
      <c r="DLS98" s="46"/>
      <c r="DLT98" s="46"/>
      <c r="DLU98" s="46"/>
      <c r="DLV98" s="46"/>
      <c r="DLW98" s="46"/>
      <c r="DLX98" s="46"/>
      <c r="DLY98" s="46"/>
      <c r="DLZ98" s="46"/>
      <c r="DMA98" s="46"/>
      <c r="DMB98" s="46"/>
      <c r="DMC98" s="46"/>
      <c r="DMD98" s="46"/>
      <c r="DME98" s="46"/>
      <c r="DMF98" s="46"/>
      <c r="DMG98" s="46"/>
      <c r="DMH98" s="46"/>
      <c r="DMI98" s="46"/>
      <c r="DMJ98" s="46"/>
      <c r="DMK98" s="46"/>
      <c r="DML98" s="46"/>
      <c r="DMM98" s="46"/>
      <c r="DMN98" s="46"/>
      <c r="DMO98" s="46"/>
      <c r="DMP98" s="46"/>
      <c r="DMQ98" s="46"/>
      <c r="DMR98" s="46"/>
      <c r="DMS98" s="46"/>
      <c r="DMT98" s="46"/>
      <c r="DMU98" s="46"/>
      <c r="DMV98" s="46"/>
      <c r="DMW98" s="46"/>
      <c r="DMX98" s="46"/>
      <c r="DMY98" s="46"/>
      <c r="DMZ98" s="46"/>
      <c r="DNA98" s="46"/>
      <c r="DNB98" s="46"/>
      <c r="DNC98" s="46"/>
      <c r="DND98" s="46"/>
      <c r="DNE98" s="46"/>
      <c r="DNF98" s="46"/>
      <c r="DNG98" s="46"/>
      <c r="DNH98" s="46"/>
      <c r="DNI98" s="46"/>
      <c r="DNJ98" s="46"/>
      <c r="DNK98" s="46"/>
      <c r="DNL98" s="46"/>
      <c r="DNM98" s="46"/>
      <c r="DNN98" s="46"/>
      <c r="DNO98" s="46"/>
      <c r="DNP98" s="46"/>
      <c r="DNQ98" s="46"/>
      <c r="DNR98" s="46"/>
      <c r="DNS98" s="46"/>
      <c r="DNT98" s="46"/>
      <c r="DNU98" s="46"/>
      <c r="DNV98" s="46"/>
      <c r="DNW98" s="46"/>
      <c r="DNX98" s="46"/>
      <c r="DNY98" s="46"/>
      <c r="DNZ98" s="46"/>
      <c r="DOA98" s="46"/>
      <c r="DOB98" s="46"/>
      <c r="DOC98" s="46"/>
      <c r="DOD98" s="46"/>
      <c r="DOE98" s="46"/>
      <c r="DOF98" s="46"/>
      <c r="DOG98" s="46"/>
      <c r="DOH98" s="46"/>
      <c r="DOI98" s="46"/>
      <c r="DOJ98" s="46"/>
      <c r="DOK98" s="46"/>
      <c r="DOL98" s="46"/>
      <c r="DOM98" s="46"/>
      <c r="DON98" s="46"/>
      <c r="DOO98" s="46"/>
      <c r="DOP98" s="46"/>
      <c r="DOQ98" s="46"/>
      <c r="DOR98" s="46"/>
      <c r="DOS98" s="46"/>
      <c r="DOT98" s="46"/>
      <c r="DOU98" s="46"/>
      <c r="DOV98" s="46"/>
      <c r="DOW98" s="46"/>
      <c r="DOX98" s="46"/>
      <c r="DOY98" s="46"/>
      <c r="DOZ98" s="46"/>
      <c r="DPA98" s="46"/>
      <c r="DPB98" s="46"/>
      <c r="DPC98" s="46"/>
      <c r="DPD98" s="46"/>
      <c r="DPE98" s="46"/>
      <c r="DPF98" s="46"/>
      <c r="DPG98" s="46"/>
      <c r="DPH98" s="46"/>
      <c r="DPI98" s="46"/>
      <c r="DPJ98" s="46"/>
      <c r="DPK98" s="46"/>
      <c r="DPL98" s="46"/>
      <c r="DPM98" s="46"/>
      <c r="DPN98" s="46"/>
      <c r="DPO98" s="46"/>
      <c r="DPP98" s="46"/>
      <c r="DPQ98" s="46"/>
      <c r="DPR98" s="46"/>
      <c r="DPS98" s="46"/>
      <c r="DPT98" s="46"/>
      <c r="DPU98" s="46"/>
      <c r="DPV98" s="46"/>
      <c r="DPW98" s="46"/>
      <c r="DPX98" s="46"/>
      <c r="DPY98" s="46"/>
      <c r="DPZ98" s="46"/>
      <c r="DQA98" s="46"/>
      <c r="DQB98" s="46"/>
      <c r="DQC98" s="46"/>
      <c r="DQD98" s="46"/>
      <c r="DQE98" s="46"/>
      <c r="DQF98" s="46"/>
      <c r="DQG98" s="46"/>
      <c r="DQH98" s="46"/>
      <c r="DQI98" s="46"/>
      <c r="DQJ98" s="46"/>
      <c r="DQK98" s="46"/>
      <c r="DQL98" s="46"/>
      <c r="DQM98" s="46"/>
      <c r="DQN98" s="46"/>
      <c r="DQO98" s="46"/>
      <c r="DQP98" s="46"/>
      <c r="DQQ98" s="46"/>
      <c r="DQR98" s="46"/>
      <c r="DQS98" s="46"/>
      <c r="DQT98" s="46"/>
      <c r="DQU98" s="46"/>
      <c r="DQV98" s="46"/>
      <c r="DQW98" s="46"/>
      <c r="DQX98" s="46"/>
      <c r="DQY98" s="46"/>
      <c r="DQZ98" s="46"/>
      <c r="DRA98" s="46"/>
      <c r="DRB98" s="46"/>
      <c r="DRC98" s="46"/>
      <c r="DRD98" s="46"/>
      <c r="DRE98" s="46"/>
      <c r="DRF98" s="46"/>
      <c r="DRG98" s="46"/>
      <c r="DRH98" s="46"/>
      <c r="DRI98" s="46"/>
      <c r="DRJ98" s="46"/>
      <c r="DRK98" s="46"/>
      <c r="DRL98" s="46"/>
      <c r="DRM98" s="46"/>
      <c r="DRN98" s="46"/>
      <c r="DRO98" s="46"/>
      <c r="DRP98" s="46"/>
      <c r="DRQ98" s="46"/>
      <c r="DRR98" s="46"/>
      <c r="DRS98" s="46"/>
      <c r="DRT98" s="46"/>
      <c r="DRU98" s="46"/>
      <c r="DRV98" s="46"/>
      <c r="DRW98" s="46"/>
      <c r="DRX98" s="46"/>
      <c r="DRY98" s="46"/>
      <c r="DRZ98" s="46"/>
      <c r="DSA98" s="46"/>
      <c r="DSB98" s="46"/>
      <c r="DSC98" s="46"/>
      <c r="DSD98" s="46"/>
      <c r="DSE98" s="46"/>
      <c r="DSF98" s="46"/>
      <c r="DSG98" s="46"/>
      <c r="DSH98" s="46"/>
      <c r="DSI98" s="46"/>
      <c r="DSJ98" s="46"/>
      <c r="DSK98" s="46"/>
      <c r="DSL98" s="46"/>
      <c r="DSM98" s="46"/>
      <c r="DSN98" s="46"/>
      <c r="DSO98" s="46"/>
      <c r="DSP98" s="46"/>
      <c r="DSQ98" s="46"/>
      <c r="DSR98" s="46"/>
      <c r="DSS98" s="46"/>
      <c r="DST98" s="46"/>
      <c r="DSU98" s="46"/>
      <c r="DSV98" s="46"/>
      <c r="DSW98" s="46"/>
      <c r="DSX98" s="46"/>
      <c r="DSY98" s="46"/>
      <c r="DSZ98" s="46"/>
      <c r="DTA98" s="46"/>
      <c r="DTB98" s="46"/>
      <c r="DTC98" s="46"/>
      <c r="DTD98" s="46"/>
      <c r="DTE98" s="46"/>
      <c r="DTF98" s="46"/>
      <c r="DTG98" s="46"/>
      <c r="DTH98" s="46"/>
      <c r="DTI98" s="46"/>
      <c r="DTJ98" s="46"/>
      <c r="DTK98" s="46"/>
      <c r="DTL98" s="46"/>
      <c r="DTM98" s="46"/>
      <c r="DTN98" s="46"/>
      <c r="DTO98" s="46"/>
      <c r="DTP98" s="46"/>
      <c r="DTQ98" s="46"/>
      <c r="DTR98" s="46"/>
      <c r="DTS98" s="46"/>
      <c r="DTT98" s="46"/>
      <c r="DTU98" s="46"/>
      <c r="DTV98" s="46"/>
      <c r="DTW98" s="46"/>
      <c r="DTX98" s="46"/>
      <c r="DTY98" s="46"/>
      <c r="DTZ98" s="46"/>
      <c r="DUA98" s="46"/>
      <c r="DUB98" s="46"/>
      <c r="DUC98" s="46"/>
      <c r="DUD98" s="46"/>
      <c r="DUE98" s="46"/>
      <c r="DUF98" s="46"/>
      <c r="DUG98" s="46"/>
      <c r="DUH98" s="46"/>
      <c r="DUI98" s="46"/>
      <c r="DUJ98" s="46"/>
      <c r="DUK98" s="46"/>
      <c r="DUL98" s="46"/>
      <c r="DUM98" s="46"/>
      <c r="DUN98" s="46"/>
      <c r="DUO98" s="46"/>
      <c r="DUP98" s="46"/>
      <c r="DUQ98" s="46"/>
      <c r="DUR98" s="46"/>
      <c r="DUS98" s="46"/>
      <c r="DUT98" s="46"/>
      <c r="DUU98" s="46"/>
      <c r="DUV98" s="46"/>
      <c r="DUW98" s="46"/>
      <c r="DUX98" s="46"/>
      <c r="DUY98" s="46"/>
      <c r="DUZ98" s="46"/>
      <c r="DVA98" s="46"/>
      <c r="DVB98" s="46"/>
      <c r="DVC98" s="46"/>
      <c r="DVD98" s="46"/>
      <c r="DVE98" s="46"/>
      <c r="DVF98" s="46"/>
      <c r="DVG98" s="46"/>
      <c r="DVH98" s="46"/>
      <c r="DVI98" s="46"/>
      <c r="DVJ98" s="46"/>
      <c r="DVK98" s="46"/>
      <c r="DVL98" s="46"/>
      <c r="DVM98" s="46"/>
      <c r="DVN98" s="46"/>
      <c r="DVO98" s="46"/>
      <c r="DVP98" s="46"/>
      <c r="DVQ98" s="46"/>
      <c r="DVR98" s="46"/>
      <c r="DVS98" s="46"/>
      <c r="DVT98" s="46"/>
      <c r="DVU98" s="46"/>
      <c r="DVV98" s="46"/>
      <c r="DVW98" s="46"/>
      <c r="DVX98" s="46"/>
      <c r="DVY98" s="46"/>
      <c r="DVZ98" s="46"/>
      <c r="DWA98" s="46"/>
      <c r="DWB98" s="46"/>
      <c r="DWC98" s="46"/>
      <c r="DWD98" s="46"/>
      <c r="DWE98" s="46"/>
      <c r="DWF98" s="46"/>
      <c r="DWG98" s="46"/>
      <c r="DWH98" s="46"/>
      <c r="DWI98" s="46"/>
      <c r="DWJ98" s="46"/>
      <c r="DWK98" s="46"/>
      <c r="DWL98" s="46"/>
      <c r="DWM98" s="46"/>
      <c r="DWN98" s="46"/>
      <c r="DWO98" s="46"/>
      <c r="DWP98" s="46"/>
      <c r="DWQ98" s="46"/>
      <c r="DWR98" s="46"/>
      <c r="DWS98" s="46"/>
      <c r="DWT98" s="46"/>
      <c r="DWU98" s="46"/>
      <c r="DWV98" s="46"/>
      <c r="DWW98" s="46"/>
      <c r="DWX98" s="46"/>
      <c r="DWY98" s="46"/>
      <c r="DWZ98" s="46"/>
      <c r="DXA98" s="46"/>
      <c r="DXB98" s="46"/>
      <c r="DXC98" s="46"/>
      <c r="DXD98" s="46"/>
      <c r="DXE98" s="46"/>
      <c r="DXF98" s="46"/>
      <c r="DXG98" s="46"/>
      <c r="DXH98" s="46"/>
      <c r="DXI98" s="46"/>
      <c r="DXJ98" s="46"/>
      <c r="DXK98" s="46"/>
      <c r="DXL98" s="46"/>
      <c r="DXM98" s="46"/>
      <c r="DXN98" s="46"/>
      <c r="DXO98" s="46"/>
      <c r="DXP98" s="46"/>
      <c r="DXQ98" s="46"/>
      <c r="DXR98" s="46"/>
      <c r="DXS98" s="46"/>
      <c r="DXT98" s="46"/>
      <c r="DXU98" s="46"/>
      <c r="DXV98" s="46"/>
      <c r="DXW98" s="46"/>
      <c r="DXX98" s="46"/>
      <c r="DXY98" s="46"/>
      <c r="DXZ98" s="46"/>
      <c r="DYA98" s="46"/>
      <c r="DYB98" s="46"/>
      <c r="DYC98" s="46"/>
      <c r="DYD98" s="46"/>
      <c r="DYE98" s="46"/>
      <c r="DYF98" s="46"/>
      <c r="DYG98" s="46"/>
      <c r="DYH98" s="46"/>
      <c r="DYI98" s="46"/>
      <c r="DYJ98" s="46"/>
      <c r="DYK98" s="46"/>
      <c r="DYL98" s="46"/>
      <c r="DYM98" s="46"/>
      <c r="DYN98" s="46"/>
      <c r="DYO98" s="46"/>
      <c r="DYP98" s="46"/>
      <c r="DYQ98" s="46"/>
      <c r="DYR98" s="46"/>
      <c r="DYS98" s="46"/>
      <c r="DYT98" s="46"/>
      <c r="DYU98" s="46"/>
      <c r="DYV98" s="46"/>
      <c r="DYW98" s="46"/>
      <c r="DYX98" s="46"/>
      <c r="DYY98" s="46"/>
      <c r="DYZ98" s="46"/>
      <c r="DZA98" s="46"/>
      <c r="DZB98" s="46"/>
      <c r="DZC98" s="46"/>
      <c r="DZD98" s="46"/>
      <c r="DZE98" s="46"/>
      <c r="DZF98" s="46"/>
      <c r="DZG98" s="46"/>
      <c r="DZH98" s="46"/>
      <c r="DZI98" s="46"/>
      <c r="DZJ98" s="46"/>
      <c r="DZK98" s="46"/>
      <c r="DZL98" s="46"/>
      <c r="DZM98" s="46"/>
      <c r="DZN98" s="46"/>
      <c r="DZO98" s="46"/>
      <c r="DZP98" s="46"/>
      <c r="DZQ98" s="46"/>
      <c r="DZR98" s="46"/>
      <c r="DZS98" s="46"/>
      <c r="DZT98" s="46"/>
      <c r="DZU98" s="46"/>
      <c r="DZV98" s="46"/>
      <c r="DZW98" s="46"/>
      <c r="DZX98" s="46"/>
      <c r="DZY98" s="46"/>
      <c r="DZZ98" s="46"/>
      <c r="EAA98" s="46"/>
      <c r="EAB98" s="46"/>
      <c r="EAC98" s="46"/>
      <c r="EAD98" s="46"/>
      <c r="EAE98" s="46"/>
      <c r="EAF98" s="46"/>
      <c r="EAG98" s="46"/>
      <c r="EAH98" s="46"/>
      <c r="EAI98" s="46"/>
      <c r="EAJ98" s="46"/>
      <c r="EAK98" s="46"/>
      <c r="EAL98" s="46"/>
      <c r="EAM98" s="46"/>
      <c r="EAN98" s="46"/>
      <c r="EAO98" s="46"/>
      <c r="EAP98" s="46"/>
      <c r="EAQ98" s="46"/>
      <c r="EAR98" s="46"/>
      <c r="EAS98" s="46"/>
      <c r="EAT98" s="46"/>
      <c r="EAU98" s="46"/>
      <c r="EAV98" s="46"/>
      <c r="EAW98" s="46"/>
      <c r="EAX98" s="46"/>
      <c r="EAY98" s="46"/>
      <c r="EAZ98" s="46"/>
      <c r="EBA98" s="46"/>
      <c r="EBB98" s="46"/>
      <c r="EBC98" s="46"/>
      <c r="EBD98" s="46"/>
      <c r="EBE98" s="46"/>
      <c r="EBF98" s="46"/>
      <c r="EBG98" s="46"/>
      <c r="EBH98" s="46"/>
      <c r="EBI98" s="46"/>
      <c r="EBJ98" s="46"/>
      <c r="EBK98" s="46"/>
      <c r="EBL98" s="46"/>
      <c r="EBM98" s="46"/>
      <c r="EBN98" s="46"/>
      <c r="EBO98" s="46"/>
      <c r="EBP98" s="46"/>
      <c r="EBQ98" s="46"/>
      <c r="EBR98" s="46"/>
      <c r="EBS98" s="46"/>
      <c r="EBT98" s="46"/>
      <c r="EBU98" s="46"/>
      <c r="EBV98" s="46"/>
      <c r="EBW98" s="46"/>
      <c r="EBX98" s="46"/>
      <c r="EBY98" s="46"/>
      <c r="EBZ98" s="46"/>
      <c r="ECA98" s="46"/>
      <c r="ECB98" s="46"/>
      <c r="ECC98" s="46"/>
      <c r="ECD98" s="46"/>
      <c r="ECE98" s="46"/>
      <c r="ECF98" s="46"/>
      <c r="ECG98" s="46"/>
      <c r="ECH98" s="46"/>
      <c r="ECI98" s="46"/>
      <c r="ECJ98" s="46"/>
      <c r="ECK98" s="46"/>
      <c r="ECL98" s="46"/>
      <c r="ECM98" s="46"/>
      <c r="ECN98" s="46"/>
      <c r="ECO98" s="46"/>
      <c r="ECP98" s="46"/>
      <c r="ECQ98" s="46"/>
      <c r="ECR98" s="46"/>
      <c r="ECS98" s="46"/>
      <c r="ECT98" s="46"/>
      <c r="ECU98" s="46"/>
      <c r="ECV98" s="46"/>
      <c r="ECW98" s="46"/>
      <c r="ECX98" s="46"/>
      <c r="ECY98" s="46"/>
      <c r="ECZ98" s="46"/>
      <c r="EDA98" s="46"/>
      <c r="EDB98" s="46"/>
      <c r="EDC98" s="46"/>
      <c r="EDD98" s="46"/>
      <c r="EDE98" s="46"/>
      <c r="EDF98" s="46"/>
      <c r="EDG98" s="46"/>
      <c r="EDH98" s="46"/>
      <c r="EDI98" s="46"/>
      <c r="EDJ98" s="46"/>
      <c r="EDK98" s="46"/>
      <c r="EDL98" s="46"/>
      <c r="EDM98" s="46"/>
      <c r="EDN98" s="46"/>
      <c r="EDO98" s="46"/>
      <c r="EDP98" s="46"/>
      <c r="EDQ98" s="46"/>
      <c r="EDR98" s="46"/>
      <c r="EDS98" s="46"/>
      <c r="EDT98" s="46"/>
      <c r="EDU98" s="46"/>
      <c r="EDV98" s="46"/>
      <c r="EDW98" s="46"/>
      <c r="EDX98" s="46"/>
      <c r="EDY98" s="46"/>
      <c r="EDZ98" s="46"/>
      <c r="EEA98" s="46"/>
      <c r="EEB98" s="46"/>
      <c r="EEC98" s="46"/>
      <c r="EED98" s="46"/>
      <c r="EEE98" s="46"/>
      <c r="EEF98" s="46"/>
      <c r="EEG98" s="46"/>
      <c r="EEH98" s="46"/>
      <c r="EEI98" s="46"/>
      <c r="EEJ98" s="46"/>
      <c r="EEK98" s="46"/>
      <c r="EEL98" s="46"/>
      <c r="EEM98" s="46"/>
      <c r="EEN98" s="46"/>
      <c r="EEO98" s="46"/>
      <c r="EEP98" s="46"/>
      <c r="EEQ98" s="46"/>
      <c r="EER98" s="46"/>
      <c r="EES98" s="46"/>
      <c r="EET98" s="46"/>
      <c r="EEU98" s="46"/>
      <c r="EEV98" s="46"/>
      <c r="EEW98" s="46"/>
      <c r="EEX98" s="46"/>
      <c r="EEY98" s="46"/>
      <c r="EEZ98" s="46"/>
      <c r="EFA98" s="46"/>
      <c r="EFB98" s="46"/>
      <c r="EFC98" s="46"/>
      <c r="EFD98" s="46"/>
      <c r="EFE98" s="46"/>
      <c r="EFF98" s="46"/>
      <c r="EFG98" s="46"/>
      <c r="EFH98" s="46"/>
      <c r="EFI98" s="46"/>
      <c r="EFJ98" s="46"/>
      <c r="EFK98" s="46"/>
      <c r="EFL98" s="46"/>
      <c r="EFM98" s="46"/>
      <c r="EFN98" s="46"/>
      <c r="EFO98" s="46"/>
      <c r="EFP98" s="46"/>
      <c r="EFQ98" s="46"/>
      <c r="EFR98" s="46"/>
      <c r="EFS98" s="46"/>
      <c r="EFT98" s="46"/>
      <c r="EFU98" s="46"/>
      <c r="EFV98" s="46"/>
      <c r="EFW98" s="46"/>
      <c r="EFX98" s="46"/>
      <c r="EFY98" s="46"/>
      <c r="EFZ98" s="46"/>
      <c r="EGA98" s="46"/>
      <c r="EGB98" s="46"/>
      <c r="EGC98" s="46"/>
      <c r="EGD98" s="46"/>
      <c r="EGE98" s="46"/>
      <c r="EGF98" s="46"/>
      <c r="EGG98" s="46"/>
      <c r="EGH98" s="46"/>
      <c r="EGI98" s="46"/>
      <c r="EGJ98" s="46"/>
      <c r="EGK98" s="46"/>
      <c r="EGL98" s="46"/>
      <c r="EGM98" s="46"/>
      <c r="EGN98" s="46"/>
      <c r="EGO98" s="46"/>
      <c r="EGP98" s="46"/>
      <c r="EGQ98" s="46"/>
      <c r="EGR98" s="46"/>
      <c r="EGS98" s="46"/>
      <c r="EGT98" s="46"/>
      <c r="EGU98" s="46"/>
      <c r="EGV98" s="46"/>
      <c r="EGW98" s="46"/>
      <c r="EGX98" s="46"/>
      <c r="EGY98" s="46"/>
      <c r="EGZ98" s="46"/>
      <c r="EHA98" s="46"/>
      <c r="EHB98" s="46"/>
      <c r="EHC98" s="46"/>
      <c r="EHD98" s="46"/>
      <c r="EHE98" s="46"/>
      <c r="EHF98" s="46"/>
      <c r="EHG98" s="46"/>
      <c r="EHH98" s="46"/>
      <c r="EHI98" s="46"/>
      <c r="EHJ98" s="46"/>
      <c r="EHK98" s="46"/>
      <c r="EHL98" s="46"/>
      <c r="EHM98" s="46"/>
      <c r="EHN98" s="46"/>
      <c r="EHO98" s="46"/>
      <c r="EHP98" s="46"/>
      <c r="EHQ98" s="46"/>
      <c r="EHR98" s="46"/>
      <c r="EHS98" s="46"/>
      <c r="EHT98" s="46"/>
      <c r="EHU98" s="46"/>
      <c r="EHV98" s="46"/>
      <c r="EHW98" s="46"/>
      <c r="EHX98" s="46"/>
      <c r="EHY98" s="46"/>
      <c r="EHZ98" s="46"/>
      <c r="EIA98" s="46"/>
      <c r="EIB98" s="46"/>
      <c r="EIC98" s="46"/>
      <c r="EID98" s="46"/>
      <c r="EIE98" s="46"/>
      <c r="EIF98" s="46"/>
      <c r="EIG98" s="46"/>
      <c r="EIH98" s="46"/>
      <c r="EII98" s="46"/>
      <c r="EIJ98" s="46"/>
      <c r="EIK98" s="46"/>
      <c r="EIL98" s="46"/>
      <c r="EIM98" s="46"/>
      <c r="EIN98" s="46"/>
      <c r="EIO98" s="46"/>
      <c r="EIP98" s="46"/>
      <c r="EIQ98" s="46"/>
      <c r="EIR98" s="46"/>
      <c r="EIS98" s="46"/>
      <c r="EIT98" s="46"/>
      <c r="EIU98" s="46"/>
      <c r="EIV98" s="46"/>
      <c r="EIW98" s="46"/>
      <c r="EIX98" s="46"/>
      <c r="EIY98" s="46"/>
      <c r="EIZ98" s="46"/>
      <c r="EJA98" s="46"/>
      <c r="EJB98" s="46"/>
      <c r="EJC98" s="46"/>
      <c r="EJD98" s="46"/>
      <c r="EJE98" s="46"/>
      <c r="EJF98" s="46"/>
      <c r="EJG98" s="46"/>
      <c r="EJH98" s="46"/>
      <c r="EJI98" s="46"/>
      <c r="EJJ98" s="46"/>
      <c r="EJK98" s="46"/>
      <c r="EJL98" s="46"/>
      <c r="EJM98" s="46"/>
      <c r="EJN98" s="46"/>
      <c r="EJO98" s="46"/>
      <c r="EJP98" s="46"/>
      <c r="EJQ98" s="46"/>
      <c r="EJR98" s="46"/>
      <c r="EJS98" s="46"/>
      <c r="EJT98" s="46"/>
      <c r="EJU98" s="46"/>
      <c r="EJV98" s="46"/>
      <c r="EJW98" s="46"/>
      <c r="EJX98" s="46"/>
      <c r="EJY98" s="46"/>
      <c r="EJZ98" s="46"/>
      <c r="EKA98" s="46"/>
      <c r="EKB98" s="46"/>
      <c r="EKC98" s="46"/>
      <c r="EKD98" s="46"/>
      <c r="EKE98" s="46"/>
      <c r="EKF98" s="46"/>
      <c r="EKG98" s="46"/>
      <c r="EKH98" s="46"/>
      <c r="EKI98" s="46"/>
      <c r="EKJ98" s="46"/>
      <c r="EKK98" s="46"/>
      <c r="EKL98" s="46"/>
      <c r="EKM98" s="46"/>
      <c r="EKN98" s="46"/>
      <c r="EKO98" s="46"/>
      <c r="EKP98" s="46"/>
      <c r="EKQ98" s="46"/>
      <c r="EKR98" s="46"/>
      <c r="EKS98" s="46"/>
      <c r="EKT98" s="46"/>
      <c r="EKU98" s="46"/>
      <c r="EKV98" s="46"/>
      <c r="EKW98" s="46"/>
      <c r="EKX98" s="46"/>
      <c r="EKY98" s="46"/>
      <c r="EKZ98" s="46"/>
      <c r="ELA98" s="46"/>
      <c r="ELB98" s="46"/>
      <c r="ELC98" s="46"/>
      <c r="ELD98" s="46"/>
      <c r="ELE98" s="46"/>
      <c r="ELF98" s="46"/>
      <c r="ELG98" s="46"/>
      <c r="ELH98" s="46"/>
      <c r="ELI98" s="46"/>
      <c r="ELJ98" s="46"/>
      <c r="ELK98" s="46"/>
      <c r="ELL98" s="46"/>
      <c r="ELM98" s="46"/>
      <c r="ELN98" s="46"/>
      <c r="ELO98" s="46"/>
      <c r="ELP98" s="46"/>
      <c r="ELQ98" s="46"/>
      <c r="ELR98" s="46"/>
      <c r="ELS98" s="46"/>
      <c r="ELT98" s="46"/>
      <c r="ELU98" s="46"/>
      <c r="ELV98" s="46"/>
      <c r="ELW98" s="46"/>
      <c r="ELX98" s="46"/>
      <c r="ELY98" s="46"/>
      <c r="ELZ98" s="46"/>
      <c r="EMA98" s="46"/>
      <c r="EMB98" s="46"/>
      <c r="EMC98" s="46"/>
      <c r="EMD98" s="46"/>
      <c r="EME98" s="46"/>
      <c r="EMF98" s="46"/>
      <c r="EMG98" s="46"/>
      <c r="EMH98" s="46"/>
      <c r="EMI98" s="46"/>
      <c r="EMJ98" s="46"/>
      <c r="EMK98" s="46"/>
      <c r="EML98" s="46"/>
      <c r="EMM98" s="46"/>
      <c r="EMN98" s="46"/>
      <c r="EMO98" s="46"/>
      <c r="EMP98" s="46"/>
      <c r="EMQ98" s="46"/>
      <c r="EMR98" s="46"/>
      <c r="EMS98" s="46"/>
      <c r="EMT98" s="46"/>
      <c r="EMU98" s="46"/>
      <c r="EMV98" s="46"/>
      <c r="EMW98" s="46"/>
      <c r="EMX98" s="46"/>
      <c r="EMY98" s="46"/>
      <c r="EMZ98" s="46"/>
      <c r="ENA98" s="46"/>
      <c r="ENB98" s="46"/>
      <c r="ENC98" s="46"/>
      <c r="END98" s="46"/>
      <c r="ENE98" s="46"/>
      <c r="ENF98" s="46"/>
      <c r="ENG98" s="46"/>
      <c r="ENH98" s="46"/>
      <c r="ENI98" s="46"/>
      <c r="ENJ98" s="46"/>
      <c r="ENK98" s="46"/>
      <c r="ENL98" s="46"/>
      <c r="ENM98" s="46"/>
      <c r="ENN98" s="46"/>
      <c r="ENO98" s="46"/>
      <c r="ENP98" s="46"/>
      <c r="ENQ98" s="46"/>
      <c r="ENR98" s="46"/>
      <c r="ENS98" s="46"/>
      <c r="ENT98" s="46"/>
      <c r="ENU98" s="46"/>
      <c r="ENV98" s="46"/>
      <c r="ENW98" s="46"/>
      <c r="ENX98" s="46"/>
      <c r="ENY98" s="46"/>
      <c r="ENZ98" s="46"/>
      <c r="EOA98" s="46"/>
      <c r="EOB98" s="46"/>
      <c r="EOC98" s="46"/>
      <c r="EOD98" s="46"/>
      <c r="EOE98" s="46"/>
      <c r="EOF98" s="46"/>
      <c r="EOG98" s="46"/>
      <c r="EOH98" s="46"/>
      <c r="EOI98" s="46"/>
      <c r="EOJ98" s="46"/>
      <c r="EOK98" s="46"/>
      <c r="EOL98" s="46"/>
      <c r="EOM98" s="46"/>
      <c r="EON98" s="46"/>
      <c r="EOO98" s="46"/>
      <c r="EOP98" s="46"/>
      <c r="EOQ98" s="46"/>
      <c r="EOR98" s="46"/>
      <c r="EOS98" s="46"/>
      <c r="EOT98" s="46"/>
      <c r="EOU98" s="46"/>
      <c r="EOV98" s="46"/>
      <c r="EOW98" s="46"/>
      <c r="EOX98" s="46"/>
      <c r="EOY98" s="46"/>
      <c r="EOZ98" s="46"/>
      <c r="EPA98" s="46"/>
      <c r="EPB98" s="46"/>
      <c r="EPC98" s="46"/>
      <c r="EPD98" s="46"/>
      <c r="EPE98" s="46"/>
      <c r="EPF98" s="46"/>
      <c r="EPG98" s="46"/>
      <c r="EPH98" s="46"/>
      <c r="EPI98" s="46"/>
      <c r="EPJ98" s="46"/>
      <c r="EPK98" s="46"/>
      <c r="EPL98" s="46"/>
      <c r="EPM98" s="46"/>
      <c r="EPN98" s="46"/>
      <c r="EPO98" s="46"/>
      <c r="EPP98" s="46"/>
      <c r="EPQ98" s="46"/>
      <c r="EPR98" s="46"/>
      <c r="EPS98" s="46"/>
      <c r="EPT98" s="46"/>
      <c r="EPU98" s="46"/>
      <c r="EPV98" s="46"/>
      <c r="EPW98" s="46"/>
      <c r="EPX98" s="46"/>
      <c r="EPY98" s="46"/>
      <c r="EPZ98" s="46"/>
      <c r="EQA98" s="46"/>
      <c r="EQB98" s="46"/>
      <c r="EQC98" s="46"/>
      <c r="EQD98" s="46"/>
      <c r="EQE98" s="46"/>
      <c r="EQF98" s="46"/>
      <c r="EQG98" s="46"/>
      <c r="EQH98" s="46"/>
      <c r="EQI98" s="46"/>
      <c r="EQJ98" s="46"/>
      <c r="EQK98" s="46"/>
      <c r="EQL98" s="46"/>
      <c r="EQM98" s="46"/>
      <c r="EQN98" s="46"/>
      <c r="EQO98" s="46"/>
      <c r="EQP98" s="46"/>
      <c r="EQQ98" s="46"/>
      <c r="EQR98" s="46"/>
      <c r="EQS98" s="46"/>
      <c r="EQT98" s="46"/>
      <c r="EQU98" s="46"/>
      <c r="EQV98" s="46"/>
      <c r="EQW98" s="46"/>
      <c r="EQX98" s="46"/>
      <c r="EQY98" s="46"/>
      <c r="EQZ98" s="46"/>
      <c r="ERA98" s="46"/>
      <c r="ERB98" s="46"/>
      <c r="ERC98" s="46"/>
      <c r="ERD98" s="46"/>
      <c r="ERE98" s="46"/>
      <c r="ERF98" s="46"/>
      <c r="ERG98" s="46"/>
      <c r="ERH98" s="46"/>
      <c r="ERI98" s="46"/>
      <c r="ERJ98" s="46"/>
      <c r="ERK98" s="46"/>
      <c r="ERL98" s="46"/>
      <c r="ERM98" s="46"/>
      <c r="ERN98" s="46"/>
      <c r="ERO98" s="46"/>
      <c r="ERP98" s="46"/>
      <c r="ERQ98" s="46"/>
      <c r="ERR98" s="46"/>
      <c r="ERS98" s="46"/>
      <c r="ERT98" s="46"/>
      <c r="ERU98" s="46"/>
      <c r="ERV98" s="46"/>
      <c r="ERW98" s="46"/>
      <c r="ERX98" s="46"/>
      <c r="ERY98" s="46"/>
      <c r="ERZ98" s="46"/>
      <c r="ESA98" s="46"/>
      <c r="ESB98" s="46"/>
      <c r="ESC98" s="46"/>
      <c r="ESD98" s="46"/>
      <c r="ESE98" s="46"/>
      <c r="ESF98" s="46"/>
      <c r="ESG98" s="46"/>
      <c r="ESH98" s="46"/>
      <c r="ESI98" s="46"/>
      <c r="ESJ98" s="46"/>
      <c r="ESK98" s="46"/>
      <c r="ESL98" s="46"/>
      <c r="ESM98" s="46"/>
      <c r="ESN98" s="46"/>
      <c r="ESO98" s="46"/>
      <c r="ESP98" s="46"/>
      <c r="ESQ98" s="46"/>
      <c r="ESR98" s="46"/>
      <c r="ESS98" s="46"/>
      <c r="EST98" s="46"/>
      <c r="ESU98" s="46"/>
      <c r="ESV98" s="46"/>
      <c r="ESW98" s="46"/>
      <c r="ESX98" s="46"/>
      <c r="ESY98" s="46"/>
      <c r="ESZ98" s="46"/>
      <c r="ETA98" s="46"/>
      <c r="ETB98" s="46"/>
      <c r="ETC98" s="46"/>
      <c r="ETD98" s="46"/>
      <c r="ETE98" s="46"/>
      <c r="ETF98" s="46"/>
      <c r="ETG98" s="46"/>
      <c r="ETH98" s="46"/>
      <c r="ETI98" s="46"/>
      <c r="ETJ98" s="46"/>
      <c r="ETK98" s="46"/>
      <c r="ETL98" s="46"/>
      <c r="ETM98" s="46"/>
      <c r="ETN98" s="46"/>
      <c r="ETO98" s="46"/>
      <c r="ETP98" s="46"/>
      <c r="ETQ98" s="46"/>
      <c r="ETR98" s="46"/>
      <c r="ETS98" s="46"/>
      <c r="ETT98" s="46"/>
      <c r="ETU98" s="46"/>
      <c r="ETV98" s="46"/>
      <c r="ETW98" s="46"/>
      <c r="ETX98" s="46"/>
      <c r="ETY98" s="46"/>
      <c r="ETZ98" s="46"/>
      <c r="EUA98" s="46"/>
      <c r="EUB98" s="46"/>
      <c r="EUC98" s="46"/>
      <c r="EUD98" s="46"/>
      <c r="EUE98" s="46"/>
      <c r="EUF98" s="46"/>
      <c r="EUG98" s="46"/>
      <c r="EUH98" s="46"/>
      <c r="EUI98" s="46"/>
      <c r="EUJ98" s="46"/>
      <c r="EUK98" s="46"/>
      <c r="EUL98" s="46"/>
      <c r="EUM98" s="46"/>
      <c r="EUN98" s="46"/>
      <c r="EUO98" s="46"/>
      <c r="EUP98" s="46"/>
      <c r="EUQ98" s="46"/>
      <c r="EUR98" s="46"/>
      <c r="EUS98" s="46"/>
      <c r="EUT98" s="46"/>
      <c r="EUU98" s="46"/>
      <c r="EUV98" s="46"/>
      <c r="EUW98" s="46"/>
      <c r="EUX98" s="46"/>
      <c r="EUY98" s="46"/>
      <c r="EUZ98" s="46"/>
      <c r="EVA98" s="46"/>
      <c r="EVB98" s="46"/>
      <c r="EVC98" s="46"/>
      <c r="EVD98" s="46"/>
      <c r="EVE98" s="46"/>
      <c r="EVF98" s="46"/>
      <c r="EVG98" s="46"/>
      <c r="EVH98" s="46"/>
      <c r="EVI98" s="46"/>
      <c r="EVJ98" s="46"/>
      <c r="EVK98" s="46"/>
      <c r="EVL98" s="46"/>
      <c r="EVM98" s="46"/>
      <c r="EVN98" s="46"/>
      <c r="EVO98" s="46"/>
      <c r="EVP98" s="46"/>
      <c r="EVQ98" s="46"/>
      <c r="EVR98" s="46"/>
      <c r="EVS98" s="46"/>
      <c r="EVT98" s="46"/>
      <c r="EVU98" s="46"/>
      <c r="EVV98" s="46"/>
      <c r="EVW98" s="46"/>
      <c r="EVX98" s="46"/>
      <c r="EVY98" s="46"/>
      <c r="EVZ98" s="46"/>
      <c r="EWA98" s="46"/>
      <c r="EWB98" s="46"/>
      <c r="EWC98" s="46"/>
      <c r="EWD98" s="46"/>
      <c r="EWE98" s="46"/>
      <c r="EWF98" s="46"/>
      <c r="EWG98" s="46"/>
      <c r="EWH98" s="46"/>
      <c r="EWI98" s="46"/>
      <c r="EWJ98" s="46"/>
      <c r="EWK98" s="46"/>
      <c r="EWL98" s="46"/>
      <c r="EWM98" s="46"/>
      <c r="EWN98" s="46"/>
      <c r="EWO98" s="46"/>
      <c r="EWP98" s="46"/>
      <c r="EWQ98" s="46"/>
      <c r="EWR98" s="46"/>
      <c r="EWS98" s="46"/>
      <c r="EWT98" s="46"/>
      <c r="EWU98" s="46"/>
      <c r="EWV98" s="46"/>
      <c r="EWW98" s="46"/>
      <c r="EWX98" s="46"/>
      <c r="EWY98" s="46"/>
      <c r="EWZ98" s="46"/>
      <c r="EXA98" s="46"/>
      <c r="EXB98" s="46"/>
      <c r="EXC98" s="46"/>
      <c r="EXD98" s="46"/>
      <c r="EXE98" s="46"/>
      <c r="EXF98" s="46"/>
      <c r="EXG98" s="46"/>
      <c r="EXH98" s="46"/>
      <c r="EXI98" s="46"/>
      <c r="EXJ98" s="46"/>
      <c r="EXK98" s="46"/>
      <c r="EXL98" s="46"/>
      <c r="EXM98" s="46"/>
      <c r="EXN98" s="46"/>
      <c r="EXO98" s="46"/>
      <c r="EXP98" s="46"/>
      <c r="EXQ98" s="46"/>
      <c r="EXR98" s="46"/>
      <c r="EXS98" s="46"/>
      <c r="EXT98" s="46"/>
      <c r="EXU98" s="46"/>
      <c r="EXV98" s="46"/>
      <c r="EXW98" s="46"/>
      <c r="EXX98" s="46"/>
      <c r="EXY98" s="46"/>
      <c r="EXZ98" s="46"/>
      <c r="EYA98" s="46"/>
      <c r="EYB98" s="46"/>
      <c r="EYC98" s="46"/>
      <c r="EYD98" s="46"/>
      <c r="EYE98" s="46"/>
      <c r="EYF98" s="46"/>
      <c r="EYG98" s="46"/>
      <c r="EYH98" s="46"/>
      <c r="EYI98" s="46"/>
      <c r="EYJ98" s="46"/>
      <c r="EYK98" s="46"/>
      <c r="EYL98" s="46"/>
      <c r="EYM98" s="46"/>
      <c r="EYN98" s="46"/>
      <c r="EYO98" s="46"/>
      <c r="EYP98" s="46"/>
      <c r="EYQ98" s="46"/>
      <c r="EYR98" s="46"/>
      <c r="EYS98" s="46"/>
      <c r="EYT98" s="46"/>
      <c r="EYU98" s="46"/>
      <c r="EYV98" s="46"/>
      <c r="EYW98" s="46"/>
      <c r="EYX98" s="46"/>
      <c r="EYY98" s="46"/>
      <c r="EYZ98" s="46"/>
      <c r="EZA98" s="46"/>
      <c r="EZB98" s="46"/>
      <c r="EZC98" s="46"/>
      <c r="EZD98" s="46"/>
      <c r="EZE98" s="46"/>
      <c r="EZF98" s="46"/>
      <c r="EZG98" s="46"/>
      <c r="EZH98" s="46"/>
      <c r="EZI98" s="46"/>
      <c r="EZJ98" s="46"/>
      <c r="EZK98" s="46"/>
      <c r="EZL98" s="46"/>
      <c r="EZM98" s="46"/>
      <c r="EZN98" s="46"/>
      <c r="EZO98" s="46"/>
      <c r="EZP98" s="46"/>
      <c r="EZQ98" s="46"/>
      <c r="EZR98" s="46"/>
      <c r="EZS98" s="46"/>
      <c r="EZT98" s="46"/>
      <c r="EZU98" s="46"/>
      <c r="EZV98" s="46"/>
      <c r="EZW98" s="46"/>
      <c r="EZX98" s="46"/>
      <c r="EZY98" s="46"/>
      <c r="EZZ98" s="46"/>
      <c r="FAA98" s="46"/>
      <c r="FAB98" s="46"/>
      <c r="FAC98" s="46"/>
      <c r="FAD98" s="46"/>
      <c r="FAE98" s="46"/>
      <c r="FAF98" s="46"/>
      <c r="FAG98" s="46"/>
      <c r="FAH98" s="46"/>
      <c r="FAI98" s="46"/>
      <c r="FAJ98" s="46"/>
      <c r="FAK98" s="46"/>
      <c r="FAL98" s="46"/>
      <c r="FAM98" s="46"/>
      <c r="FAN98" s="46"/>
      <c r="FAO98" s="46"/>
      <c r="FAP98" s="46"/>
      <c r="FAQ98" s="46"/>
      <c r="FAR98" s="46"/>
      <c r="FAS98" s="46"/>
      <c r="FAT98" s="46"/>
      <c r="FAU98" s="46"/>
      <c r="FAV98" s="46"/>
      <c r="FAW98" s="46"/>
      <c r="FAX98" s="46"/>
      <c r="FAY98" s="46"/>
      <c r="FAZ98" s="46"/>
      <c r="FBA98" s="46"/>
      <c r="FBB98" s="46"/>
      <c r="FBC98" s="46"/>
      <c r="FBD98" s="46"/>
      <c r="FBE98" s="46"/>
      <c r="FBF98" s="46"/>
      <c r="FBG98" s="46"/>
      <c r="FBH98" s="46"/>
      <c r="FBI98" s="46"/>
      <c r="FBJ98" s="46"/>
      <c r="FBK98" s="46"/>
      <c r="FBL98" s="46"/>
      <c r="FBM98" s="46"/>
      <c r="FBN98" s="46"/>
      <c r="FBO98" s="46"/>
      <c r="FBP98" s="46"/>
      <c r="FBQ98" s="46"/>
      <c r="FBR98" s="46"/>
      <c r="FBS98" s="46"/>
      <c r="FBT98" s="46"/>
      <c r="FBU98" s="46"/>
      <c r="FBV98" s="46"/>
      <c r="FBW98" s="46"/>
      <c r="FBX98" s="46"/>
      <c r="FBY98" s="46"/>
      <c r="FBZ98" s="46"/>
      <c r="FCA98" s="46"/>
      <c r="FCB98" s="46"/>
      <c r="FCC98" s="46"/>
      <c r="FCD98" s="46"/>
      <c r="FCE98" s="46"/>
      <c r="FCF98" s="46"/>
      <c r="FCG98" s="46"/>
      <c r="FCH98" s="46"/>
      <c r="FCI98" s="46"/>
      <c r="FCJ98" s="46"/>
      <c r="FCK98" s="46"/>
      <c r="FCL98" s="46"/>
      <c r="FCM98" s="46"/>
      <c r="FCN98" s="46"/>
      <c r="FCO98" s="46"/>
      <c r="FCP98" s="46"/>
      <c r="FCQ98" s="46"/>
      <c r="FCR98" s="46"/>
      <c r="FCS98" s="46"/>
      <c r="FCT98" s="46"/>
      <c r="FCU98" s="46"/>
      <c r="FCV98" s="46"/>
      <c r="FCW98" s="46"/>
      <c r="FCX98" s="46"/>
      <c r="FCY98" s="46"/>
      <c r="FCZ98" s="46"/>
      <c r="FDA98" s="46"/>
      <c r="FDB98" s="46"/>
      <c r="FDC98" s="46"/>
      <c r="FDD98" s="46"/>
      <c r="FDE98" s="46"/>
      <c r="FDF98" s="46"/>
      <c r="FDG98" s="46"/>
      <c r="FDH98" s="46"/>
      <c r="FDI98" s="46"/>
      <c r="FDJ98" s="46"/>
      <c r="FDK98" s="46"/>
      <c r="FDL98" s="46"/>
      <c r="FDM98" s="46"/>
      <c r="FDN98" s="46"/>
      <c r="FDO98" s="46"/>
      <c r="FDP98" s="46"/>
      <c r="FDQ98" s="46"/>
      <c r="FDR98" s="46"/>
      <c r="FDS98" s="46"/>
      <c r="FDT98" s="46"/>
      <c r="FDU98" s="46"/>
      <c r="FDV98" s="46"/>
      <c r="FDW98" s="46"/>
      <c r="FDX98" s="46"/>
      <c r="FDY98" s="46"/>
      <c r="FDZ98" s="46"/>
      <c r="FEA98" s="46"/>
      <c r="FEB98" s="46"/>
      <c r="FEC98" s="46"/>
      <c r="FED98" s="46"/>
      <c r="FEE98" s="46"/>
      <c r="FEF98" s="46"/>
      <c r="FEG98" s="46"/>
      <c r="FEH98" s="46"/>
      <c r="FEI98" s="46"/>
      <c r="FEJ98" s="46"/>
      <c r="FEK98" s="46"/>
      <c r="FEL98" s="46"/>
      <c r="FEM98" s="46"/>
      <c r="FEN98" s="46"/>
      <c r="FEO98" s="46"/>
      <c r="FEP98" s="46"/>
      <c r="FEQ98" s="46"/>
      <c r="FER98" s="46"/>
      <c r="FES98" s="46"/>
      <c r="FET98" s="46"/>
      <c r="FEU98" s="46"/>
      <c r="FEV98" s="46"/>
      <c r="FEW98" s="46"/>
      <c r="FEX98" s="46"/>
      <c r="FEY98" s="46"/>
      <c r="FEZ98" s="46"/>
      <c r="FFA98" s="46"/>
      <c r="FFB98" s="46"/>
      <c r="FFC98" s="46"/>
      <c r="FFD98" s="46"/>
      <c r="FFE98" s="46"/>
      <c r="FFF98" s="46"/>
      <c r="FFG98" s="46"/>
      <c r="FFH98" s="46"/>
      <c r="FFI98" s="46"/>
      <c r="FFJ98" s="46"/>
      <c r="FFK98" s="46"/>
      <c r="FFL98" s="46"/>
      <c r="FFM98" s="46"/>
      <c r="FFN98" s="46"/>
      <c r="FFO98" s="46"/>
      <c r="FFP98" s="46"/>
      <c r="FFQ98" s="46"/>
      <c r="FFR98" s="46"/>
      <c r="FFS98" s="46"/>
      <c r="FFT98" s="46"/>
      <c r="FFU98" s="46"/>
      <c r="FFV98" s="46"/>
      <c r="FFW98" s="46"/>
      <c r="FFX98" s="46"/>
      <c r="FFY98" s="46"/>
      <c r="FFZ98" s="46"/>
      <c r="FGA98" s="46"/>
      <c r="FGB98" s="46"/>
      <c r="FGC98" s="46"/>
      <c r="FGD98" s="46"/>
      <c r="FGE98" s="46"/>
      <c r="FGF98" s="46"/>
      <c r="FGG98" s="46"/>
      <c r="FGH98" s="46"/>
      <c r="FGI98" s="46"/>
      <c r="FGJ98" s="46"/>
      <c r="FGK98" s="46"/>
      <c r="FGL98" s="46"/>
      <c r="FGM98" s="46"/>
      <c r="FGN98" s="46"/>
      <c r="FGO98" s="46"/>
      <c r="FGP98" s="46"/>
      <c r="FGQ98" s="46"/>
      <c r="FGR98" s="46"/>
      <c r="FGS98" s="46"/>
      <c r="FGT98" s="46"/>
      <c r="FGU98" s="46"/>
      <c r="FGV98" s="46"/>
      <c r="FGW98" s="46"/>
      <c r="FGX98" s="46"/>
      <c r="FGY98" s="46"/>
      <c r="FGZ98" s="46"/>
      <c r="FHA98" s="46"/>
      <c r="FHB98" s="46"/>
      <c r="FHC98" s="46"/>
      <c r="FHD98" s="46"/>
      <c r="FHE98" s="46"/>
      <c r="FHF98" s="46"/>
      <c r="FHG98" s="46"/>
      <c r="FHH98" s="46"/>
      <c r="FHI98" s="46"/>
      <c r="FHJ98" s="46"/>
      <c r="FHK98" s="46"/>
      <c r="FHL98" s="46"/>
      <c r="FHM98" s="46"/>
      <c r="FHN98" s="46"/>
      <c r="FHO98" s="46"/>
      <c r="FHP98" s="46"/>
      <c r="FHQ98" s="46"/>
      <c r="FHR98" s="46"/>
      <c r="FHS98" s="46"/>
      <c r="FHT98" s="46"/>
      <c r="FHU98" s="46"/>
      <c r="FHV98" s="46"/>
      <c r="FHW98" s="46"/>
      <c r="FHX98" s="46"/>
      <c r="FHY98" s="46"/>
      <c r="FHZ98" s="46"/>
      <c r="FIA98" s="46"/>
      <c r="FIB98" s="46"/>
      <c r="FIC98" s="46"/>
      <c r="FID98" s="46"/>
      <c r="FIE98" s="46"/>
      <c r="FIF98" s="46"/>
      <c r="FIG98" s="46"/>
      <c r="FIH98" s="46"/>
      <c r="FII98" s="46"/>
      <c r="FIJ98" s="46"/>
      <c r="FIK98" s="46"/>
      <c r="FIL98" s="46"/>
      <c r="FIM98" s="46"/>
      <c r="FIN98" s="46"/>
      <c r="FIO98" s="46"/>
      <c r="FIP98" s="46"/>
      <c r="FIQ98" s="46"/>
      <c r="FIR98" s="46"/>
      <c r="FIS98" s="46"/>
      <c r="FIT98" s="46"/>
      <c r="FIU98" s="46"/>
      <c r="FIV98" s="46"/>
      <c r="FIW98" s="46"/>
      <c r="FIX98" s="46"/>
      <c r="FIY98" s="46"/>
      <c r="FIZ98" s="46"/>
      <c r="FJA98" s="46"/>
      <c r="FJB98" s="46"/>
      <c r="FJC98" s="46"/>
      <c r="FJD98" s="46"/>
      <c r="FJE98" s="46"/>
      <c r="FJF98" s="46"/>
      <c r="FJG98" s="46"/>
      <c r="FJH98" s="46"/>
      <c r="FJI98" s="46"/>
      <c r="FJJ98" s="46"/>
      <c r="FJK98" s="46"/>
      <c r="FJL98" s="46"/>
      <c r="FJM98" s="46"/>
      <c r="FJN98" s="46"/>
      <c r="FJO98" s="46"/>
      <c r="FJP98" s="46"/>
      <c r="FJQ98" s="46"/>
      <c r="FJR98" s="46"/>
      <c r="FJS98" s="46"/>
      <c r="FJT98" s="46"/>
      <c r="FJU98" s="46"/>
      <c r="FJV98" s="46"/>
      <c r="FJW98" s="46"/>
      <c r="FJX98" s="46"/>
      <c r="FJY98" s="46"/>
      <c r="FJZ98" s="46"/>
      <c r="FKA98" s="46"/>
      <c r="FKB98" s="46"/>
      <c r="FKC98" s="46"/>
      <c r="FKD98" s="46"/>
      <c r="FKE98" s="46"/>
      <c r="FKF98" s="46"/>
      <c r="FKG98" s="46"/>
      <c r="FKH98" s="46"/>
      <c r="FKI98" s="46"/>
      <c r="FKJ98" s="46"/>
      <c r="FKK98" s="46"/>
      <c r="FKL98" s="46"/>
      <c r="FKM98" s="46"/>
      <c r="FKN98" s="46"/>
      <c r="FKO98" s="46"/>
      <c r="FKP98" s="46"/>
      <c r="FKQ98" s="46"/>
      <c r="FKR98" s="46"/>
      <c r="FKS98" s="46"/>
      <c r="FKT98" s="46"/>
      <c r="FKU98" s="46"/>
      <c r="FKV98" s="46"/>
      <c r="FKW98" s="46"/>
      <c r="FKX98" s="46"/>
      <c r="FKY98" s="46"/>
      <c r="FKZ98" s="46"/>
      <c r="FLA98" s="46"/>
      <c r="FLB98" s="46"/>
      <c r="FLC98" s="46"/>
      <c r="FLD98" s="46"/>
      <c r="FLE98" s="46"/>
      <c r="FLF98" s="46"/>
      <c r="FLG98" s="46"/>
      <c r="FLH98" s="46"/>
      <c r="FLI98" s="46"/>
      <c r="FLJ98" s="46"/>
      <c r="FLK98" s="46"/>
      <c r="FLL98" s="46"/>
      <c r="FLM98" s="46"/>
      <c r="FLN98" s="46"/>
      <c r="FLO98" s="46"/>
      <c r="FLP98" s="46"/>
      <c r="FLQ98" s="46"/>
      <c r="FLR98" s="46"/>
      <c r="FLS98" s="46"/>
      <c r="FLT98" s="46"/>
      <c r="FLU98" s="46"/>
      <c r="FLV98" s="46"/>
      <c r="FLW98" s="46"/>
      <c r="FLX98" s="46"/>
      <c r="FLY98" s="46"/>
      <c r="FLZ98" s="46"/>
      <c r="FMA98" s="46"/>
      <c r="FMB98" s="46"/>
      <c r="FMC98" s="46"/>
      <c r="FMD98" s="46"/>
      <c r="FME98" s="46"/>
      <c r="FMF98" s="46"/>
      <c r="FMG98" s="46"/>
      <c r="FMH98" s="46"/>
      <c r="FMI98" s="46"/>
      <c r="FMJ98" s="46"/>
      <c r="FMK98" s="46"/>
      <c r="FML98" s="46"/>
      <c r="FMM98" s="46"/>
      <c r="FMN98" s="46"/>
      <c r="FMO98" s="46"/>
      <c r="FMP98" s="46"/>
      <c r="FMQ98" s="46"/>
      <c r="FMR98" s="46"/>
      <c r="FMS98" s="46"/>
      <c r="FMT98" s="46"/>
      <c r="FMU98" s="46"/>
      <c r="FMV98" s="46"/>
      <c r="FMW98" s="46"/>
      <c r="FMX98" s="46"/>
      <c r="FMY98" s="46"/>
      <c r="FMZ98" s="46"/>
      <c r="FNA98" s="46"/>
      <c r="FNB98" s="46"/>
      <c r="FNC98" s="46"/>
      <c r="FND98" s="46"/>
      <c r="FNE98" s="46"/>
      <c r="FNF98" s="46"/>
      <c r="FNG98" s="46"/>
      <c r="FNH98" s="46"/>
      <c r="FNI98" s="46"/>
      <c r="FNJ98" s="46"/>
      <c r="FNK98" s="46"/>
      <c r="FNL98" s="46"/>
      <c r="FNM98" s="46"/>
      <c r="FNN98" s="46"/>
      <c r="FNO98" s="46"/>
      <c r="FNP98" s="46"/>
      <c r="FNQ98" s="46"/>
      <c r="FNR98" s="46"/>
      <c r="FNS98" s="46"/>
      <c r="FNT98" s="46"/>
      <c r="FNU98" s="46"/>
      <c r="FNV98" s="46"/>
      <c r="FNW98" s="46"/>
      <c r="FNX98" s="46"/>
      <c r="FNY98" s="46"/>
      <c r="FNZ98" s="46"/>
      <c r="FOA98" s="46"/>
      <c r="FOB98" s="46"/>
      <c r="FOC98" s="46"/>
      <c r="FOD98" s="46"/>
      <c r="FOE98" s="46"/>
      <c r="FOF98" s="46"/>
      <c r="FOG98" s="46"/>
      <c r="FOH98" s="46"/>
      <c r="FOI98" s="46"/>
      <c r="FOJ98" s="46"/>
      <c r="FOK98" s="46"/>
      <c r="FOL98" s="46"/>
      <c r="FOM98" s="46"/>
      <c r="FON98" s="46"/>
      <c r="FOO98" s="46"/>
      <c r="FOP98" s="46"/>
      <c r="FOQ98" s="46"/>
      <c r="FOR98" s="46"/>
      <c r="FOS98" s="46"/>
      <c r="FOT98" s="46"/>
      <c r="FOU98" s="46"/>
      <c r="FOV98" s="46"/>
      <c r="FOW98" s="46"/>
      <c r="FOX98" s="46"/>
      <c r="FOY98" s="46"/>
      <c r="FOZ98" s="46"/>
      <c r="FPA98" s="46"/>
      <c r="FPB98" s="46"/>
      <c r="FPC98" s="46"/>
      <c r="FPD98" s="46"/>
      <c r="FPE98" s="46"/>
      <c r="FPF98" s="46"/>
      <c r="FPG98" s="46"/>
      <c r="FPH98" s="46"/>
      <c r="FPI98" s="46"/>
      <c r="FPJ98" s="46"/>
      <c r="FPK98" s="46"/>
      <c r="FPL98" s="46"/>
      <c r="FPM98" s="46"/>
      <c r="FPN98" s="46"/>
      <c r="FPO98" s="46"/>
      <c r="FPP98" s="46"/>
      <c r="FPQ98" s="46"/>
      <c r="FPR98" s="46"/>
      <c r="FPS98" s="46"/>
      <c r="FPT98" s="46"/>
      <c r="FPU98" s="46"/>
      <c r="FPV98" s="46"/>
      <c r="FPW98" s="46"/>
      <c r="FPX98" s="46"/>
      <c r="FPY98" s="46"/>
      <c r="FPZ98" s="46"/>
      <c r="FQA98" s="46"/>
      <c r="FQB98" s="46"/>
      <c r="FQC98" s="46"/>
      <c r="FQD98" s="46"/>
      <c r="FQE98" s="46"/>
      <c r="FQF98" s="46"/>
      <c r="FQG98" s="46"/>
      <c r="FQH98" s="46"/>
      <c r="FQI98" s="46"/>
      <c r="FQJ98" s="46"/>
      <c r="FQK98" s="46"/>
      <c r="FQL98" s="46"/>
      <c r="FQM98" s="46"/>
      <c r="FQN98" s="46"/>
      <c r="FQO98" s="46"/>
      <c r="FQP98" s="46"/>
      <c r="FQQ98" s="46"/>
      <c r="FQR98" s="46"/>
      <c r="FQS98" s="46"/>
      <c r="FQT98" s="46"/>
      <c r="FQU98" s="46"/>
      <c r="FQV98" s="46"/>
      <c r="FQW98" s="46"/>
      <c r="FQX98" s="46"/>
      <c r="FQY98" s="46"/>
      <c r="FQZ98" s="46"/>
      <c r="FRA98" s="46"/>
      <c r="FRB98" s="46"/>
      <c r="FRC98" s="46"/>
      <c r="FRD98" s="46"/>
      <c r="FRE98" s="46"/>
      <c r="FRF98" s="46"/>
      <c r="FRG98" s="46"/>
      <c r="FRH98" s="46"/>
      <c r="FRI98" s="46"/>
      <c r="FRJ98" s="46"/>
      <c r="FRK98" s="46"/>
      <c r="FRL98" s="46"/>
      <c r="FRM98" s="46"/>
      <c r="FRN98" s="46"/>
      <c r="FRO98" s="46"/>
      <c r="FRP98" s="46"/>
      <c r="FRQ98" s="46"/>
      <c r="FRR98" s="46"/>
      <c r="FRS98" s="46"/>
      <c r="FRT98" s="46"/>
      <c r="FRU98" s="46"/>
      <c r="FRV98" s="46"/>
      <c r="FRW98" s="46"/>
      <c r="FRX98" s="46"/>
      <c r="FRY98" s="46"/>
      <c r="FRZ98" s="46"/>
      <c r="FSA98" s="46"/>
      <c r="FSB98" s="46"/>
      <c r="FSC98" s="46"/>
      <c r="FSD98" s="46"/>
      <c r="FSE98" s="46"/>
      <c r="FSF98" s="46"/>
      <c r="FSG98" s="46"/>
      <c r="FSH98" s="46"/>
      <c r="FSI98" s="46"/>
      <c r="FSJ98" s="46"/>
      <c r="FSK98" s="46"/>
      <c r="FSL98" s="46"/>
      <c r="FSM98" s="46"/>
      <c r="FSN98" s="46"/>
      <c r="FSO98" s="46"/>
      <c r="FSP98" s="46"/>
      <c r="FSQ98" s="46"/>
      <c r="FSR98" s="46"/>
      <c r="FSS98" s="46"/>
      <c r="FST98" s="46"/>
      <c r="FSU98" s="46"/>
      <c r="FSV98" s="46"/>
      <c r="FSW98" s="46"/>
      <c r="FSX98" s="46"/>
      <c r="FSY98" s="46"/>
      <c r="FSZ98" s="46"/>
      <c r="FTA98" s="46"/>
      <c r="FTB98" s="46"/>
      <c r="FTC98" s="46"/>
      <c r="FTD98" s="46"/>
      <c r="FTE98" s="46"/>
      <c r="FTF98" s="46"/>
      <c r="FTG98" s="46"/>
      <c r="FTH98" s="46"/>
      <c r="FTI98" s="46"/>
      <c r="FTJ98" s="46"/>
      <c r="FTK98" s="46"/>
      <c r="FTL98" s="46"/>
      <c r="FTM98" s="46"/>
      <c r="FTN98" s="46"/>
      <c r="FTO98" s="46"/>
      <c r="FTP98" s="46"/>
      <c r="FTQ98" s="46"/>
      <c r="FTR98" s="46"/>
      <c r="FTS98" s="46"/>
      <c r="FTT98" s="46"/>
      <c r="FTU98" s="46"/>
      <c r="FTV98" s="46"/>
      <c r="FTW98" s="46"/>
      <c r="FTX98" s="46"/>
      <c r="FTY98" s="46"/>
      <c r="FTZ98" s="46"/>
      <c r="FUA98" s="46"/>
      <c r="FUB98" s="46"/>
      <c r="FUC98" s="46"/>
      <c r="FUD98" s="46"/>
      <c r="FUE98" s="46"/>
      <c r="FUF98" s="46"/>
      <c r="FUG98" s="46"/>
      <c r="FUH98" s="46"/>
      <c r="FUI98" s="46"/>
      <c r="FUJ98" s="46"/>
      <c r="FUK98" s="46"/>
      <c r="FUL98" s="46"/>
      <c r="FUM98" s="46"/>
      <c r="FUN98" s="46"/>
      <c r="FUO98" s="46"/>
      <c r="FUP98" s="46"/>
      <c r="FUQ98" s="46"/>
      <c r="FUR98" s="46"/>
      <c r="FUS98" s="46"/>
      <c r="FUT98" s="46"/>
      <c r="FUU98" s="46"/>
      <c r="FUV98" s="46"/>
      <c r="FUW98" s="46"/>
      <c r="FUX98" s="46"/>
      <c r="FUY98" s="46"/>
      <c r="FUZ98" s="46"/>
      <c r="FVA98" s="46"/>
      <c r="FVB98" s="46"/>
      <c r="FVC98" s="46"/>
      <c r="FVD98" s="46"/>
      <c r="FVE98" s="46"/>
      <c r="FVF98" s="46"/>
      <c r="FVG98" s="46"/>
      <c r="FVH98" s="46"/>
      <c r="FVI98" s="46"/>
      <c r="FVJ98" s="46"/>
      <c r="FVK98" s="46"/>
      <c r="FVL98" s="46"/>
      <c r="FVM98" s="46"/>
      <c r="FVN98" s="46"/>
      <c r="FVO98" s="46"/>
      <c r="FVP98" s="46"/>
      <c r="FVQ98" s="46"/>
      <c r="FVR98" s="46"/>
      <c r="FVS98" s="46"/>
      <c r="FVT98" s="46"/>
      <c r="FVU98" s="46"/>
      <c r="FVV98" s="46"/>
      <c r="FVW98" s="46"/>
      <c r="FVX98" s="46"/>
      <c r="FVY98" s="46"/>
      <c r="FVZ98" s="46"/>
      <c r="FWA98" s="46"/>
      <c r="FWB98" s="46"/>
      <c r="FWC98" s="46"/>
      <c r="FWD98" s="46"/>
      <c r="FWE98" s="46"/>
      <c r="FWF98" s="46"/>
      <c r="FWG98" s="46"/>
      <c r="FWH98" s="46"/>
      <c r="FWI98" s="46"/>
      <c r="FWJ98" s="46"/>
      <c r="FWK98" s="46"/>
      <c r="FWL98" s="46"/>
      <c r="FWM98" s="46"/>
      <c r="FWN98" s="46"/>
      <c r="FWO98" s="46"/>
      <c r="FWP98" s="46"/>
      <c r="FWQ98" s="46"/>
      <c r="FWR98" s="46"/>
      <c r="FWS98" s="46"/>
      <c r="FWT98" s="46"/>
      <c r="FWU98" s="46"/>
      <c r="FWV98" s="46"/>
      <c r="FWW98" s="46"/>
      <c r="FWX98" s="46"/>
      <c r="FWY98" s="46"/>
      <c r="FWZ98" s="46"/>
      <c r="FXA98" s="46"/>
      <c r="FXB98" s="46"/>
      <c r="FXC98" s="46"/>
      <c r="FXD98" s="46"/>
      <c r="FXE98" s="46"/>
      <c r="FXF98" s="46"/>
      <c r="FXG98" s="46"/>
      <c r="FXH98" s="46"/>
      <c r="FXI98" s="46"/>
      <c r="FXJ98" s="46"/>
      <c r="FXK98" s="46"/>
      <c r="FXL98" s="46"/>
      <c r="FXM98" s="46"/>
      <c r="FXN98" s="46"/>
      <c r="FXO98" s="46"/>
      <c r="FXP98" s="46"/>
      <c r="FXQ98" s="46"/>
      <c r="FXR98" s="46"/>
      <c r="FXS98" s="46"/>
      <c r="FXT98" s="46"/>
      <c r="FXU98" s="46"/>
      <c r="FXV98" s="46"/>
      <c r="FXW98" s="46"/>
      <c r="FXX98" s="46"/>
      <c r="FXY98" s="46"/>
      <c r="FXZ98" s="46"/>
      <c r="FYA98" s="46"/>
      <c r="FYB98" s="46"/>
      <c r="FYC98" s="46"/>
      <c r="FYD98" s="46"/>
      <c r="FYE98" s="46"/>
      <c r="FYF98" s="46"/>
      <c r="FYG98" s="46"/>
      <c r="FYH98" s="46"/>
      <c r="FYI98" s="46"/>
      <c r="FYJ98" s="46"/>
      <c r="FYK98" s="46"/>
      <c r="FYL98" s="46"/>
      <c r="FYM98" s="46"/>
      <c r="FYN98" s="46"/>
      <c r="FYO98" s="46"/>
      <c r="FYP98" s="46"/>
      <c r="FYQ98" s="46"/>
      <c r="FYR98" s="46"/>
      <c r="FYS98" s="46"/>
      <c r="FYT98" s="46"/>
      <c r="FYU98" s="46"/>
      <c r="FYV98" s="46"/>
      <c r="FYW98" s="46"/>
      <c r="FYX98" s="46"/>
      <c r="FYY98" s="46"/>
      <c r="FYZ98" s="46"/>
      <c r="FZA98" s="46"/>
      <c r="FZB98" s="46"/>
      <c r="FZC98" s="46"/>
      <c r="FZD98" s="46"/>
      <c r="FZE98" s="46"/>
      <c r="FZF98" s="46"/>
      <c r="FZG98" s="46"/>
      <c r="FZH98" s="46"/>
      <c r="FZI98" s="46"/>
      <c r="FZJ98" s="46"/>
      <c r="FZK98" s="46"/>
      <c r="FZL98" s="46"/>
      <c r="FZM98" s="46"/>
      <c r="FZN98" s="46"/>
      <c r="FZO98" s="46"/>
      <c r="FZP98" s="46"/>
      <c r="FZQ98" s="46"/>
      <c r="FZR98" s="46"/>
      <c r="FZS98" s="46"/>
      <c r="FZT98" s="46"/>
      <c r="FZU98" s="46"/>
      <c r="FZV98" s="46"/>
      <c r="FZW98" s="46"/>
      <c r="FZX98" s="46"/>
      <c r="FZY98" s="46"/>
      <c r="FZZ98" s="46"/>
      <c r="GAA98" s="46"/>
      <c r="GAB98" s="46"/>
      <c r="GAC98" s="46"/>
      <c r="GAD98" s="46"/>
      <c r="GAE98" s="46"/>
      <c r="GAF98" s="46"/>
      <c r="GAG98" s="46"/>
      <c r="GAH98" s="46"/>
      <c r="GAI98" s="46"/>
      <c r="GAJ98" s="46"/>
      <c r="GAK98" s="46"/>
      <c r="GAL98" s="46"/>
      <c r="GAM98" s="46"/>
      <c r="GAN98" s="46"/>
      <c r="GAO98" s="46"/>
      <c r="GAP98" s="46"/>
      <c r="GAQ98" s="46"/>
      <c r="GAR98" s="46"/>
      <c r="GAS98" s="46"/>
      <c r="GAT98" s="46"/>
      <c r="GAU98" s="46"/>
      <c r="GAV98" s="46"/>
      <c r="GAW98" s="46"/>
      <c r="GAX98" s="46"/>
      <c r="GAY98" s="46"/>
      <c r="GAZ98" s="46"/>
      <c r="GBA98" s="46"/>
      <c r="GBB98" s="46"/>
      <c r="GBC98" s="46"/>
      <c r="GBD98" s="46"/>
      <c r="GBE98" s="46"/>
      <c r="GBF98" s="46"/>
      <c r="GBG98" s="46"/>
      <c r="GBH98" s="46"/>
      <c r="GBI98" s="46"/>
      <c r="GBJ98" s="46"/>
      <c r="GBK98" s="46"/>
      <c r="GBL98" s="46"/>
      <c r="GBM98" s="46"/>
      <c r="GBN98" s="46"/>
      <c r="GBO98" s="46"/>
      <c r="GBP98" s="46"/>
      <c r="GBQ98" s="46"/>
      <c r="GBR98" s="46"/>
      <c r="GBS98" s="46"/>
      <c r="GBT98" s="46"/>
      <c r="GBU98" s="46"/>
      <c r="GBV98" s="46"/>
      <c r="GBW98" s="46"/>
      <c r="GBX98" s="46"/>
      <c r="GBY98" s="46"/>
      <c r="GBZ98" s="46"/>
      <c r="GCA98" s="46"/>
      <c r="GCB98" s="46"/>
      <c r="GCC98" s="46"/>
      <c r="GCD98" s="46"/>
      <c r="GCE98" s="46"/>
      <c r="GCF98" s="46"/>
      <c r="GCG98" s="46"/>
      <c r="GCH98" s="46"/>
      <c r="GCI98" s="46"/>
      <c r="GCJ98" s="46"/>
      <c r="GCK98" s="46"/>
      <c r="GCL98" s="46"/>
      <c r="GCM98" s="46"/>
      <c r="GCN98" s="46"/>
      <c r="GCO98" s="46"/>
      <c r="GCP98" s="46"/>
      <c r="GCQ98" s="46"/>
      <c r="GCR98" s="46"/>
      <c r="GCS98" s="46"/>
      <c r="GCT98" s="46"/>
      <c r="GCU98" s="46"/>
      <c r="GCV98" s="46"/>
      <c r="GCW98" s="46"/>
      <c r="GCX98" s="46"/>
      <c r="GCY98" s="46"/>
      <c r="GCZ98" s="46"/>
      <c r="GDA98" s="46"/>
      <c r="GDB98" s="46"/>
      <c r="GDC98" s="46"/>
      <c r="GDD98" s="46"/>
      <c r="GDE98" s="46"/>
      <c r="GDF98" s="46"/>
      <c r="GDG98" s="46"/>
      <c r="GDH98" s="46"/>
      <c r="GDI98" s="46"/>
      <c r="GDJ98" s="46"/>
      <c r="GDK98" s="46"/>
      <c r="GDL98" s="46"/>
      <c r="GDM98" s="46"/>
      <c r="GDN98" s="46"/>
      <c r="GDO98" s="46"/>
      <c r="GDP98" s="46"/>
      <c r="GDQ98" s="46"/>
      <c r="GDR98" s="46"/>
      <c r="GDS98" s="46"/>
      <c r="GDT98" s="46"/>
      <c r="GDU98" s="46"/>
      <c r="GDV98" s="46"/>
      <c r="GDW98" s="46"/>
      <c r="GDX98" s="46"/>
      <c r="GDY98" s="46"/>
      <c r="GDZ98" s="46"/>
      <c r="GEA98" s="46"/>
      <c r="GEB98" s="46"/>
      <c r="GEC98" s="46"/>
      <c r="GED98" s="46"/>
      <c r="GEE98" s="46"/>
      <c r="GEF98" s="46"/>
      <c r="GEG98" s="46"/>
      <c r="GEH98" s="46"/>
      <c r="GEI98" s="46"/>
      <c r="GEJ98" s="46"/>
      <c r="GEK98" s="46"/>
      <c r="GEL98" s="46"/>
      <c r="GEM98" s="46"/>
      <c r="GEN98" s="46"/>
      <c r="GEO98" s="46"/>
      <c r="GEP98" s="46"/>
      <c r="GEQ98" s="46"/>
      <c r="GER98" s="46"/>
      <c r="GES98" s="46"/>
      <c r="GET98" s="46"/>
      <c r="GEU98" s="46"/>
      <c r="GEV98" s="46"/>
      <c r="GEW98" s="46"/>
      <c r="GEX98" s="46"/>
      <c r="GEY98" s="46"/>
      <c r="GEZ98" s="46"/>
      <c r="GFA98" s="46"/>
      <c r="GFB98" s="46"/>
      <c r="GFC98" s="46"/>
      <c r="GFD98" s="46"/>
      <c r="GFE98" s="46"/>
      <c r="GFF98" s="46"/>
      <c r="GFG98" s="46"/>
      <c r="GFH98" s="46"/>
      <c r="GFI98" s="46"/>
      <c r="GFJ98" s="46"/>
      <c r="GFK98" s="46"/>
      <c r="GFL98" s="46"/>
      <c r="GFM98" s="46"/>
      <c r="GFN98" s="46"/>
      <c r="GFO98" s="46"/>
      <c r="GFP98" s="46"/>
      <c r="GFQ98" s="46"/>
      <c r="GFR98" s="46"/>
      <c r="GFS98" s="46"/>
      <c r="GFT98" s="46"/>
      <c r="GFU98" s="46"/>
      <c r="GFV98" s="46"/>
      <c r="GFW98" s="46"/>
      <c r="GFX98" s="46"/>
      <c r="GFY98" s="46"/>
      <c r="GFZ98" s="46"/>
      <c r="GGA98" s="46"/>
      <c r="GGB98" s="46"/>
      <c r="GGC98" s="46"/>
      <c r="GGD98" s="46"/>
      <c r="GGE98" s="46"/>
      <c r="GGF98" s="46"/>
      <c r="GGG98" s="46"/>
      <c r="GGH98" s="46"/>
      <c r="GGI98" s="46"/>
      <c r="GGJ98" s="46"/>
      <c r="GGK98" s="46"/>
      <c r="GGL98" s="46"/>
      <c r="GGM98" s="46"/>
      <c r="GGN98" s="46"/>
      <c r="GGO98" s="46"/>
      <c r="GGP98" s="46"/>
      <c r="GGQ98" s="46"/>
      <c r="GGR98" s="46"/>
      <c r="GGS98" s="46"/>
      <c r="GGT98" s="46"/>
      <c r="GGU98" s="46"/>
      <c r="GGV98" s="46"/>
      <c r="GGW98" s="46"/>
      <c r="GGX98" s="46"/>
      <c r="GGY98" s="46"/>
      <c r="GGZ98" s="46"/>
      <c r="GHA98" s="46"/>
      <c r="GHB98" s="46"/>
      <c r="GHC98" s="46"/>
      <c r="GHD98" s="46"/>
      <c r="GHE98" s="46"/>
      <c r="GHF98" s="46"/>
      <c r="GHG98" s="46"/>
      <c r="GHH98" s="46"/>
      <c r="GHI98" s="46"/>
      <c r="GHJ98" s="46"/>
      <c r="GHK98" s="46"/>
      <c r="GHL98" s="46"/>
      <c r="GHM98" s="46"/>
      <c r="GHN98" s="46"/>
      <c r="GHO98" s="46"/>
      <c r="GHP98" s="46"/>
      <c r="GHQ98" s="46"/>
      <c r="GHR98" s="46"/>
      <c r="GHS98" s="46"/>
      <c r="GHT98" s="46"/>
      <c r="GHU98" s="46"/>
      <c r="GHV98" s="46"/>
      <c r="GHW98" s="46"/>
      <c r="GHX98" s="46"/>
      <c r="GHY98" s="46"/>
      <c r="GHZ98" s="46"/>
      <c r="GIA98" s="46"/>
      <c r="GIB98" s="46"/>
      <c r="GIC98" s="46"/>
      <c r="GID98" s="46"/>
      <c r="GIE98" s="46"/>
      <c r="GIF98" s="46"/>
      <c r="GIG98" s="46"/>
      <c r="GIH98" s="46"/>
      <c r="GII98" s="46"/>
      <c r="GIJ98" s="46"/>
      <c r="GIK98" s="46"/>
      <c r="GIL98" s="46"/>
      <c r="GIM98" s="46"/>
      <c r="GIN98" s="46"/>
      <c r="GIO98" s="46"/>
      <c r="GIP98" s="46"/>
      <c r="GIQ98" s="46"/>
      <c r="GIR98" s="46"/>
      <c r="GIS98" s="46"/>
      <c r="GIT98" s="46"/>
      <c r="GIU98" s="46"/>
      <c r="GIV98" s="46"/>
      <c r="GIW98" s="46"/>
      <c r="GIX98" s="46"/>
      <c r="GIY98" s="46"/>
      <c r="GIZ98" s="46"/>
      <c r="GJA98" s="46"/>
      <c r="GJB98" s="46"/>
      <c r="GJC98" s="46"/>
      <c r="GJD98" s="46"/>
      <c r="GJE98" s="46"/>
      <c r="GJF98" s="46"/>
      <c r="GJG98" s="46"/>
      <c r="GJH98" s="46"/>
      <c r="GJI98" s="46"/>
      <c r="GJJ98" s="46"/>
      <c r="GJK98" s="46"/>
      <c r="GJL98" s="46"/>
      <c r="GJM98" s="46"/>
      <c r="GJN98" s="46"/>
      <c r="GJO98" s="46"/>
      <c r="GJP98" s="46"/>
      <c r="GJQ98" s="46"/>
      <c r="GJR98" s="46"/>
      <c r="GJS98" s="46"/>
      <c r="GJT98" s="46"/>
      <c r="GJU98" s="46"/>
      <c r="GJV98" s="46"/>
      <c r="GJW98" s="46"/>
      <c r="GJX98" s="46"/>
      <c r="GJY98" s="46"/>
      <c r="GJZ98" s="46"/>
      <c r="GKA98" s="46"/>
      <c r="GKB98" s="46"/>
      <c r="GKC98" s="46"/>
      <c r="GKD98" s="46"/>
      <c r="GKE98" s="46"/>
      <c r="GKF98" s="46"/>
      <c r="GKG98" s="46"/>
      <c r="GKH98" s="46"/>
      <c r="GKI98" s="46"/>
      <c r="GKJ98" s="46"/>
      <c r="GKK98" s="46"/>
      <c r="GKL98" s="46"/>
      <c r="GKM98" s="46"/>
      <c r="GKN98" s="46"/>
      <c r="GKO98" s="46"/>
      <c r="GKP98" s="46"/>
      <c r="GKQ98" s="46"/>
      <c r="GKR98" s="46"/>
      <c r="GKS98" s="46"/>
      <c r="GKT98" s="46"/>
      <c r="GKU98" s="46"/>
      <c r="GKV98" s="46"/>
      <c r="GKW98" s="46"/>
      <c r="GKX98" s="46"/>
      <c r="GKY98" s="46"/>
      <c r="GKZ98" s="46"/>
      <c r="GLA98" s="46"/>
      <c r="GLB98" s="46"/>
      <c r="GLC98" s="46"/>
      <c r="GLD98" s="46"/>
      <c r="GLE98" s="46"/>
      <c r="GLF98" s="46"/>
      <c r="GLG98" s="46"/>
      <c r="GLH98" s="46"/>
      <c r="GLI98" s="46"/>
      <c r="GLJ98" s="46"/>
      <c r="GLK98" s="46"/>
      <c r="GLL98" s="46"/>
      <c r="GLM98" s="46"/>
      <c r="GLN98" s="46"/>
      <c r="GLO98" s="46"/>
      <c r="GLP98" s="46"/>
      <c r="GLQ98" s="46"/>
      <c r="GLR98" s="46"/>
      <c r="GLS98" s="46"/>
      <c r="GLT98" s="46"/>
      <c r="GLU98" s="46"/>
      <c r="GLV98" s="46"/>
      <c r="GLW98" s="46"/>
      <c r="GLX98" s="46"/>
      <c r="GLY98" s="46"/>
      <c r="GLZ98" s="46"/>
      <c r="GMA98" s="46"/>
      <c r="GMB98" s="46"/>
      <c r="GMC98" s="46"/>
      <c r="GMD98" s="46"/>
      <c r="GME98" s="46"/>
      <c r="GMF98" s="46"/>
      <c r="GMG98" s="46"/>
      <c r="GMH98" s="46"/>
      <c r="GMI98" s="46"/>
      <c r="GMJ98" s="46"/>
      <c r="GMK98" s="46"/>
      <c r="GML98" s="46"/>
      <c r="GMM98" s="46"/>
      <c r="GMN98" s="46"/>
      <c r="GMO98" s="46"/>
      <c r="GMP98" s="46"/>
      <c r="GMQ98" s="46"/>
      <c r="GMR98" s="46"/>
      <c r="GMS98" s="46"/>
      <c r="GMT98" s="46"/>
      <c r="GMU98" s="46"/>
      <c r="GMV98" s="46"/>
      <c r="GMW98" s="46"/>
      <c r="GMX98" s="46"/>
      <c r="GMY98" s="46"/>
      <c r="GMZ98" s="46"/>
      <c r="GNA98" s="46"/>
      <c r="GNB98" s="46"/>
      <c r="GNC98" s="46"/>
      <c r="GND98" s="46"/>
      <c r="GNE98" s="46"/>
      <c r="GNF98" s="46"/>
      <c r="GNG98" s="46"/>
      <c r="GNH98" s="46"/>
      <c r="GNI98" s="46"/>
      <c r="GNJ98" s="46"/>
      <c r="GNK98" s="46"/>
      <c r="GNL98" s="46"/>
      <c r="GNM98" s="46"/>
      <c r="GNN98" s="46"/>
      <c r="GNO98" s="46"/>
      <c r="GNP98" s="46"/>
      <c r="GNQ98" s="46"/>
      <c r="GNR98" s="46"/>
      <c r="GNS98" s="46"/>
      <c r="GNT98" s="46"/>
      <c r="GNU98" s="46"/>
      <c r="GNV98" s="46"/>
      <c r="GNW98" s="46"/>
      <c r="GNX98" s="46"/>
      <c r="GNY98" s="46"/>
      <c r="GNZ98" s="46"/>
      <c r="GOA98" s="46"/>
      <c r="GOB98" s="46"/>
      <c r="GOC98" s="46"/>
      <c r="GOD98" s="46"/>
      <c r="GOE98" s="46"/>
      <c r="GOF98" s="46"/>
      <c r="GOG98" s="46"/>
      <c r="GOH98" s="46"/>
      <c r="GOI98" s="46"/>
      <c r="GOJ98" s="46"/>
      <c r="GOK98" s="46"/>
      <c r="GOL98" s="46"/>
      <c r="GOM98" s="46"/>
      <c r="GON98" s="46"/>
      <c r="GOO98" s="46"/>
      <c r="GOP98" s="46"/>
      <c r="GOQ98" s="46"/>
      <c r="GOR98" s="46"/>
      <c r="GOS98" s="46"/>
      <c r="GOT98" s="46"/>
      <c r="GOU98" s="46"/>
      <c r="GOV98" s="46"/>
      <c r="GOW98" s="46"/>
      <c r="GOX98" s="46"/>
      <c r="GOY98" s="46"/>
      <c r="GOZ98" s="46"/>
      <c r="GPA98" s="46"/>
      <c r="GPB98" s="46"/>
      <c r="GPC98" s="46"/>
      <c r="GPD98" s="46"/>
      <c r="GPE98" s="46"/>
      <c r="GPF98" s="46"/>
      <c r="GPG98" s="46"/>
      <c r="GPH98" s="46"/>
      <c r="GPI98" s="46"/>
      <c r="GPJ98" s="46"/>
      <c r="GPK98" s="46"/>
      <c r="GPL98" s="46"/>
      <c r="GPM98" s="46"/>
      <c r="GPN98" s="46"/>
      <c r="GPO98" s="46"/>
      <c r="GPP98" s="46"/>
      <c r="GPQ98" s="46"/>
      <c r="GPR98" s="46"/>
      <c r="GPS98" s="46"/>
      <c r="GPT98" s="46"/>
      <c r="GPU98" s="46"/>
      <c r="GPV98" s="46"/>
      <c r="GPW98" s="46"/>
      <c r="GPX98" s="46"/>
      <c r="GPY98" s="46"/>
      <c r="GPZ98" s="46"/>
      <c r="GQA98" s="46"/>
      <c r="GQB98" s="46"/>
      <c r="GQC98" s="46"/>
      <c r="GQD98" s="46"/>
      <c r="GQE98" s="46"/>
      <c r="GQF98" s="46"/>
      <c r="GQG98" s="46"/>
      <c r="GQH98" s="46"/>
      <c r="GQI98" s="46"/>
      <c r="GQJ98" s="46"/>
      <c r="GQK98" s="46"/>
      <c r="GQL98" s="46"/>
      <c r="GQM98" s="46"/>
      <c r="GQN98" s="46"/>
      <c r="GQO98" s="46"/>
      <c r="GQP98" s="46"/>
      <c r="GQQ98" s="46"/>
      <c r="GQR98" s="46"/>
      <c r="GQS98" s="46"/>
      <c r="GQT98" s="46"/>
      <c r="GQU98" s="46"/>
      <c r="GQV98" s="46"/>
      <c r="GQW98" s="46"/>
      <c r="GQX98" s="46"/>
      <c r="GQY98" s="46"/>
      <c r="GQZ98" s="46"/>
      <c r="GRA98" s="46"/>
      <c r="GRB98" s="46"/>
      <c r="GRC98" s="46"/>
      <c r="GRD98" s="46"/>
      <c r="GRE98" s="46"/>
      <c r="GRF98" s="46"/>
      <c r="GRG98" s="46"/>
      <c r="GRH98" s="46"/>
      <c r="GRI98" s="46"/>
      <c r="GRJ98" s="46"/>
      <c r="GRK98" s="46"/>
      <c r="GRL98" s="46"/>
      <c r="GRM98" s="46"/>
      <c r="GRN98" s="46"/>
      <c r="GRO98" s="46"/>
      <c r="GRP98" s="46"/>
      <c r="GRQ98" s="46"/>
      <c r="GRR98" s="46"/>
      <c r="GRS98" s="46"/>
      <c r="GRT98" s="46"/>
      <c r="GRU98" s="46"/>
      <c r="GRV98" s="46"/>
      <c r="GRW98" s="46"/>
      <c r="GRX98" s="46"/>
      <c r="GRY98" s="46"/>
      <c r="GRZ98" s="46"/>
      <c r="GSA98" s="46"/>
      <c r="GSB98" s="46"/>
      <c r="GSC98" s="46"/>
      <c r="GSD98" s="46"/>
      <c r="GSE98" s="46"/>
      <c r="GSF98" s="46"/>
      <c r="GSG98" s="46"/>
      <c r="GSH98" s="46"/>
      <c r="GSI98" s="46"/>
      <c r="GSJ98" s="46"/>
      <c r="GSK98" s="46"/>
      <c r="GSL98" s="46"/>
      <c r="GSM98" s="46"/>
      <c r="GSN98" s="46"/>
      <c r="GSO98" s="46"/>
      <c r="GSP98" s="46"/>
      <c r="GSQ98" s="46"/>
      <c r="GSR98" s="46"/>
      <c r="GSS98" s="46"/>
      <c r="GST98" s="46"/>
      <c r="GSU98" s="46"/>
      <c r="GSV98" s="46"/>
      <c r="GSW98" s="46"/>
      <c r="GSX98" s="46"/>
      <c r="GSY98" s="46"/>
      <c r="GSZ98" s="46"/>
      <c r="GTA98" s="46"/>
      <c r="GTB98" s="46"/>
      <c r="GTC98" s="46"/>
      <c r="GTD98" s="46"/>
      <c r="GTE98" s="46"/>
      <c r="GTF98" s="46"/>
      <c r="GTG98" s="46"/>
      <c r="GTH98" s="46"/>
      <c r="GTI98" s="46"/>
      <c r="GTJ98" s="46"/>
      <c r="GTK98" s="46"/>
      <c r="GTL98" s="46"/>
      <c r="GTM98" s="46"/>
      <c r="GTN98" s="46"/>
      <c r="GTO98" s="46"/>
      <c r="GTP98" s="46"/>
      <c r="GTQ98" s="46"/>
      <c r="GTR98" s="46"/>
      <c r="GTS98" s="46"/>
      <c r="GTT98" s="46"/>
      <c r="GTU98" s="46"/>
      <c r="GTV98" s="46"/>
      <c r="GTW98" s="46"/>
      <c r="GTX98" s="46"/>
      <c r="GTY98" s="46"/>
      <c r="GTZ98" s="46"/>
      <c r="GUA98" s="46"/>
      <c r="GUB98" s="46"/>
      <c r="GUC98" s="46"/>
      <c r="GUD98" s="46"/>
      <c r="GUE98" s="46"/>
      <c r="GUF98" s="46"/>
      <c r="GUG98" s="46"/>
      <c r="GUH98" s="46"/>
      <c r="GUI98" s="46"/>
      <c r="GUJ98" s="46"/>
      <c r="GUK98" s="46"/>
      <c r="GUL98" s="46"/>
      <c r="GUM98" s="46"/>
      <c r="GUN98" s="46"/>
      <c r="GUO98" s="46"/>
      <c r="GUP98" s="46"/>
      <c r="GUQ98" s="46"/>
      <c r="GUR98" s="46"/>
      <c r="GUS98" s="46"/>
      <c r="GUT98" s="46"/>
      <c r="GUU98" s="46"/>
      <c r="GUV98" s="46"/>
      <c r="GUW98" s="46"/>
      <c r="GUX98" s="46"/>
      <c r="GUY98" s="46"/>
      <c r="GUZ98" s="46"/>
      <c r="GVA98" s="46"/>
      <c r="GVB98" s="46"/>
      <c r="GVC98" s="46"/>
      <c r="GVD98" s="46"/>
      <c r="GVE98" s="46"/>
      <c r="GVF98" s="46"/>
      <c r="GVG98" s="46"/>
      <c r="GVH98" s="46"/>
      <c r="GVI98" s="46"/>
      <c r="GVJ98" s="46"/>
      <c r="GVK98" s="46"/>
      <c r="GVL98" s="46"/>
      <c r="GVM98" s="46"/>
      <c r="GVN98" s="46"/>
      <c r="GVO98" s="46"/>
      <c r="GVP98" s="46"/>
      <c r="GVQ98" s="46"/>
      <c r="GVR98" s="46"/>
      <c r="GVS98" s="46"/>
      <c r="GVT98" s="46"/>
      <c r="GVU98" s="46"/>
      <c r="GVV98" s="46"/>
      <c r="GVW98" s="46"/>
      <c r="GVX98" s="46"/>
      <c r="GVY98" s="46"/>
      <c r="GVZ98" s="46"/>
      <c r="GWA98" s="46"/>
      <c r="GWB98" s="46"/>
      <c r="GWC98" s="46"/>
      <c r="GWD98" s="46"/>
      <c r="GWE98" s="46"/>
      <c r="GWF98" s="46"/>
      <c r="GWG98" s="46"/>
      <c r="GWH98" s="46"/>
      <c r="GWI98" s="46"/>
      <c r="GWJ98" s="46"/>
      <c r="GWK98" s="46"/>
      <c r="GWL98" s="46"/>
      <c r="GWM98" s="46"/>
      <c r="GWN98" s="46"/>
      <c r="GWO98" s="46"/>
      <c r="GWP98" s="46"/>
      <c r="GWQ98" s="46"/>
      <c r="GWR98" s="46"/>
      <c r="GWS98" s="46"/>
      <c r="GWT98" s="46"/>
      <c r="GWU98" s="46"/>
      <c r="GWV98" s="46"/>
      <c r="GWW98" s="46"/>
      <c r="GWX98" s="46"/>
      <c r="GWY98" s="46"/>
      <c r="GWZ98" s="46"/>
      <c r="GXA98" s="46"/>
      <c r="GXB98" s="46"/>
      <c r="GXC98" s="46"/>
      <c r="GXD98" s="46"/>
      <c r="GXE98" s="46"/>
      <c r="GXF98" s="46"/>
      <c r="GXG98" s="46"/>
      <c r="GXH98" s="46"/>
      <c r="GXI98" s="46"/>
      <c r="GXJ98" s="46"/>
      <c r="GXK98" s="46"/>
      <c r="GXL98" s="46"/>
      <c r="GXM98" s="46"/>
      <c r="GXN98" s="46"/>
      <c r="GXO98" s="46"/>
      <c r="GXP98" s="46"/>
      <c r="GXQ98" s="46"/>
      <c r="GXR98" s="46"/>
      <c r="GXS98" s="46"/>
      <c r="GXT98" s="46"/>
      <c r="GXU98" s="46"/>
      <c r="GXV98" s="46"/>
      <c r="GXW98" s="46"/>
      <c r="GXX98" s="46"/>
      <c r="GXY98" s="46"/>
      <c r="GXZ98" s="46"/>
      <c r="GYA98" s="46"/>
      <c r="GYB98" s="46"/>
      <c r="GYC98" s="46"/>
      <c r="GYD98" s="46"/>
      <c r="GYE98" s="46"/>
      <c r="GYF98" s="46"/>
      <c r="GYG98" s="46"/>
      <c r="GYH98" s="46"/>
      <c r="GYI98" s="46"/>
      <c r="GYJ98" s="46"/>
      <c r="GYK98" s="46"/>
      <c r="GYL98" s="46"/>
      <c r="GYM98" s="46"/>
      <c r="GYN98" s="46"/>
      <c r="GYO98" s="46"/>
      <c r="GYP98" s="46"/>
      <c r="GYQ98" s="46"/>
      <c r="GYR98" s="46"/>
      <c r="GYS98" s="46"/>
      <c r="GYT98" s="46"/>
      <c r="GYU98" s="46"/>
      <c r="GYV98" s="46"/>
      <c r="GYW98" s="46"/>
      <c r="GYX98" s="46"/>
      <c r="GYY98" s="46"/>
      <c r="GYZ98" s="46"/>
      <c r="GZA98" s="46"/>
      <c r="GZB98" s="46"/>
      <c r="GZC98" s="46"/>
      <c r="GZD98" s="46"/>
      <c r="GZE98" s="46"/>
      <c r="GZF98" s="46"/>
      <c r="GZG98" s="46"/>
      <c r="GZH98" s="46"/>
      <c r="GZI98" s="46"/>
      <c r="GZJ98" s="46"/>
      <c r="GZK98" s="46"/>
      <c r="GZL98" s="46"/>
      <c r="GZM98" s="46"/>
      <c r="GZN98" s="46"/>
      <c r="GZO98" s="46"/>
      <c r="GZP98" s="46"/>
      <c r="GZQ98" s="46"/>
      <c r="GZR98" s="46"/>
      <c r="GZS98" s="46"/>
      <c r="GZT98" s="46"/>
      <c r="GZU98" s="46"/>
      <c r="GZV98" s="46"/>
      <c r="GZW98" s="46"/>
      <c r="GZX98" s="46"/>
      <c r="GZY98" s="46"/>
      <c r="GZZ98" s="46"/>
      <c r="HAA98" s="46"/>
      <c r="HAB98" s="46"/>
      <c r="HAC98" s="46"/>
      <c r="HAD98" s="46"/>
      <c r="HAE98" s="46"/>
      <c r="HAF98" s="46"/>
      <c r="HAG98" s="46"/>
      <c r="HAH98" s="46"/>
      <c r="HAI98" s="46"/>
      <c r="HAJ98" s="46"/>
      <c r="HAK98" s="46"/>
      <c r="HAL98" s="46"/>
      <c r="HAM98" s="46"/>
      <c r="HAN98" s="46"/>
      <c r="HAO98" s="46"/>
      <c r="HAP98" s="46"/>
      <c r="HAQ98" s="46"/>
      <c r="HAR98" s="46"/>
      <c r="HAS98" s="46"/>
      <c r="HAT98" s="46"/>
      <c r="HAU98" s="46"/>
      <c r="HAV98" s="46"/>
      <c r="HAW98" s="46"/>
      <c r="HAX98" s="46"/>
      <c r="HAY98" s="46"/>
      <c r="HAZ98" s="46"/>
      <c r="HBA98" s="46"/>
      <c r="HBB98" s="46"/>
      <c r="HBC98" s="46"/>
      <c r="HBD98" s="46"/>
      <c r="HBE98" s="46"/>
      <c r="HBF98" s="46"/>
      <c r="HBG98" s="46"/>
      <c r="HBH98" s="46"/>
      <c r="HBI98" s="46"/>
      <c r="HBJ98" s="46"/>
      <c r="HBK98" s="46"/>
      <c r="HBL98" s="46"/>
      <c r="HBM98" s="46"/>
      <c r="HBN98" s="46"/>
      <c r="HBO98" s="46"/>
      <c r="HBP98" s="46"/>
      <c r="HBQ98" s="46"/>
      <c r="HBR98" s="46"/>
      <c r="HBS98" s="46"/>
      <c r="HBT98" s="46"/>
      <c r="HBU98" s="46"/>
      <c r="HBV98" s="46"/>
      <c r="HBW98" s="46"/>
      <c r="HBX98" s="46"/>
      <c r="HBY98" s="46"/>
      <c r="HBZ98" s="46"/>
      <c r="HCA98" s="46"/>
      <c r="HCB98" s="46"/>
      <c r="HCC98" s="46"/>
      <c r="HCD98" s="46"/>
      <c r="HCE98" s="46"/>
      <c r="HCF98" s="46"/>
      <c r="HCG98" s="46"/>
      <c r="HCH98" s="46"/>
      <c r="HCI98" s="46"/>
      <c r="HCJ98" s="46"/>
      <c r="HCK98" s="46"/>
      <c r="HCL98" s="46"/>
      <c r="HCM98" s="46"/>
      <c r="HCN98" s="46"/>
      <c r="HCO98" s="46"/>
      <c r="HCP98" s="46"/>
      <c r="HCQ98" s="46"/>
      <c r="HCR98" s="46"/>
      <c r="HCS98" s="46"/>
      <c r="HCT98" s="46"/>
      <c r="HCU98" s="46"/>
      <c r="HCV98" s="46"/>
      <c r="HCW98" s="46"/>
      <c r="HCX98" s="46"/>
      <c r="HCY98" s="46"/>
      <c r="HCZ98" s="46"/>
      <c r="HDA98" s="46"/>
      <c r="HDB98" s="46"/>
      <c r="HDC98" s="46"/>
      <c r="HDD98" s="46"/>
      <c r="HDE98" s="46"/>
      <c r="HDF98" s="46"/>
      <c r="HDG98" s="46"/>
      <c r="HDH98" s="46"/>
      <c r="HDI98" s="46"/>
      <c r="HDJ98" s="46"/>
      <c r="HDK98" s="46"/>
      <c r="HDL98" s="46"/>
      <c r="HDM98" s="46"/>
      <c r="HDN98" s="46"/>
      <c r="HDO98" s="46"/>
      <c r="HDP98" s="46"/>
      <c r="HDQ98" s="46"/>
      <c r="HDR98" s="46"/>
      <c r="HDS98" s="46"/>
      <c r="HDT98" s="46"/>
      <c r="HDU98" s="46"/>
      <c r="HDV98" s="46"/>
      <c r="HDW98" s="46"/>
      <c r="HDX98" s="46"/>
      <c r="HDY98" s="46"/>
      <c r="HDZ98" s="46"/>
      <c r="HEA98" s="46"/>
      <c r="HEB98" s="46"/>
      <c r="HEC98" s="46"/>
      <c r="HED98" s="46"/>
      <c r="HEE98" s="46"/>
      <c r="HEF98" s="46"/>
      <c r="HEG98" s="46"/>
      <c r="HEH98" s="46"/>
      <c r="HEI98" s="46"/>
      <c r="HEJ98" s="46"/>
      <c r="HEK98" s="46"/>
      <c r="HEL98" s="46"/>
      <c r="HEM98" s="46"/>
      <c r="HEN98" s="46"/>
      <c r="HEO98" s="46"/>
      <c r="HEP98" s="46"/>
      <c r="HEQ98" s="46"/>
      <c r="HER98" s="46"/>
      <c r="HES98" s="46"/>
      <c r="HET98" s="46"/>
      <c r="HEU98" s="46"/>
      <c r="HEV98" s="46"/>
      <c r="HEW98" s="46"/>
      <c r="HEX98" s="46"/>
      <c r="HEY98" s="46"/>
      <c r="HEZ98" s="46"/>
      <c r="HFA98" s="46"/>
      <c r="HFB98" s="46"/>
      <c r="HFC98" s="46"/>
      <c r="HFD98" s="46"/>
      <c r="HFE98" s="46"/>
      <c r="HFF98" s="46"/>
      <c r="HFG98" s="46"/>
      <c r="HFH98" s="46"/>
      <c r="HFI98" s="46"/>
      <c r="HFJ98" s="46"/>
      <c r="HFK98" s="46"/>
      <c r="HFL98" s="46"/>
      <c r="HFM98" s="46"/>
      <c r="HFN98" s="46"/>
      <c r="HFO98" s="46"/>
      <c r="HFP98" s="46"/>
      <c r="HFQ98" s="46"/>
      <c r="HFR98" s="46"/>
      <c r="HFS98" s="46"/>
      <c r="HFT98" s="46"/>
      <c r="HFU98" s="46"/>
      <c r="HFV98" s="46"/>
      <c r="HFW98" s="46"/>
      <c r="HFX98" s="46"/>
      <c r="HFY98" s="46"/>
      <c r="HFZ98" s="46"/>
      <c r="HGA98" s="46"/>
      <c r="HGB98" s="46"/>
      <c r="HGC98" s="46"/>
      <c r="HGD98" s="46"/>
      <c r="HGE98" s="46"/>
      <c r="HGF98" s="46"/>
      <c r="HGG98" s="46"/>
      <c r="HGH98" s="46"/>
      <c r="HGI98" s="46"/>
      <c r="HGJ98" s="46"/>
      <c r="HGK98" s="46"/>
      <c r="HGL98" s="46"/>
      <c r="HGM98" s="46"/>
      <c r="HGN98" s="46"/>
      <c r="HGO98" s="46"/>
      <c r="HGP98" s="46"/>
      <c r="HGQ98" s="46"/>
      <c r="HGR98" s="46"/>
      <c r="HGS98" s="46"/>
      <c r="HGT98" s="46"/>
      <c r="HGU98" s="46"/>
      <c r="HGV98" s="46"/>
      <c r="HGW98" s="46"/>
      <c r="HGX98" s="46"/>
      <c r="HGY98" s="46"/>
      <c r="HGZ98" s="46"/>
      <c r="HHA98" s="46"/>
      <c r="HHB98" s="46"/>
      <c r="HHC98" s="46"/>
      <c r="HHD98" s="46"/>
      <c r="HHE98" s="46"/>
      <c r="HHF98" s="46"/>
      <c r="HHG98" s="46"/>
      <c r="HHH98" s="46"/>
      <c r="HHI98" s="46"/>
      <c r="HHJ98" s="46"/>
      <c r="HHK98" s="46"/>
      <c r="HHL98" s="46"/>
      <c r="HHM98" s="46"/>
      <c r="HHN98" s="46"/>
      <c r="HHO98" s="46"/>
      <c r="HHP98" s="46"/>
      <c r="HHQ98" s="46"/>
      <c r="HHR98" s="46"/>
      <c r="HHS98" s="46"/>
      <c r="HHT98" s="46"/>
      <c r="HHU98" s="46"/>
      <c r="HHV98" s="46"/>
      <c r="HHW98" s="46"/>
      <c r="HHX98" s="46"/>
      <c r="HHY98" s="46"/>
      <c r="HHZ98" s="46"/>
      <c r="HIA98" s="46"/>
      <c r="HIB98" s="46"/>
      <c r="HIC98" s="46"/>
      <c r="HID98" s="46"/>
      <c r="HIE98" s="46"/>
      <c r="HIF98" s="46"/>
      <c r="HIG98" s="46"/>
      <c r="HIH98" s="46"/>
      <c r="HII98" s="46"/>
      <c r="HIJ98" s="46"/>
      <c r="HIK98" s="46"/>
      <c r="HIL98" s="46"/>
      <c r="HIM98" s="46"/>
      <c r="HIN98" s="46"/>
      <c r="HIO98" s="46"/>
      <c r="HIP98" s="46"/>
      <c r="HIQ98" s="46"/>
      <c r="HIR98" s="46"/>
      <c r="HIS98" s="46"/>
      <c r="HIT98" s="46"/>
      <c r="HIU98" s="46"/>
      <c r="HIV98" s="46"/>
      <c r="HIW98" s="46"/>
      <c r="HIX98" s="46"/>
      <c r="HIY98" s="46"/>
      <c r="HIZ98" s="46"/>
      <c r="HJA98" s="46"/>
      <c r="HJB98" s="46"/>
      <c r="HJC98" s="46"/>
      <c r="HJD98" s="46"/>
      <c r="HJE98" s="46"/>
      <c r="HJF98" s="46"/>
      <c r="HJG98" s="46"/>
      <c r="HJH98" s="46"/>
      <c r="HJI98" s="46"/>
      <c r="HJJ98" s="46"/>
      <c r="HJK98" s="46"/>
      <c r="HJL98" s="46"/>
      <c r="HJM98" s="46"/>
      <c r="HJN98" s="46"/>
      <c r="HJO98" s="46"/>
      <c r="HJP98" s="46"/>
      <c r="HJQ98" s="46"/>
      <c r="HJR98" s="46"/>
      <c r="HJS98" s="46"/>
      <c r="HJT98" s="46"/>
      <c r="HJU98" s="46"/>
      <c r="HJV98" s="46"/>
      <c r="HJW98" s="46"/>
      <c r="HJX98" s="46"/>
      <c r="HJY98" s="46"/>
      <c r="HJZ98" s="46"/>
      <c r="HKA98" s="46"/>
      <c r="HKB98" s="46"/>
      <c r="HKC98" s="46"/>
      <c r="HKD98" s="46"/>
      <c r="HKE98" s="46"/>
      <c r="HKF98" s="46"/>
      <c r="HKG98" s="46"/>
      <c r="HKH98" s="46"/>
      <c r="HKI98" s="46"/>
      <c r="HKJ98" s="46"/>
      <c r="HKK98" s="46"/>
      <c r="HKL98" s="46"/>
      <c r="HKM98" s="46"/>
      <c r="HKN98" s="46"/>
      <c r="HKO98" s="46"/>
      <c r="HKP98" s="46"/>
      <c r="HKQ98" s="46"/>
      <c r="HKR98" s="46"/>
      <c r="HKS98" s="46"/>
      <c r="HKT98" s="46"/>
      <c r="HKU98" s="46"/>
      <c r="HKV98" s="46"/>
      <c r="HKW98" s="46"/>
      <c r="HKX98" s="46"/>
      <c r="HKY98" s="46"/>
      <c r="HKZ98" s="46"/>
      <c r="HLA98" s="46"/>
      <c r="HLB98" s="46"/>
      <c r="HLC98" s="46"/>
      <c r="HLD98" s="46"/>
      <c r="HLE98" s="46"/>
      <c r="HLF98" s="46"/>
      <c r="HLG98" s="46"/>
      <c r="HLH98" s="46"/>
      <c r="HLI98" s="46"/>
      <c r="HLJ98" s="46"/>
      <c r="HLK98" s="46"/>
      <c r="HLL98" s="46"/>
      <c r="HLM98" s="46"/>
      <c r="HLN98" s="46"/>
      <c r="HLO98" s="46"/>
      <c r="HLP98" s="46"/>
      <c r="HLQ98" s="46"/>
      <c r="HLR98" s="46"/>
      <c r="HLS98" s="46"/>
      <c r="HLT98" s="46"/>
      <c r="HLU98" s="46"/>
      <c r="HLV98" s="46"/>
      <c r="HLW98" s="46"/>
      <c r="HLX98" s="46"/>
      <c r="HLY98" s="46"/>
      <c r="HLZ98" s="46"/>
      <c r="HMA98" s="46"/>
      <c r="HMB98" s="46"/>
      <c r="HMC98" s="46"/>
      <c r="HMD98" s="46"/>
      <c r="HME98" s="46"/>
      <c r="HMF98" s="46"/>
      <c r="HMG98" s="46"/>
      <c r="HMH98" s="46"/>
      <c r="HMI98" s="46"/>
      <c r="HMJ98" s="46"/>
      <c r="HMK98" s="46"/>
      <c r="HML98" s="46"/>
      <c r="HMM98" s="46"/>
      <c r="HMN98" s="46"/>
      <c r="HMO98" s="46"/>
      <c r="HMP98" s="46"/>
      <c r="HMQ98" s="46"/>
      <c r="HMR98" s="46"/>
      <c r="HMS98" s="46"/>
      <c r="HMT98" s="46"/>
      <c r="HMU98" s="46"/>
      <c r="HMV98" s="46"/>
      <c r="HMW98" s="46"/>
      <c r="HMX98" s="46"/>
      <c r="HMY98" s="46"/>
      <c r="HMZ98" s="46"/>
      <c r="HNA98" s="46"/>
      <c r="HNB98" s="46"/>
      <c r="HNC98" s="46"/>
      <c r="HND98" s="46"/>
      <c r="HNE98" s="46"/>
      <c r="HNF98" s="46"/>
      <c r="HNG98" s="46"/>
      <c r="HNH98" s="46"/>
      <c r="HNI98" s="46"/>
      <c r="HNJ98" s="46"/>
      <c r="HNK98" s="46"/>
      <c r="HNL98" s="46"/>
      <c r="HNM98" s="46"/>
      <c r="HNN98" s="46"/>
      <c r="HNO98" s="46"/>
      <c r="HNP98" s="46"/>
      <c r="HNQ98" s="46"/>
      <c r="HNR98" s="46"/>
      <c r="HNS98" s="46"/>
      <c r="HNT98" s="46"/>
      <c r="HNU98" s="46"/>
      <c r="HNV98" s="46"/>
      <c r="HNW98" s="46"/>
      <c r="HNX98" s="46"/>
      <c r="HNY98" s="46"/>
      <c r="HNZ98" s="46"/>
      <c r="HOA98" s="46"/>
      <c r="HOB98" s="46"/>
      <c r="HOC98" s="46"/>
      <c r="HOD98" s="46"/>
      <c r="HOE98" s="46"/>
      <c r="HOF98" s="46"/>
      <c r="HOG98" s="46"/>
      <c r="HOH98" s="46"/>
      <c r="HOI98" s="46"/>
      <c r="HOJ98" s="46"/>
      <c r="HOK98" s="46"/>
      <c r="HOL98" s="46"/>
      <c r="HOM98" s="46"/>
      <c r="HON98" s="46"/>
      <c r="HOO98" s="46"/>
      <c r="HOP98" s="46"/>
      <c r="HOQ98" s="46"/>
      <c r="HOR98" s="46"/>
      <c r="HOS98" s="46"/>
      <c r="HOT98" s="46"/>
      <c r="HOU98" s="46"/>
      <c r="HOV98" s="46"/>
      <c r="HOW98" s="46"/>
      <c r="HOX98" s="46"/>
      <c r="HOY98" s="46"/>
      <c r="HOZ98" s="46"/>
      <c r="HPA98" s="46"/>
      <c r="HPB98" s="46"/>
      <c r="HPC98" s="46"/>
      <c r="HPD98" s="46"/>
      <c r="HPE98" s="46"/>
      <c r="HPF98" s="46"/>
      <c r="HPG98" s="46"/>
      <c r="HPH98" s="46"/>
      <c r="HPI98" s="46"/>
      <c r="HPJ98" s="46"/>
      <c r="HPK98" s="46"/>
      <c r="HPL98" s="46"/>
      <c r="HPM98" s="46"/>
      <c r="HPN98" s="46"/>
      <c r="HPO98" s="46"/>
      <c r="HPP98" s="46"/>
      <c r="HPQ98" s="46"/>
      <c r="HPR98" s="46"/>
      <c r="HPS98" s="46"/>
      <c r="HPT98" s="46"/>
      <c r="HPU98" s="46"/>
      <c r="HPV98" s="46"/>
      <c r="HPW98" s="46"/>
      <c r="HPX98" s="46"/>
      <c r="HPY98" s="46"/>
      <c r="HPZ98" s="46"/>
      <c r="HQA98" s="46"/>
      <c r="HQB98" s="46"/>
      <c r="HQC98" s="46"/>
      <c r="HQD98" s="46"/>
      <c r="HQE98" s="46"/>
      <c r="HQF98" s="46"/>
      <c r="HQG98" s="46"/>
      <c r="HQH98" s="46"/>
      <c r="HQI98" s="46"/>
      <c r="HQJ98" s="46"/>
      <c r="HQK98" s="46"/>
      <c r="HQL98" s="46"/>
      <c r="HQM98" s="46"/>
      <c r="HQN98" s="46"/>
      <c r="HQO98" s="46"/>
      <c r="HQP98" s="46"/>
      <c r="HQQ98" s="46"/>
      <c r="HQR98" s="46"/>
      <c r="HQS98" s="46"/>
      <c r="HQT98" s="46"/>
      <c r="HQU98" s="46"/>
      <c r="HQV98" s="46"/>
      <c r="HQW98" s="46"/>
      <c r="HQX98" s="46"/>
      <c r="HQY98" s="46"/>
      <c r="HQZ98" s="46"/>
      <c r="HRA98" s="46"/>
      <c r="HRB98" s="46"/>
      <c r="HRC98" s="46"/>
      <c r="HRD98" s="46"/>
      <c r="HRE98" s="46"/>
      <c r="HRF98" s="46"/>
      <c r="HRG98" s="46"/>
      <c r="HRH98" s="46"/>
      <c r="HRI98" s="46"/>
      <c r="HRJ98" s="46"/>
      <c r="HRK98" s="46"/>
      <c r="HRL98" s="46"/>
      <c r="HRM98" s="46"/>
      <c r="HRN98" s="46"/>
      <c r="HRO98" s="46"/>
      <c r="HRP98" s="46"/>
      <c r="HRQ98" s="46"/>
      <c r="HRR98" s="46"/>
      <c r="HRS98" s="46"/>
      <c r="HRT98" s="46"/>
      <c r="HRU98" s="46"/>
      <c r="HRV98" s="46"/>
      <c r="HRW98" s="46"/>
      <c r="HRX98" s="46"/>
      <c r="HRY98" s="46"/>
      <c r="HRZ98" s="46"/>
      <c r="HSA98" s="46"/>
      <c r="HSB98" s="46"/>
      <c r="HSC98" s="46"/>
      <c r="HSD98" s="46"/>
      <c r="HSE98" s="46"/>
      <c r="HSF98" s="46"/>
      <c r="HSG98" s="46"/>
      <c r="HSH98" s="46"/>
      <c r="HSI98" s="46"/>
      <c r="HSJ98" s="46"/>
      <c r="HSK98" s="46"/>
      <c r="HSL98" s="46"/>
      <c r="HSM98" s="46"/>
      <c r="HSN98" s="46"/>
      <c r="HSO98" s="46"/>
      <c r="HSP98" s="46"/>
      <c r="HSQ98" s="46"/>
      <c r="HSR98" s="46"/>
      <c r="HSS98" s="46"/>
      <c r="HST98" s="46"/>
      <c r="HSU98" s="46"/>
      <c r="HSV98" s="46"/>
      <c r="HSW98" s="46"/>
      <c r="HSX98" s="46"/>
      <c r="HSY98" s="46"/>
      <c r="HSZ98" s="46"/>
      <c r="HTA98" s="46"/>
      <c r="HTB98" s="46"/>
      <c r="HTC98" s="46"/>
      <c r="HTD98" s="46"/>
      <c r="HTE98" s="46"/>
      <c r="HTF98" s="46"/>
      <c r="HTG98" s="46"/>
      <c r="HTH98" s="46"/>
      <c r="HTI98" s="46"/>
      <c r="HTJ98" s="46"/>
      <c r="HTK98" s="46"/>
      <c r="HTL98" s="46"/>
      <c r="HTM98" s="46"/>
      <c r="HTN98" s="46"/>
      <c r="HTO98" s="46"/>
      <c r="HTP98" s="46"/>
      <c r="HTQ98" s="46"/>
      <c r="HTR98" s="46"/>
      <c r="HTS98" s="46"/>
      <c r="HTT98" s="46"/>
      <c r="HTU98" s="46"/>
      <c r="HTV98" s="46"/>
      <c r="HTW98" s="46"/>
      <c r="HTX98" s="46"/>
      <c r="HTY98" s="46"/>
      <c r="HTZ98" s="46"/>
      <c r="HUA98" s="46"/>
      <c r="HUB98" s="46"/>
      <c r="HUC98" s="46"/>
      <c r="HUD98" s="46"/>
      <c r="HUE98" s="46"/>
      <c r="HUF98" s="46"/>
      <c r="HUG98" s="46"/>
      <c r="HUH98" s="46"/>
      <c r="HUI98" s="46"/>
      <c r="HUJ98" s="46"/>
      <c r="HUK98" s="46"/>
      <c r="HUL98" s="46"/>
      <c r="HUM98" s="46"/>
      <c r="HUN98" s="46"/>
      <c r="HUO98" s="46"/>
      <c r="HUP98" s="46"/>
      <c r="HUQ98" s="46"/>
      <c r="HUR98" s="46"/>
      <c r="HUS98" s="46"/>
      <c r="HUT98" s="46"/>
      <c r="HUU98" s="46"/>
      <c r="HUV98" s="46"/>
      <c r="HUW98" s="46"/>
      <c r="HUX98" s="46"/>
      <c r="HUY98" s="46"/>
      <c r="HUZ98" s="46"/>
      <c r="HVA98" s="46"/>
      <c r="HVB98" s="46"/>
      <c r="HVC98" s="46"/>
      <c r="HVD98" s="46"/>
      <c r="HVE98" s="46"/>
      <c r="HVF98" s="46"/>
      <c r="HVG98" s="46"/>
      <c r="HVH98" s="46"/>
      <c r="HVI98" s="46"/>
      <c r="HVJ98" s="46"/>
      <c r="HVK98" s="46"/>
      <c r="HVL98" s="46"/>
      <c r="HVM98" s="46"/>
      <c r="HVN98" s="46"/>
      <c r="HVO98" s="46"/>
      <c r="HVP98" s="46"/>
      <c r="HVQ98" s="46"/>
      <c r="HVR98" s="46"/>
      <c r="HVS98" s="46"/>
      <c r="HVT98" s="46"/>
      <c r="HVU98" s="46"/>
      <c r="HVV98" s="46"/>
      <c r="HVW98" s="46"/>
      <c r="HVX98" s="46"/>
      <c r="HVY98" s="46"/>
      <c r="HVZ98" s="46"/>
      <c r="HWA98" s="46"/>
      <c r="HWB98" s="46"/>
      <c r="HWC98" s="46"/>
      <c r="HWD98" s="46"/>
      <c r="HWE98" s="46"/>
      <c r="HWF98" s="46"/>
      <c r="HWG98" s="46"/>
      <c r="HWH98" s="46"/>
      <c r="HWI98" s="46"/>
      <c r="HWJ98" s="46"/>
      <c r="HWK98" s="46"/>
      <c r="HWL98" s="46"/>
      <c r="HWM98" s="46"/>
      <c r="HWN98" s="46"/>
      <c r="HWO98" s="46"/>
      <c r="HWP98" s="46"/>
      <c r="HWQ98" s="46"/>
      <c r="HWR98" s="46"/>
      <c r="HWS98" s="46"/>
      <c r="HWT98" s="46"/>
      <c r="HWU98" s="46"/>
      <c r="HWV98" s="46"/>
      <c r="HWW98" s="46"/>
      <c r="HWX98" s="46"/>
      <c r="HWY98" s="46"/>
      <c r="HWZ98" s="46"/>
      <c r="HXA98" s="46"/>
      <c r="HXB98" s="46"/>
      <c r="HXC98" s="46"/>
      <c r="HXD98" s="46"/>
      <c r="HXE98" s="46"/>
      <c r="HXF98" s="46"/>
      <c r="HXG98" s="46"/>
      <c r="HXH98" s="46"/>
      <c r="HXI98" s="46"/>
      <c r="HXJ98" s="46"/>
      <c r="HXK98" s="46"/>
      <c r="HXL98" s="46"/>
      <c r="HXM98" s="46"/>
      <c r="HXN98" s="46"/>
      <c r="HXO98" s="46"/>
      <c r="HXP98" s="46"/>
      <c r="HXQ98" s="46"/>
      <c r="HXR98" s="46"/>
      <c r="HXS98" s="46"/>
      <c r="HXT98" s="46"/>
      <c r="HXU98" s="46"/>
      <c r="HXV98" s="46"/>
      <c r="HXW98" s="46"/>
      <c r="HXX98" s="46"/>
      <c r="HXY98" s="46"/>
      <c r="HXZ98" s="46"/>
      <c r="HYA98" s="46"/>
      <c r="HYB98" s="46"/>
      <c r="HYC98" s="46"/>
      <c r="HYD98" s="46"/>
      <c r="HYE98" s="46"/>
      <c r="HYF98" s="46"/>
      <c r="HYG98" s="46"/>
      <c r="HYH98" s="46"/>
      <c r="HYI98" s="46"/>
      <c r="HYJ98" s="46"/>
      <c r="HYK98" s="46"/>
      <c r="HYL98" s="46"/>
      <c r="HYM98" s="46"/>
      <c r="HYN98" s="46"/>
      <c r="HYO98" s="46"/>
      <c r="HYP98" s="46"/>
      <c r="HYQ98" s="46"/>
      <c r="HYR98" s="46"/>
      <c r="HYS98" s="46"/>
      <c r="HYT98" s="46"/>
      <c r="HYU98" s="46"/>
      <c r="HYV98" s="46"/>
      <c r="HYW98" s="46"/>
      <c r="HYX98" s="46"/>
      <c r="HYY98" s="46"/>
      <c r="HYZ98" s="46"/>
      <c r="HZA98" s="46"/>
      <c r="HZB98" s="46"/>
      <c r="HZC98" s="46"/>
      <c r="HZD98" s="46"/>
      <c r="HZE98" s="46"/>
      <c r="HZF98" s="46"/>
      <c r="HZG98" s="46"/>
      <c r="HZH98" s="46"/>
      <c r="HZI98" s="46"/>
      <c r="HZJ98" s="46"/>
      <c r="HZK98" s="46"/>
      <c r="HZL98" s="46"/>
      <c r="HZM98" s="46"/>
      <c r="HZN98" s="46"/>
      <c r="HZO98" s="46"/>
      <c r="HZP98" s="46"/>
      <c r="HZQ98" s="46"/>
      <c r="HZR98" s="46"/>
      <c r="HZS98" s="46"/>
      <c r="HZT98" s="46"/>
      <c r="HZU98" s="46"/>
      <c r="HZV98" s="46"/>
      <c r="HZW98" s="46"/>
      <c r="HZX98" s="46"/>
      <c r="HZY98" s="46"/>
      <c r="HZZ98" s="46"/>
      <c r="IAA98" s="46"/>
      <c r="IAB98" s="46"/>
      <c r="IAC98" s="46"/>
      <c r="IAD98" s="46"/>
      <c r="IAE98" s="46"/>
      <c r="IAF98" s="46"/>
      <c r="IAG98" s="46"/>
      <c r="IAH98" s="46"/>
      <c r="IAI98" s="46"/>
      <c r="IAJ98" s="46"/>
      <c r="IAK98" s="46"/>
      <c r="IAL98" s="46"/>
      <c r="IAM98" s="46"/>
      <c r="IAN98" s="46"/>
      <c r="IAO98" s="46"/>
      <c r="IAP98" s="46"/>
      <c r="IAQ98" s="46"/>
      <c r="IAR98" s="46"/>
      <c r="IAS98" s="46"/>
      <c r="IAT98" s="46"/>
      <c r="IAU98" s="46"/>
      <c r="IAV98" s="46"/>
      <c r="IAW98" s="46"/>
      <c r="IAX98" s="46"/>
      <c r="IAY98" s="46"/>
      <c r="IAZ98" s="46"/>
      <c r="IBA98" s="46"/>
      <c r="IBB98" s="46"/>
      <c r="IBC98" s="46"/>
      <c r="IBD98" s="46"/>
      <c r="IBE98" s="46"/>
      <c r="IBF98" s="46"/>
      <c r="IBG98" s="46"/>
      <c r="IBH98" s="46"/>
      <c r="IBI98" s="46"/>
      <c r="IBJ98" s="46"/>
      <c r="IBK98" s="46"/>
      <c r="IBL98" s="46"/>
      <c r="IBM98" s="46"/>
      <c r="IBN98" s="46"/>
      <c r="IBO98" s="46"/>
      <c r="IBP98" s="46"/>
      <c r="IBQ98" s="46"/>
      <c r="IBR98" s="46"/>
      <c r="IBS98" s="46"/>
      <c r="IBT98" s="46"/>
      <c r="IBU98" s="46"/>
      <c r="IBV98" s="46"/>
      <c r="IBW98" s="46"/>
      <c r="IBX98" s="46"/>
      <c r="IBY98" s="46"/>
      <c r="IBZ98" s="46"/>
      <c r="ICA98" s="46"/>
      <c r="ICB98" s="46"/>
      <c r="ICC98" s="46"/>
      <c r="ICD98" s="46"/>
      <c r="ICE98" s="46"/>
      <c r="ICF98" s="46"/>
      <c r="ICG98" s="46"/>
      <c r="ICH98" s="46"/>
      <c r="ICI98" s="46"/>
      <c r="ICJ98" s="46"/>
      <c r="ICK98" s="46"/>
      <c r="ICL98" s="46"/>
      <c r="ICM98" s="46"/>
      <c r="ICN98" s="46"/>
      <c r="ICO98" s="46"/>
      <c r="ICP98" s="46"/>
      <c r="ICQ98" s="46"/>
      <c r="ICR98" s="46"/>
      <c r="ICS98" s="46"/>
      <c r="ICT98" s="46"/>
      <c r="ICU98" s="46"/>
      <c r="ICV98" s="46"/>
      <c r="ICW98" s="46"/>
      <c r="ICX98" s="46"/>
      <c r="ICY98" s="46"/>
      <c r="ICZ98" s="46"/>
      <c r="IDA98" s="46"/>
      <c r="IDB98" s="46"/>
      <c r="IDC98" s="46"/>
      <c r="IDD98" s="46"/>
      <c r="IDE98" s="46"/>
      <c r="IDF98" s="46"/>
      <c r="IDG98" s="46"/>
      <c r="IDH98" s="46"/>
      <c r="IDI98" s="46"/>
      <c r="IDJ98" s="46"/>
      <c r="IDK98" s="46"/>
      <c r="IDL98" s="46"/>
      <c r="IDM98" s="46"/>
      <c r="IDN98" s="46"/>
      <c r="IDO98" s="46"/>
      <c r="IDP98" s="46"/>
      <c r="IDQ98" s="46"/>
      <c r="IDR98" s="46"/>
      <c r="IDS98" s="46"/>
      <c r="IDT98" s="46"/>
      <c r="IDU98" s="46"/>
      <c r="IDV98" s="46"/>
      <c r="IDW98" s="46"/>
      <c r="IDX98" s="46"/>
      <c r="IDY98" s="46"/>
      <c r="IDZ98" s="46"/>
      <c r="IEA98" s="46"/>
      <c r="IEB98" s="46"/>
      <c r="IEC98" s="46"/>
      <c r="IED98" s="46"/>
      <c r="IEE98" s="46"/>
      <c r="IEF98" s="46"/>
      <c r="IEG98" s="46"/>
      <c r="IEH98" s="46"/>
      <c r="IEI98" s="46"/>
      <c r="IEJ98" s="46"/>
      <c r="IEK98" s="46"/>
      <c r="IEL98" s="46"/>
      <c r="IEM98" s="46"/>
      <c r="IEN98" s="46"/>
      <c r="IEO98" s="46"/>
      <c r="IEP98" s="46"/>
      <c r="IEQ98" s="46"/>
      <c r="IER98" s="46"/>
      <c r="IES98" s="46"/>
      <c r="IET98" s="46"/>
      <c r="IEU98" s="46"/>
      <c r="IEV98" s="46"/>
      <c r="IEW98" s="46"/>
      <c r="IEX98" s="46"/>
      <c r="IEY98" s="46"/>
      <c r="IEZ98" s="46"/>
      <c r="IFA98" s="46"/>
      <c r="IFB98" s="46"/>
      <c r="IFC98" s="46"/>
      <c r="IFD98" s="46"/>
      <c r="IFE98" s="46"/>
      <c r="IFF98" s="46"/>
      <c r="IFG98" s="46"/>
      <c r="IFH98" s="46"/>
      <c r="IFI98" s="46"/>
      <c r="IFJ98" s="46"/>
      <c r="IFK98" s="46"/>
      <c r="IFL98" s="46"/>
      <c r="IFM98" s="46"/>
      <c r="IFN98" s="46"/>
      <c r="IFO98" s="46"/>
      <c r="IFP98" s="46"/>
      <c r="IFQ98" s="46"/>
      <c r="IFR98" s="46"/>
      <c r="IFS98" s="46"/>
      <c r="IFT98" s="46"/>
      <c r="IFU98" s="46"/>
      <c r="IFV98" s="46"/>
      <c r="IFW98" s="46"/>
      <c r="IFX98" s="46"/>
      <c r="IFY98" s="46"/>
      <c r="IFZ98" s="46"/>
      <c r="IGA98" s="46"/>
      <c r="IGB98" s="46"/>
      <c r="IGC98" s="46"/>
      <c r="IGD98" s="46"/>
      <c r="IGE98" s="46"/>
      <c r="IGF98" s="46"/>
      <c r="IGG98" s="46"/>
      <c r="IGH98" s="46"/>
      <c r="IGI98" s="46"/>
      <c r="IGJ98" s="46"/>
      <c r="IGK98" s="46"/>
      <c r="IGL98" s="46"/>
      <c r="IGM98" s="46"/>
      <c r="IGN98" s="46"/>
      <c r="IGO98" s="46"/>
      <c r="IGP98" s="46"/>
      <c r="IGQ98" s="46"/>
      <c r="IGR98" s="46"/>
      <c r="IGS98" s="46"/>
      <c r="IGT98" s="46"/>
      <c r="IGU98" s="46"/>
      <c r="IGV98" s="46"/>
      <c r="IGW98" s="46"/>
      <c r="IGX98" s="46"/>
      <c r="IGY98" s="46"/>
      <c r="IGZ98" s="46"/>
      <c r="IHA98" s="46"/>
      <c r="IHB98" s="46"/>
      <c r="IHC98" s="46"/>
      <c r="IHD98" s="46"/>
      <c r="IHE98" s="46"/>
      <c r="IHF98" s="46"/>
      <c r="IHG98" s="46"/>
      <c r="IHH98" s="46"/>
      <c r="IHI98" s="46"/>
      <c r="IHJ98" s="46"/>
      <c r="IHK98" s="46"/>
      <c r="IHL98" s="46"/>
      <c r="IHM98" s="46"/>
      <c r="IHN98" s="46"/>
      <c r="IHO98" s="46"/>
      <c r="IHP98" s="46"/>
      <c r="IHQ98" s="46"/>
      <c r="IHR98" s="46"/>
      <c r="IHS98" s="46"/>
      <c r="IHT98" s="46"/>
      <c r="IHU98" s="46"/>
      <c r="IHV98" s="46"/>
      <c r="IHW98" s="46"/>
      <c r="IHX98" s="46"/>
      <c r="IHY98" s="46"/>
      <c r="IHZ98" s="46"/>
      <c r="IIA98" s="46"/>
      <c r="IIB98" s="46"/>
      <c r="IIC98" s="46"/>
      <c r="IID98" s="46"/>
      <c r="IIE98" s="46"/>
      <c r="IIF98" s="46"/>
      <c r="IIG98" s="46"/>
      <c r="IIH98" s="46"/>
      <c r="III98" s="46"/>
      <c r="IIJ98" s="46"/>
      <c r="IIK98" s="46"/>
      <c r="IIL98" s="46"/>
      <c r="IIM98" s="46"/>
      <c r="IIN98" s="46"/>
      <c r="IIO98" s="46"/>
      <c r="IIP98" s="46"/>
      <c r="IIQ98" s="46"/>
      <c r="IIR98" s="46"/>
      <c r="IIS98" s="46"/>
      <c r="IIT98" s="46"/>
      <c r="IIU98" s="46"/>
      <c r="IIV98" s="46"/>
      <c r="IIW98" s="46"/>
      <c r="IIX98" s="46"/>
      <c r="IIY98" s="46"/>
      <c r="IIZ98" s="46"/>
      <c r="IJA98" s="46"/>
      <c r="IJB98" s="46"/>
      <c r="IJC98" s="46"/>
      <c r="IJD98" s="46"/>
      <c r="IJE98" s="46"/>
      <c r="IJF98" s="46"/>
      <c r="IJG98" s="46"/>
      <c r="IJH98" s="46"/>
      <c r="IJI98" s="46"/>
      <c r="IJJ98" s="46"/>
      <c r="IJK98" s="46"/>
      <c r="IJL98" s="46"/>
      <c r="IJM98" s="46"/>
      <c r="IJN98" s="46"/>
      <c r="IJO98" s="46"/>
      <c r="IJP98" s="46"/>
      <c r="IJQ98" s="46"/>
      <c r="IJR98" s="46"/>
      <c r="IJS98" s="46"/>
      <c r="IJT98" s="46"/>
      <c r="IJU98" s="46"/>
      <c r="IJV98" s="46"/>
      <c r="IJW98" s="46"/>
      <c r="IJX98" s="46"/>
      <c r="IJY98" s="46"/>
      <c r="IJZ98" s="46"/>
      <c r="IKA98" s="46"/>
      <c r="IKB98" s="46"/>
      <c r="IKC98" s="46"/>
      <c r="IKD98" s="46"/>
      <c r="IKE98" s="46"/>
      <c r="IKF98" s="46"/>
      <c r="IKG98" s="46"/>
      <c r="IKH98" s="46"/>
      <c r="IKI98" s="46"/>
      <c r="IKJ98" s="46"/>
      <c r="IKK98" s="46"/>
      <c r="IKL98" s="46"/>
      <c r="IKM98" s="46"/>
      <c r="IKN98" s="46"/>
      <c r="IKO98" s="46"/>
      <c r="IKP98" s="46"/>
      <c r="IKQ98" s="46"/>
      <c r="IKR98" s="46"/>
      <c r="IKS98" s="46"/>
      <c r="IKT98" s="46"/>
      <c r="IKU98" s="46"/>
      <c r="IKV98" s="46"/>
      <c r="IKW98" s="46"/>
      <c r="IKX98" s="46"/>
      <c r="IKY98" s="46"/>
      <c r="IKZ98" s="46"/>
      <c r="ILA98" s="46"/>
      <c r="ILB98" s="46"/>
      <c r="ILC98" s="46"/>
      <c r="ILD98" s="46"/>
      <c r="ILE98" s="46"/>
      <c r="ILF98" s="46"/>
      <c r="ILG98" s="46"/>
      <c r="ILH98" s="46"/>
      <c r="ILI98" s="46"/>
      <c r="ILJ98" s="46"/>
      <c r="ILK98" s="46"/>
      <c r="ILL98" s="46"/>
      <c r="ILM98" s="46"/>
      <c r="ILN98" s="46"/>
      <c r="ILO98" s="46"/>
      <c r="ILP98" s="46"/>
      <c r="ILQ98" s="46"/>
      <c r="ILR98" s="46"/>
      <c r="ILS98" s="46"/>
      <c r="ILT98" s="46"/>
      <c r="ILU98" s="46"/>
      <c r="ILV98" s="46"/>
      <c r="ILW98" s="46"/>
      <c r="ILX98" s="46"/>
      <c r="ILY98" s="46"/>
      <c r="ILZ98" s="46"/>
      <c r="IMA98" s="46"/>
      <c r="IMB98" s="46"/>
      <c r="IMC98" s="46"/>
      <c r="IMD98" s="46"/>
      <c r="IME98" s="46"/>
      <c r="IMF98" s="46"/>
      <c r="IMG98" s="46"/>
      <c r="IMH98" s="46"/>
      <c r="IMI98" s="46"/>
      <c r="IMJ98" s="46"/>
      <c r="IMK98" s="46"/>
      <c r="IML98" s="46"/>
      <c r="IMM98" s="46"/>
      <c r="IMN98" s="46"/>
      <c r="IMO98" s="46"/>
      <c r="IMP98" s="46"/>
      <c r="IMQ98" s="46"/>
      <c r="IMR98" s="46"/>
      <c r="IMS98" s="46"/>
      <c r="IMT98" s="46"/>
      <c r="IMU98" s="46"/>
      <c r="IMV98" s="46"/>
      <c r="IMW98" s="46"/>
      <c r="IMX98" s="46"/>
      <c r="IMY98" s="46"/>
      <c r="IMZ98" s="46"/>
      <c r="INA98" s="46"/>
      <c r="INB98" s="46"/>
      <c r="INC98" s="46"/>
      <c r="IND98" s="46"/>
      <c r="INE98" s="46"/>
      <c r="INF98" s="46"/>
      <c r="ING98" s="46"/>
      <c r="INH98" s="46"/>
      <c r="INI98" s="46"/>
      <c r="INJ98" s="46"/>
      <c r="INK98" s="46"/>
      <c r="INL98" s="46"/>
      <c r="INM98" s="46"/>
      <c r="INN98" s="46"/>
      <c r="INO98" s="46"/>
      <c r="INP98" s="46"/>
      <c r="INQ98" s="46"/>
      <c r="INR98" s="46"/>
      <c r="INS98" s="46"/>
      <c r="INT98" s="46"/>
      <c r="INU98" s="46"/>
      <c r="INV98" s="46"/>
      <c r="INW98" s="46"/>
      <c r="INX98" s="46"/>
      <c r="INY98" s="46"/>
      <c r="INZ98" s="46"/>
      <c r="IOA98" s="46"/>
      <c r="IOB98" s="46"/>
      <c r="IOC98" s="46"/>
      <c r="IOD98" s="46"/>
      <c r="IOE98" s="46"/>
      <c r="IOF98" s="46"/>
      <c r="IOG98" s="46"/>
      <c r="IOH98" s="46"/>
      <c r="IOI98" s="46"/>
      <c r="IOJ98" s="46"/>
      <c r="IOK98" s="46"/>
      <c r="IOL98" s="46"/>
      <c r="IOM98" s="46"/>
      <c r="ION98" s="46"/>
      <c r="IOO98" s="46"/>
      <c r="IOP98" s="46"/>
      <c r="IOQ98" s="46"/>
      <c r="IOR98" s="46"/>
      <c r="IOS98" s="46"/>
      <c r="IOT98" s="46"/>
      <c r="IOU98" s="46"/>
      <c r="IOV98" s="46"/>
      <c r="IOW98" s="46"/>
      <c r="IOX98" s="46"/>
      <c r="IOY98" s="46"/>
      <c r="IOZ98" s="46"/>
      <c r="IPA98" s="46"/>
      <c r="IPB98" s="46"/>
      <c r="IPC98" s="46"/>
      <c r="IPD98" s="46"/>
      <c r="IPE98" s="46"/>
      <c r="IPF98" s="46"/>
      <c r="IPG98" s="46"/>
      <c r="IPH98" s="46"/>
      <c r="IPI98" s="46"/>
      <c r="IPJ98" s="46"/>
      <c r="IPK98" s="46"/>
      <c r="IPL98" s="46"/>
      <c r="IPM98" s="46"/>
      <c r="IPN98" s="46"/>
      <c r="IPO98" s="46"/>
      <c r="IPP98" s="46"/>
      <c r="IPQ98" s="46"/>
      <c r="IPR98" s="46"/>
      <c r="IPS98" s="46"/>
      <c r="IPT98" s="46"/>
      <c r="IPU98" s="46"/>
      <c r="IPV98" s="46"/>
      <c r="IPW98" s="46"/>
      <c r="IPX98" s="46"/>
      <c r="IPY98" s="46"/>
      <c r="IPZ98" s="46"/>
      <c r="IQA98" s="46"/>
      <c r="IQB98" s="46"/>
      <c r="IQC98" s="46"/>
      <c r="IQD98" s="46"/>
      <c r="IQE98" s="46"/>
      <c r="IQF98" s="46"/>
      <c r="IQG98" s="46"/>
      <c r="IQH98" s="46"/>
      <c r="IQI98" s="46"/>
      <c r="IQJ98" s="46"/>
      <c r="IQK98" s="46"/>
      <c r="IQL98" s="46"/>
      <c r="IQM98" s="46"/>
      <c r="IQN98" s="46"/>
      <c r="IQO98" s="46"/>
      <c r="IQP98" s="46"/>
      <c r="IQQ98" s="46"/>
      <c r="IQR98" s="46"/>
      <c r="IQS98" s="46"/>
      <c r="IQT98" s="46"/>
      <c r="IQU98" s="46"/>
      <c r="IQV98" s="46"/>
      <c r="IQW98" s="46"/>
      <c r="IQX98" s="46"/>
      <c r="IQY98" s="46"/>
      <c r="IQZ98" s="46"/>
      <c r="IRA98" s="46"/>
      <c r="IRB98" s="46"/>
      <c r="IRC98" s="46"/>
      <c r="IRD98" s="46"/>
      <c r="IRE98" s="46"/>
      <c r="IRF98" s="46"/>
      <c r="IRG98" s="46"/>
      <c r="IRH98" s="46"/>
      <c r="IRI98" s="46"/>
      <c r="IRJ98" s="46"/>
      <c r="IRK98" s="46"/>
      <c r="IRL98" s="46"/>
      <c r="IRM98" s="46"/>
      <c r="IRN98" s="46"/>
      <c r="IRO98" s="46"/>
      <c r="IRP98" s="46"/>
      <c r="IRQ98" s="46"/>
      <c r="IRR98" s="46"/>
      <c r="IRS98" s="46"/>
      <c r="IRT98" s="46"/>
      <c r="IRU98" s="46"/>
      <c r="IRV98" s="46"/>
      <c r="IRW98" s="46"/>
      <c r="IRX98" s="46"/>
      <c r="IRY98" s="46"/>
      <c r="IRZ98" s="46"/>
      <c r="ISA98" s="46"/>
      <c r="ISB98" s="46"/>
      <c r="ISC98" s="46"/>
      <c r="ISD98" s="46"/>
      <c r="ISE98" s="46"/>
      <c r="ISF98" s="46"/>
      <c r="ISG98" s="46"/>
      <c r="ISH98" s="46"/>
      <c r="ISI98" s="46"/>
      <c r="ISJ98" s="46"/>
      <c r="ISK98" s="46"/>
      <c r="ISL98" s="46"/>
      <c r="ISM98" s="46"/>
      <c r="ISN98" s="46"/>
      <c r="ISO98" s="46"/>
      <c r="ISP98" s="46"/>
      <c r="ISQ98" s="46"/>
      <c r="ISR98" s="46"/>
      <c r="ISS98" s="46"/>
      <c r="IST98" s="46"/>
      <c r="ISU98" s="46"/>
      <c r="ISV98" s="46"/>
      <c r="ISW98" s="46"/>
      <c r="ISX98" s="46"/>
      <c r="ISY98" s="46"/>
      <c r="ISZ98" s="46"/>
      <c r="ITA98" s="46"/>
      <c r="ITB98" s="46"/>
      <c r="ITC98" s="46"/>
      <c r="ITD98" s="46"/>
      <c r="ITE98" s="46"/>
      <c r="ITF98" s="46"/>
      <c r="ITG98" s="46"/>
      <c r="ITH98" s="46"/>
      <c r="ITI98" s="46"/>
      <c r="ITJ98" s="46"/>
      <c r="ITK98" s="46"/>
      <c r="ITL98" s="46"/>
      <c r="ITM98" s="46"/>
      <c r="ITN98" s="46"/>
      <c r="ITO98" s="46"/>
      <c r="ITP98" s="46"/>
      <c r="ITQ98" s="46"/>
      <c r="ITR98" s="46"/>
      <c r="ITS98" s="46"/>
      <c r="ITT98" s="46"/>
      <c r="ITU98" s="46"/>
      <c r="ITV98" s="46"/>
      <c r="ITW98" s="46"/>
      <c r="ITX98" s="46"/>
      <c r="ITY98" s="46"/>
      <c r="ITZ98" s="46"/>
      <c r="IUA98" s="46"/>
      <c r="IUB98" s="46"/>
      <c r="IUC98" s="46"/>
      <c r="IUD98" s="46"/>
      <c r="IUE98" s="46"/>
      <c r="IUF98" s="46"/>
      <c r="IUG98" s="46"/>
      <c r="IUH98" s="46"/>
      <c r="IUI98" s="46"/>
      <c r="IUJ98" s="46"/>
      <c r="IUK98" s="46"/>
      <c r="IUL98" s="46"/>
      <c r="IUM98" s="46"/>
      <c r="IUN98" s="46"/>
      <c r="IUO98" s="46"/>
      <c r="IUP98" s="46"/>
      <c r="IUQ98" s="46"/>
      <c r="IUR98" s="46"/>
      <c r="IUS98" s="46"/>
      <c r="IUT98" s="46"/>
      <c r="IUU98" s="46"/>
      <c r="IUV98" s="46"/>
      <c r="IUW98" s="46"/>
      <c r="IUX98" s="46"/>
      <c r="IUY98" s="46"/>
      <c r="IUZ98" s="46"/>
      <c r="IVA98" s="46"/>
      <c r="IVB98" s="46"/>
      <c r="IVC98" s="46"/>
      <c r="IVD98" s="46"/>
      <c r="IVE98" s="46"/>
      <c r="IVF98" s="46"/>
      <c r="IVG98" s="46"/>
      <c r="IVH98" s="46"/>
      <c r="IVI98" s="46"/>
      <c r="IVJ98" s="46"/>
      <c r="IVK98" s="46"/>
      <c r="IVL98" s="46"/>
      <c r="IVM98" s="46"/>
      <c r="IVN98" s="46"/>
      <c r="IVO98" s="46"/>
      <c r="IVP98" s="46"/>
      <c r="IVQ98" s="46"/>
      <c r="IVR98" s="46"/>
      <c r="IVS98" s="46"/>
      <c r="IVT98" s="46"/>
      <c r="IVU98" s="46"/>
      <c r="IVV98" s="46"/>
      <c r="IVW98" s="46"/>
      <c r="IVX98" s="46"/>
      <c r="IVY98" s="46"/>
      <c r="IVZ98" s="46"/>
      <c r="IWA98" s="46"/>
      <c r="IWB98" s="46"/>
      <c r="IWC98" s="46"/>
      <c r="IWD98" s="46"/>
      <c r="IWE98" s="46"/>
      <c r="IWF98" s="46"/>
      <c r="IWG98" s="46"/>
      <c r="IWH98" s="46"/>
      <c r="IWI98" s="46"/>
      <c r="IWJ98" s="46"/>
      <c r="IWK98" s="46"/>
      <c r="IWL98" s="46"/>
      <c r="IWM98" s="46"/>
      <c r="IWN98" s="46"/>
      <c r="IWO98" s="46"/>
      <c r="IWP98" s="46"/>
      <c r="IWQ98" s="46"/>
      <c r="IWR98" s="46"/>
      <c r="IWS98" s="46"/>
      <c r="IWT98" s="46"/>
      <c r="IWU98" s="46"/>
      <c r="IWV98" s="46"/>
      <c r="IWW98" s="46"/>
      <c r="IWX98" s="46"/>
      <c r="IWY98" s="46"/>
      <c r="IWZ98" s="46"/>
      <c r="IXA98" s="46"/>
      <c r="IXB98" s="46"/>
      <c r="IXC98" s="46"/>
      <c r="IXD98" s="46"/>
      <c r="IXE98" s="46"/>
      <c r="IXF98" s="46"/>
      <c r="IXG98" s="46"/>
      <c r="IXH98" s="46"/>
      <c r="IXI98" s="46"/>
      <c r="IXJ98" s="46"/>
      <c r="IXK98" s="46"/>
      <c r="IXL98" s="46"/>
      <c r="IXM98" s="46"/>
      <c r="IXN98" s="46"/>
      <c r="IXO98" s="46"/>
      <c r="IXP98" s="46"/>
      <c r="IXQ98" s="46"/>
      <c r="IXR98" s="46"/>
      <c r="IXS98" s="46"/>
      <c r="IXT98" s="46"/>
      <c r="IXU98" s="46"/>
      <c r="IXV98" s="46"/>
      <c r="IXW98" s="46"/>
      <c r="IXX98" s="46"/>
      <c r="IXY98" s="46"/>
      <c r="IXZ98" s="46"/>
      <c r="IYA98" s="46"/>
      <c r="IYB98" s="46"/>
      <c r="IYC98" s="46"/>
      <c r="IYD98" s="46"/>
      <c r="IYE98" s="46"/>
      <c r="IYF98" s="46"/>
      <c r="IYG98" s="46"/>
      <c r="IYH98" s="46"/>
      <c r="IYI98" s="46"/>
      <c r="IYJ98" s="46"/>
      <c r="IYK98" s="46"/>
      <c r="IYL98" s="46"/>
      <c r="IYM98" s="46"/>
      <c r="IYN98" s="46"/>
      <c r="IYO98" s="46"/>
      <c r="IYP98" s="46"/>
      <c r="IYQ98" s="46"/>
      <c r="IYR98" s="46"/>
      <c r="IYS98" s="46"/>
      <c r="IYT98" s="46"/>
      <c r="IYU98" s="46"/>
      <c r="IYV98" s="46"/>
      <c r="IYW98" s="46"/>
      <c r="IYX98" s="46"/>
      <c r="IYY98" s="46"/>
      <c r="IYZ98" s="46"/>
      <c r="IZA98" s="46"/>
      <c r="IZB98" s="46"/>
      <c r="IZC98" s="46"/>
      <c r="IZD98" s="46"/>
      <c r="IZE98" s="46"/>
      <c r="IZF98" s="46"/>
      <c r="IZG98" s="46"/>
      <c r="IZH98" s="46"/>
      <c r="IZI98" s="46"/>
      <c r="IZJ98" s="46"/>
      <c r="IZK98" s="46"/>
      <c r="IZL98" s="46"/>
      <c r="IZM98" s="46"/>
      <c r="IZN98" s="46"/>
      <c r="IZO98" s="46"/>
      <c r="IZP98" s="46"/>
      <c r="IZQ98" s="46"/>
      <c r="IZR98" s="46"/>
      <c r="IZS98" s="46"/>
      <c r="IZT98" s="46"/>
      <c r="IZU98" s="46"/>
      <c r="IZV98" s="46"/>
      <c r="IZW98" s="46"/>
      <c r="IZX98" s="46"/>
      <c r="IZY98" s="46"/>
      <c r="IZZ98" s="46"/>
      <c r="JAA98" s="46"/>
      <c r="JAB98" s="46"/>
      <c r="JAC98" s="46"/>
      <c r="JAD98" s="46"/>
      <c r="JAE98" s="46"/>
      <c r="JAF98" s="46"/>
      <c r="JAG98" s="46"/>
      <c r="JAH98" s="46"/>
      <c r="JAI98" s="46"/>
      <c r="JAJ98" s="46"/>
      <c r="JAK98" s="46"/>
      <c r="JAL98" s="46"/>
      <c r="JAM98" s="46"/>
      <c r="JAN98" s="46"/>
      <c r="JAO98" s="46"/>
      <c r="JAP98" s="46"/>
      <c r="JAQ98" s="46"/>
      <c r="JAR98" s="46"/>
      <c r="JAS98" s="46"/>
      <c r="JAT98" s="46"/>
      <c r="JAU98" s="46"/>
      <c r="JAV98" s="46"/>
      <c r="JAW98" s="46"/>
      <c r="JAX98" s="46"/>
      <c r="JAY98" s="46"/>
      <c r="JAZ98" s="46"/>
      <c r="JBA98" s="46"/>
      <c r="JBB98" s="46"/>
      <c r="JBC98" s="46"/>
      <c r="JBD98" s="46"/>
      <c r="JBE98" s="46"/>
      <c r="JBF98" s="46"/>
      <c r="JBG98" s="46"/>
      <c r="JBH98" s="46"/>
      <c r="JBI98" s="46"/>
      <c r="JBJ98" s="46"/>
      <c r="JBK98" s="46"/>
      <c r="JBL98" s="46"/>
      <c r="JBM98" s="46"/>
      <c r="JBN98" s="46"/>
      <c r="JBO98" s="46"/>
      <c r="JBP98" s="46"/>
      <c r="JBQ98" s="46"/>
      <c r="JBR98" s="46"/>
      <c r="JBS98" s="46"/>
      <c r="JBT98" s="46"/>
      <c r="JBU98" s="46"/>
      <c r="JBV98" s="46"/>
      <c r="JBW98" s="46"/>
      <c r="JBX98" s="46"/>
      <c r="JBY98" s="46"/>
      <c r="JBZ98" s="46"/>
      <c r="JCA98" s="46"/>
      <c r="JCB98" s="46"/>
      <c r="JCC98" s="46"/>
      <c r="JCD98" s="46"/>
      <c r="JCE98" s="46"/>
      <c r="JCF98" s="46"/>
      <c r="JCG98" s="46"/>
      <c r="JCH98" s="46"/>
      <c r="JCI98" s="46"/>
      <c r="JCJ98" s="46"/>
      <c r="JCK98" s="46"/>
      <c r="JCL98" s="46"/>
      <c r="JCM98" s="46"/>
      <c r="JCN98" s="46"/>
      <c r="JCO98" s="46"/>
      <c r="JCP98" s="46"/>
      <c r="JCQ98" s="46"/>
      <c r="JCR98" s="46"/>
      <c r="JCS98" s="46"/>
      <c r="JCT98" s="46"/>
      <c r="JCU98" s="46"/>
      <c r="JCV98" s="46"/>
      <c r="JCW98" s="46"/>
      <c r="JCX98" s="46"/>
      <c r="JCY98" s="46"/>
      <c r="JCZ98" s="46"/>
      <c r="JDA98" s="46"/>
      <c r="JDB98" s="46"/>
      <c r="JDC98" s="46"/>
      <c r="JDD98" s="46"/>
      <c r="JDE98" s="46"/>
      <c r="JDF98" s="46"/>
      <c r="JDG98" s="46"/>
      <c r="JDH98" s="46"/>
      <c r="JDI98" s="46"/>
      <c r="JDJ98" s="46"/>
      <c r="JDK98" s="46"/>
      <c r="JDL98" s="46"/>
      <c r="JDM98" s="46"/>
      <c r="JDN98" s="46"/>
      <c r="JDO98" s="46"/>
      <c r="JDP98" s="46"/>
      <c r="JDQ98" s="46"/>
      <c r="JDR98" s="46"/>
      <c r="JDS98" s="46"/>
      <c r="JDT98" s="46"/>
      <c r="JDU98" s="46"/>
      <c r="JDV98" s="46"/>
      <c r="JDW98" s="46"/>
      <c r="JDX98" s="46"/>
      <c r="JDY98" s="46"/>
      <c r="JDZ98" s="46"/>
      <c r="JEA98" s="46"/>
      <c r="JEB98" s="46"/>
      <c r="JEC98" s="46"/>
      <c r="JED98" s="46"/>
      <c r="JEE98" s="46"/>
      <c r="JEF98" s="46"/>
      <c r="JEG98" s="46"/>
      <c r="JEH98" s="46"/>
      <c r="JEI98" s="46"/>
      <c r="JEJ98" s="46"/>
      <c r="JEK98" s="46"/>
      <c r="JEL98" s="46"/>
      <c r="JEM98" s="46"/>
      <c r="JEN98" s="46"/>
      <c r="JEO98" s="46"/>
      <c r="JEP98" s="46"/>
      <c r="JEQ98" s="46"/>
      <c r="JER98" s="46"/>
      <c r="JES98" s="46"/>
      <c r="JET98" s="46"/>
      <c r="JEU98" s="46"/>
      <c r="JEV98" s="46"/>
      <c r="JEW98" s="46"/>
      <c r="JEX98" s="46"/>
      <c r="JEY98" s="46"/>
      <c r="JEZ98" s="46"/>
      <c r="JFA98" s="46"/>
      <c r="JFB98" s="46"/>
      <c r="JFC98" s="46"/>
      <c r="JFD98" s="46"/>
      <c r="JFE98" s="46"/>
      <c r="JFF98" s="46"/>
      <c r="JFG98" s="46"/>
      <c r="JFH98" s="46"/>
      <c r="JFI98" s="46"/>
      <c r="JFJ98" s="46"/>
      <c r="JFK98" s="46"/>
      <c r="JFL98" s="46"/>
      <c r="JFM98" s="46"/>
      <c r="JFN98" s="46"/>
      <c r="JFO98" s="46"/>
      <c r="JFP98" s="46"/>
      <c r="JFQ98" s="46"/>
      <c r="JFR98" s="46"/>
      <c r="JFS98" s="46"/>
      <c r="JFT98" s="46"/>
      <c r="JFU98" s="46"/>
      <c r="JFV98" s="46"/>
      <c r="JFW98" s="46"/>
      <c r="JFX98" s="46"/>
      <c r="JFY98" s="46"/>
      <c r="JFZ98" s="46"/>
      <c r="JGA98" s="46"/>
      <c r="JGB98" s="46"/>
      <c r="JGC98" s="46"/>
      <c r="JGD98" s="46"/>
      <c r="JGE98" s="46"/>
      <c r="JGF98" s="46"/>
      <c r="JGG98" s="46"/>
      <c r="JGH98" s="46"/>
      <c r="JGI98" s="46"/>
      <c r="JGJ98" s="46"/>
      <c r="JGK98" s="46"/>
      <c r="JGL98" s="46"/>
      <c r="JGM98" s="46"/>
      <c r="JGN98" s="46"/>
      <c r="JGO98" s="46"/>
      <c r="JGP98" s="46"/>
      <c r="JGQ98" s="46"/>
      <c r="JGR98" s="46"/>
      <c r="JGS98" s="46"/>
      <c r="JGT98" s="46"/>
      <c r="JGU98" s="46"/>
      <c r="JGV98" s="46"/>
      <c r="JGW98" s="46"/>
      <c r="JGX98" s="46"/>
      <c r="JGY98" s="46"/>
      <c r="JGZ98" s="46"/>
      <c r="JHA98" s="46"/>
      <c r="JHB98" s="46"/>
      <c r="JHC98" s="46"/>
      <c r="JHD98" s="46"/>
      <c r="JHE98" s="46"/>
      <c r="JHF98" s="46"/>
      <c r="JHG98" s="46"/>
      <c r="JHH98" s="46"/>
      <c r="JHI98" s="46"/>
      <c r="JHJ98" s="46"/>
      <c r="JHK98" s="46"/>
      <c r="JHL98" s="46"/>
      <c r="JHM98" s="46"/>
      <c r="JHN98" s="46"/>
      <c r="JHO98" s="46"/>
      <c r="JHP98" s="46"/>
      <c r="JHQ98" s="46"/>
      <c r="JHR98" s="46"/>
      <c r="JHS98" s="46"/>
      <c r="JHT98" s="46"/>
      <c r="JHU98" s="46"/>
      <c r="JHV98" s="46"/>
      <c r="JHW98" s="46"/>
      <c r="JHX98" s="46"/>
      <c r="JHY98" s="46"/>
      <c r="JHZ98" s="46"/>
      <c r="JIA98" s="46"/>
      <c r="JIB98" s="46"/>
      <c r="JIC98" s="46"/>
      <c r="JID98" s="46"/>
      <c r="JIE98" s="46"/>
      <c r="JIF98" s="46"/>
      <c r="JIG98" s="46"/>
      <c r="JIH98" s="46"/>
      <c r="JII98" s="46"/>
      <c r="JIJ98" s="46"/>
      <c r="JIK98" s="46"/>
      <c r="JIL98" s="46"/>
      <c r="JIM98" s="46"/>
      <c r="JIN98" s="46"/>
      <c r="JIO98" s="46"/>
      <c r="JIP98" s="46"/>
      <c r="JIQ98" s="46"/>
      <c r="JIR98" s="46"/>
      <c r="JIS98" s="46"/>
      <c r="JIT98" s="46"/>
      <c r="JIU98" s="46"/>
      <c r="JIV98" s="46"/>
      <c r="JIW98" s="46"/>
      <c r="JIX98" s="46"/>
      <c r="JIY98" s="46"/>
      <c r="JIZ98" s="46"/>
      <c r="JJA98" s="46"/>
      <c r="JJB98" s="46"/>
      <c r="JJC98" s="46"/>
      <c r="JJD98" s="46"/>
      <c r="JJE98" s="46"/>
      <c r="JJF98" s="46"/>
      <c r="JJG98" s="46"/>
      <c r="JJH98" s="46"/>
      <c r="JJI98" s="46"/>
      <c r="JJJ98" s="46"/>
      <c r="JJK98" s="46"/>
      <c r="JJL98" s="46"/>
      <c r="JJM98" s="46"/>
      <c r="JJN98" s="46"/>
      <c r="JJO98" s="46"/>
      <c r="JJP98" s="46"/>
      <c r="JJQ98" s="46"/>
      <c r="JJR98" s="46"/>
      <c r="JJS98" s="46"/>
      <c r="JJT98" s="46"/>
      <c r="JJU98" s="46"/>
      <c r="JJV98" s="46"/>
      <c r="JJW98" s="46"/>
      <c r="JJX98" s="46"/>
      <c r="JJY98" s="46"/>
      <c r="JJZ98" s="46"/>
      <c r="JKA98" s="46"/>
      <c r="JKB98" s="46"/>
      <c r="JKC98" s="46"/>
      <c r="JKD98" s="46"/>
      <c r="JKE98" s="46"/>
      <c r="JKF98" s="46"/>
      <c r="JKG98" s="46"/>
      <c r="JKH98" s="46"/>
      <c r="JKI98" s="46"/>
      <c r="JKJ98" s="46"/>
      <c r="JKK98" s="46"/>
      <c r="JKL98" s="46"/>
      <c r="JKM98" s="46"/>
      <c r="JKN98" s="46"/>
      <c r="JKO98" s="46"/>
      <c r="JKP98" s="46"/>
      <c r="JKQ98" s="46"/>
      <c r="JKR98" s="46"/>
      <c r="JKS98" s="46"/>
      <c r="JKT98" s="46"/>
      <c r="JKU98" s="46"/>
      <c r="JKV98" s="46"/>
      <c r="JKW98" s="46"/>
      <c r="JKX98" s="46"/>
      <c r="JKY98" s="46"/>
      <c r="JKZ98" s="46"/>
      <c r="JLA98" s="46"/>
      <c r="JLB98" s="46"/>
      <c r="JLC98" s="46"/>
      <c r="JLD98" s="46"/>
      <c r="JLE98" s="46"/>
      <c r="JLF98" s="46"/>
      <c r="JLG98" s="46"/>
      <c r="JLH98" s="46"/>
      <c r="JLI98" s="46"/>
      <c r="JLJ98" s="46"/>
      <c r="JLK98" s="46"/>
      <c r="JLL98" s="46"/>
      <c r="JLM98" s="46"/>
      <c r="JLN98" s="46"/>
      <c r="JLO98" s="46"/>
      <c r="JLP98" s="46"/>
      <c r="JLQ98" s="46"/>
      <c r="JLR98" s="46"/>
      <c r="JLS98" s="46"/>
      <c r="JLT98" s="46"/>
      <c r="JLU98" s="46"/>
      <c r="JLV98" s="46"/>
      <c r="JLW98" s="46"/>
      <c r="JLX98" s="46"/>
      <c r="JLY98" s="46"/>
      <c r="JLZ98" s="46"/>
      <c r="JMA98" s="46"/>
      <c r="JMB98" s="46"/>
      <c r="JMC98" s="46"/>
      <c r="JMD98" s="46"/>
      <c r="JME98" s="46"/>
      <c r="JMF98" s="46"/>
      <c r="JMG98" s="46"/>
      <c r="JMH98" s="46"/>
      <c r="JMI98" s="46"/>
      <c r="JMJ98" s="46"/>
      <c r="JMK98" s="46"/>
      <c r="JML98" s="46"/>
      <c r="JMM98" s="46"/>
      <c r="JMN98" s="46"/>
      <c r="JMO98" s="46"/>
      <c r="JMP98" s="46"/>
      <c r="JMQ98" s="46"/>
      <c r="JMR98" s="46"/>
      <c r="JMS98" s="46"/>
      <c r="JMT98" s="46"/>
      <c r="JMU98" s="46"/>
      <c r="JMV98" s="46"/>
      <c r="JMW98" s="46"/>
      <c r="JMX98" s="46"/>
      <c r="JMY98" s="46"/>
      <c r="JMZ98" s="46"/>
      <c r="JNA98" s="46"/>
      <c r="JNB98" s="46"/>
      <c r="JNC98" s="46"/>
      <c r="JND98" s="46"/>
      <c r="JNE98" s="46"/>
      <c r="JNF98" s="46"/>
      <c r="JNG98" s="46"/>
      <c r="JNH98" s="46"/>
      <c r="JNI98" s="46"/>
      <c r="JNJ98" s="46"/>
      <c r="JNK98" s="46"/>
      <c r="JNL98" s="46"/>
      <c r="JNM98" s="46"/>
      <c r="JNN98" s="46"/>
      <c r="JNO98" s="46"/>
      <c r="JNP98" s="46"/>
      <c r="JNQ98" s="46"/>
      <c r="JNR98" s="46"/>
      <c r="JNS98" s="46"/>
      <c r="JNT98" s="46"/>
      <c r="JNU98" s="46"/>
      <c r="JNV98" s="46"/>
      <c r="JNW98" s="46"/>
      <c r="JNX98" s="46"/>
      <c r="JNY98" s="46"/>
      <c r="JNZ98" s="46"/>
      <c r="JOA98" s="46"/>
      <c r="JOB98" s="46"/>
      <c r="JOC98" s="46"/>
      <c r="JOD98" s="46"/>
      <c r="JOE98" s="46"/>
      <c r="JOF98" s="46"/>
      <c r="JOG98" s="46"/>
      <c r="JOH98" s="46"/>
      <c r="JOI98" s="46"/>
      <c r="JOJ98" s="46"/>
      <c r="JOK98" s="46"/>
      <c r="JOL98" s="46"/>
      <c r="JOM98" s="46"/>
      <c r="JON98" s="46"/>
      <c r="JOO98" s="46"/>
      <c r="JOP98" s="46"/>
      <c r="JOQ98" s="46"/>
      <c r="JOR98" s="46"/>
      <c r="JOS98" s="46"/>
      <c r="JOT98" s="46"/>
      <c r="JOU98" s="46"/>
      <c r="JOV98" s="46"/>
      <c r="JOW98" s="46"/>
      <c r="JOX98" s="46"/>
      <c r="JOY98" s="46"/>
      <c r="JOZ98" s="46"/>
      <c r="JPA98" s="46"/>
      <c r="JPB98" s="46"/>
      <c r="JPC98" s="46"/>
      <c r="JPD98" s="46"/>
      <c r="JPE98" s="46"/>
      <c r="JPF98" s="46"/>
      <c r="JPG98" s="46"/>
      <c r="JPH98" s="46"/>
      <c r="JPI98" s="46"/>
      <c r="JPJ98" s="46"/>
      <c r="JPK98" s="46"/>
      <c r="JPL98" s="46"/>
      <c r="JPM98" s="46"/>
      <c r="JPN98" s="46"/>
      <c r="JPO98" s="46"/>
      <c r="JPP98" s="46"/>
      <c r="JPQ98" s="46"/>
      <c r="JPR98" s="46"/>
      <c r="JPS98" s="46"/>
      <c r="JPT98" s="46"/>
      <c r="JPU98" s="46"/>
      <c r="JPV98" s="46"/>
      <c r="JPW98" s="46"/>
      <c r="JPX98" s="46"/>
      <c r="JPY98" s="46"/>
      <c r="JPZ98" s="46"/>
      <c r="JQA98" s="46"/>
      <c r="JQB98" s="46"/>
      <c r="JQC98" s="46"/>
      <c r="JQD98" s="46"/>
      <c r="JQE98" s="46"/>
      <c r="JQF98" s="46"/>
      <c r="JQG98" s="46"/>
      <c r="JQH98" s="46"/>
      <c r="JQI98" s="46"/>
      <c r="JQJ98" s="46"/>
      <c r="JQK98" s="46"/>
      <c r="JQL98" s="46"/>
      <c r="JQM98" s="46"/>
      <c r="JQN98" s="46"/>
      <c r="JQO98" s="46"/>
      <c r="JQP98" s="46"/>
      <c r="JQQ98" s="46"/>
      <c r="JQR98" s="46"/>
      <c r="JQS98" s="46"/>
      <c r="JQT98" s="46"/>
      <c r="JQU98" s="46"/>
      <c r="JQV98" s="46"/>
      <c r="JQW98" s="46"/>
      <c r="JQX98" s="46"/>
      <c r="JQY98" s="46"/>
      <c r="JQZ98" s="46"/>
      <c r="JRA98" s="46"/>
      <c r="JRB98" s="46"/>
      <c r="JRC98" s="46"/>
      <c r="JRD98" s="46"/>
      <c r="JRE98" s="46"/>
      <c r="JRF98" s="46"/>
      <c r="JRG98" s="46"/>
      <c r="JRH98" s="46"/>
      <c r="JRI98" s="46"/>
      <c r="JRJ98" s="46"/>
      <c r="JRK98" s="46"/>
      <c r="JRL98" s="46"/>
      <c r="JRM98" s="46"/>
      <c r="JRN98" s="46"/>
      <c r="JRO98" s="46"/>
      <c r="JRP98" s="46"/>
      <c r="JRQ98" s="46"/>
      <c r="JRR98" s="46"/>
      <c r="JRS98" s="46"/>
      <c r="JRT98" s="46"/>
      <c r="JRU98" s="46"/>
      <c r="JRV98" s="46"/>
      <c r="JRW98" s="46"/>
      <c r="JRX98" s="46"/>
      <c r="JRY98" s="46"/>
      <c r="JRZ98" s="46"/>
      <c r="JSA98" s="46"/>
      <c r="JSB98" s="46"/>
      <c r="JSC98" s="46"/>
      <c r="JSD98" s="46"/>
      <c r="JSE98" s="46"/>
      <c r="JSF98" s="46"/>
      <c r="JSG98" s="46"/>
      <c r="JSH98" s="46"/>
      <c r="JSI98" s="46"/>
      <c r="JSJ98" s="46"/>
      <c r="JSK98" s="46"/>
      <c r="JSL98" s="46"/>
      <c r="JSM98" s="46"/>
      <c r="JSN98" s="46"/>
      <c r="JSO98" s="46"/>
      <c r="JSP98" s="46"/>
      <c r="JSQ98" s="46"/>
      <c r="JSR98" s="46"/>
      <c r="JSS98" s="46"/>
      <c r="JST98" s="46"/>
      <c r="JSU98" s="46"/>
      <c r="JSV98" s="46"/>
      <c r="JSW98" s="46"/>
      <c r="JSX98" s="46"/>
      <c r="JSY98" s="46"/>
      <c r="JSZ98" s="46"/>
      <c r="JTA98" s="46"/>
      <c r="JTB98" s="46"/>
      <c r="JTC98" s="46"/>
      <c r="JTD98" s="46"/>
      <c r="JTE98" s="46"/>
      <c r="JTF98" s="46"/>
      <c r="JTG98" s="46"/>
      <c r="JTH98" s="46"/>
      <c r="JTI98" s="46"/>
      <c r="JTJ98" s="46"/>
      <c r="JTK98" s="46"/>
      <c r="JTL98" s="46"/>
      <c r="JTM98" s="46"/>
      <c r="JTN98" s="46"/>
      <c r="JTO98" s="46"/>
      <c r="JTP98" s="46"/>
      <c r="JTQ98" s="46"/>
      <c r="JTR98" s="46"/>
      <c r="JTS98" s="46"/>
      <c r="JTT98" s="46"/>
      <c r="JTU98" s="46"/>
      <c r="JTV98" s="46"/>
      <c r="JTW98" s="46"/>
      <c r="JTX98" s="46"/>
      <c r="JTY98" s="46"/>
      <c r="JTZ98" s="46"/>
      <c r="JUA98" s="46"/>
      <c r="JUB98" s="46"/>
      <c r="JUC98" s="46"/>
      <c r="JUD98" s="46"/>
      <c r="JUE98" s="46"/>
      <c r="JUF98" s="46"/>
      <c r="JUG98" s="46"/>
      <c r="JUH98" s="46"/>
      <c r="JUI98" s="46"/>
      <c r="JUJ98" s="46"/>
      <c r="JUK98" s="46"/>
      <c r="JUL98" s="46"/>
      <c r="JUM98" s="46"/>
      <c r="JUN98" s="46"/>
      <c r="JUO98" s="46"/>
      <c r="JUP98" s="46"/>
      <c r="JUQ98" s="46"/>
      <c r="JUR98" s="46"/>
      <c r="JUS98" s="46"/>
      <c r="JUT98" s="46"/>
      <c r="JUU98" s="46"/>
      <c r="JUV98" s="46"/>
      <c r="JUW98" s="46"/>
      <c r="JUX98" s="46"/>
      <c r="JUY98" s="46"/>
      <c r="JUZ98" s="46"/>
      <c r="JVA98" s="46"/>
      <c r="JVB98" s="46"/>
      <c r="JVC98" s="46"/>
      <c r="JVD98" s="46"/>
      <c r="JVE98" s="46"/>
      <c r="JVF98" s="46"/>
      <c r="JVG98" s="46"/>
      <c r="JVH98" s="46"/>
      <c r="JVI98" s="46"/>
      <c r="JVJ98" s="46"/>
      <c r="JVK98" s="46"/>
      <c r="JVL98" s="46"/>
      <c r="JVM98" s="46"/>
      <c r="JVN98" s="46"/>
      <c r="JVO98" s="46"/>
      <c r="JVP98" s="46"/>
      <c r="JVQ98" s="46"/>
      <c r="JVR98" s="46"/>
      <c r="JVS98" s="46"/>
      <c r="JVT98" s="46"/>
      <c r="JVU98" s="46"/>
      <c r="JVV98" s="46"/>
      <c r="JVW98" s="46"/>
      <c r="JVX98" s="46"/>
      <c r="JVY98" s="46"/>
      <c r="JVZ98" s="46"/>
      <c r="JWA98" s="46"/>
      <c r="JWB98" s="46"/>
      <c r="JWC98" s="46"/>
      <c r="JWD98" s="46"/>
      <c r="JWE98" s="46"/>
      <c r="JWF98" s="46"/>
      <c r="JWG98" s="46"/>
      <c r="JWH98" s="46"/>
      <c r="JWI98" s="46"/>
      <c r="JWJ98" s="46"/>
      <c r="JWK98" s="46"/>
      <c r="JWL98" s="46"/>
      <c r="JWM98" s="46"/>
      <c r="JWN98" s="46"/>
      <c r="JWO98" s="46"/>
      <c r="JWP98" s="46"/>
      <c r="JWQ98" s="46"/>
      <c r="JWR98" s="46"/>
      <c r="JWS98" s="46"/>
      <c r="JWT98" s="46"/>
      <c r="JWU98" s="46"/>
      <c r="JWV98" s="46"/>
      <c r="JWW98" s="46"/>
      <c r="JWX98" s="46"/>
      <c r="JWY98" s="46"/>
      <c r="JWZ98" s="46"/>
      <c r="JXA98" s="46"/>
      <c r="JXB98" s="46"/>
      <c r="JXC98" s="46"/>
      <c r="JXD98" s="46"/>
      <c r="JXE98" s="46"/>
      <c r="JXF98" s="46"/>
      <c r="JXG98" s="46"/>
      <c r="JXH98" s="46"/>
      <c r="JXI98" s="46"/>
      <c r="JXJ98" s="46"/>
      <c r="JXK98" s="46"/>
      <c r="JXL98" s="46"/>
      <c r="JXM98" s="46"/>
      <c r="JXN98" s="46"/>
      <c r="JXO98" s="46"/>
      <c r="JXP98" s="46"/>
      <c r="JXQ98" s="46"/>
      <c r="JXR98" s="46"/>
      <c r="JXS98" s="46"/>
      <c r="JXT98" s="46"/>
      <c r="JXU98" s="46"/>
      <c r="JXV98" s="46"/>
      <c r="JXW98" s="46"/>
      <c r="JXX98" s="46"/>
      <c r="JXY98" s="46"/>
      <c r="JXZ98" s="46"/>
      <c r="JYA98" s="46"/>
      <c r="JYB98" s="46"/>
      <c r="JYC98" s="46"/>
      <c r="JYD98" s="46"/>
      <c r="JYE98" s="46"/>
      <c r="JYF98" s="46"/>
      <c r="JYG98" s="46"/>
      <c r="JYH98" s="46"/>
      <c r="JYI98" s="46"/>
      <c r="JYJ98" s="46"/>
      <c r="JYK98" s="46"/>
      <c r="JYL98" s="46"/>
      <c r="JYM98" s="46"/>
      <c r="JYN98" s="46"/>
      <c r="JYO98" s="46"/>
      <c r="JYP98" s="46"/>
      <c r="JYQ98" s="46"/>
      <c r="JYR98" s="46"/>
      <c r="JYS98" s="46"/>
      <c r="JYT98" s="46"/>
      <c r="JYU98" s="46"/>
      <c r="JYV98" s="46"/>
      <c r="JYW98" s="46"/>
      <c r="JYX98" s="46"/>
      <c r="JYY98" s="46"/>
      <c r="JYZ98" s="46"/>
      <c r="JZA98" s="46"/>
      <c r="JZB98" s="46"/>
      <c r="JZC98" s="46"/>
      <c r="JZD98" s="46"/>
      <c r="JZE98" s="46"/>
      <c r="JZF98" s="46"/>
      <c r="JZG98" s="46"/>
      <c r="JZH98" s="46"/>
      <c r="JZI98" s="46"/>
      <c r="JZJ98" s="46"/>
      <c r="JZK98" s="46"/>
      <c r="JZL98" s="46"/>
      <c r="JZM98" s="46"/>
      <c r="JZN98" s="46"/>
      <c r="JZO98" s="46"/>
      <c r="JZP98" s="46"/>
      <c r="JZQ98" s="46"/>
      <c r="JZR98" s="46"/>
      <c r="JZS98" s="46"/>
      <c r="JZT98" s="46"/>
      <c r="JZU98" s="46"/>
      <c r="JZV98" s="46"/>
      <c r="JZW98" s="46"/>
      <c r="JZX98" s="46"/>
      <c r="JZY98" s="46"/>
      <c r="JZZ98" s="46"/>
      <c r="KAA98" s="46"/>
      <c r="KAB98" s="46"/>
      <c r="KAC98" s="46"/>
      <c r="KAD98" s="46"/>
      <c r="KAE98" s="46"/>
      <c r="KAF98" s="46"/>
      <c r="KAG98" s="46"/>
      <c r="KAH98" s="46"/>
      <c r="KAI98" s="46"/>
      <c r="KAJ98" s="46"/>
      <c r="KAK98" s="46"/>
      <c r="KAL98" s="46"/>
      <c r="KAM98" s="46"/>
      <c r="KAN98" s="46"/>
      <c r="KAO98" s="46"/>
      <c r="KAP98" s="46"/>
      <c r="KAQ98" s="46"/>
      <c r="KAR98" s="46"/>
      <c r="KAS98" s="46"/>
      <c r="KAT98" s="46"/>
      <c r="KAU98" s="46"/>
      <c r="KAV98" s="46"/>
      <c r="KAW98" s="46"/>
      <c r="KAX98" s="46"/>
      <c r="KAY98" s="46"/>
      <c r="KAZ98" s="46"/>
      <c r="KBA98" s="46"/>
      <c r="KBB98" s="46"/>
      <c r="KBC98" s="46"/>
      <c r="KBD98" s="46"/>
      <c r="KBE98" s="46"/>
      <c r="KBF98" s="46"/>
      <c r="KBG98" s="46"/>
      <c r="KBH98" s="46"/>
      <c r="KBI98" s="46"/>
      <c r="KBJ98" s="46"/>
      <c r="KBK98" s="46"/>
      <c r="KBL98" s="46"/>
      <c r="KBM98" s="46"/>
      <c r="KBN98" s="46"/>
      <c r="KBO98" s="46"/>
      <c r="KBP98" s="46"/>
      <c r="KBQ98" s="46"/>
      <c r="KBR98" s="46"/>
      <c r="KBS98" s="46"/>
      <c r="KBT98" s="46"/>
      <c r="KBU98" s="46"/>
      <c r="KBV98" s="46"/>
      <c r="KBW98" s="46"/>
      <c r="KBX98" s="46"/>
      <c r="KBY98" s="46"/>
      <c r="KBZ98" s="46"/>
      <c r="KCA98" s="46"/>
      <c r="KCB98" s="46"/>
      <c r="KCC98" s="46"/>
      <c r="KCD98" s="46"/>
      <c r="KCE98" s="46"/>
      <c r="KCF98" s="46"/>
      <c r="KCG98" s="46"/>
      <c r="KCH98" s="46"/>
      <c r="KCI98" s="46"/>
      <c r="KCJ98" s="46"/>
      <c r="KCK98" s="46"/>
      <c r="KCL98" s="46"/>
      <c r="KCM98" s="46"/>
      <c r="KCN98" s="46"/>
      <c r="KCO98" s="46"/>
      <c r="KCP98" s="46"/>
      <c r="KCQ98" s="46"/>
      <c r="KCR98" s="46"/>
      <c r="KCS98" s="46"/>
      <c r="KCT98" s="46"/>
      <c r="KCU98" s="46"/>
      <c r="KCV98" s="46"/>
      <c r="KCW98" s="46"/>
      <c r="KCX98" s="46"/>
      <c r="KCY98" s="46"/>
      <c r="KCZ98" s="46"/>
      <c r="KDA98" s="46"/>
      <c r="KDB98" s="46"/>
      <c r="KDC98" s="46"/>
      <c r="KDD98" s="46"/>
      <c r="KDE98" s="46"/>
      <c r="KDF98" s="46"/>
      <c r="KDG98" s="46"/>
      <c r="KDH98" s="46"/>
      <c r="KDI98" s="46"/>
      <c r="KDJ98" s="46"/>
      <c r="KDK98" s="46"/>
      <c r="KDL98" s="46"/>
      <c r="KDM98" s="46"/>
      <c r="KDN98" s="46"/>
      <c r="KDO98" s="46"/>
      <c r="KDP98" s="46"/>
      <c r="KDQ98" s="46"/>
      <c r="KDR98" s="46"/>
      <c r="KDS98" s="46"/>
      <c r="KDT98" s="46"/>
      <c r="KDU98" s="46"/>
      <c r="KDV98" s="46"/>
      <c r="KDW98" s="46"/>
      <c r="KDX98" s="46"/>
      <c r="KDY98" s="46"/>
      <c r="KDZ98" s="46"/>
      <c r="KEA98" s="46"/>
      <c r="KEB98" s="46"/>
      <c r="KEC98" s="46"/>
      <c r="KED98" s="46"/>
      <c r="KEE98" s="46"/>
      <c r="KEF98" s="46"/>
      <c r="KEG98" s="46"/>
      <c r="KEH98" s="46"/>
      <c r="KEI98" s="46"/>
      <c r="KEJ98" s="46"/>
      <c r="KEK98" s="46"/>
      <c r="KEL98" s="46"/>
      <c r="KEM98" s="46"/>
      <c r="KEN98" s="46"/>
      <c r="KEO98" s="46"/>
      <c r="KEP98" s="46"/>
      <c r="KEQ98" s="46"/>
      <c r="KER98" s="46"/>
      <c r="KES98" s="46"/>
      <c r="KET98" s="46"/>
      <c r="KEU98" s="46"/>
      <c r="KEV98" s="46"/>
      <c r="KEW98" s="46"/>
      <c r="KEX98" s="46"/>
      <c r="KEY98" s="46"/>
      <c r="KEZ98" s="46"/>
      <c r="KFA98" s="46"/>
      <c r="KFB98" s="46"/>
      <c r="KFC98" s="46"/>
      <c r="KFD98" s="46"/>
      <c r="KFE98" s="46"/>
      <c r="KFF98" s="46"/>
      <c r="KFG98" s="46"/>
      <c r="KFH98" s="46"/>
      <c r="KFI98" s="46"/>
      <c r="KFJ98" s="46"/>
      <c r="KFK98" s="46"/>
      <c r="KFL98" s="46"/>
      <c r="KFM98" s="46"/>
      <c r="KFN98" s="46"/>
      <c r="KFO98" s="46"/>
      <c r="KFP98" s="46"/>
      <c r="KFQ98" s="46"/>
      <c r="KFR98" s="46"/>
      <c r="KFS98" s="46"/>
      <c r="KFT98" s="46"/>
      <c r="KFU98" s="46"/>
      <c r="KFV98" s="46"/>
      <c r="KFW98" s="46"/>
      <c r="KFX98" s="46"/>
      <c r="KFY98" s="46"/>
      <c r="KFZ98" s="46"/>
      <c r="KGA98" s="46"/>
      <c r="KGB98" s="46"/>
      <c r="KGC98" s="46"/>
      <c r="KGD98" s="46"/>
      <c r="KGE98" s="46"/>
      <c r="KGF98" s="46"/>
      <c r="KGG98" s="46"/>
      <c r="KGH98" s="46"/>
      <c r="KGI98" s="46"/>
      <c r="KGJ98" s="46"/>
      <c r="KGK98" s="46"/>
      <c r="KGL98" s="46"/>
      <c r="KGM98" s="46"/>
      <c r="KGN98" s="46"/>
      <c r="KGO98" s="46"/>
      <c r="KGP98" s="46"/>
      <c r="KGQ98" s="46"/>
      <c r="KGR98" s="46"/>
      <c r="KGS98" s="46"/>
      <c r="KGT98" s="46"/>
      <c r="KGU98" s="46"/>
      <c r="KGV98" s="46"/>
      <c r="KGW98" s="46"/>
      <c r="KGX98" s="46"/>
      <c r="KGY98" s="46"/>
      <c r="KGZ98" s="46"/>
      <c r="KHA98" s="46"/>
      <c r="KHB98" s="46"/>
      <c r="KHC98" s="46"/>
      <c r="KHD98" s="46"/>
      <c r="KHE98" s="46"/>
      <c r="KHF98" s="46"/>
      <c r="KHG98" s="46"/>
      <c r="KHH98" s="46"/>
      <c r="KHI98" s="46"/>
      <c r="KHJ98" s="46"/>
      <c r="KHK98" s="46"/>
      <c r="KHL98" s="46"/>
      <c r="KHM98" s="46"/>
      <c r="KHN98" s="46"/>
      <c r="KHO98" s="46"/>
      <c r="KHP98" s="46"/>
      <c r="KHQ98" s="46"/>
      <c r="KHR98" s="46"/>
      <c r="KHS98" s="46"/>
      <c r="KHT98" s="46"/>
      <c r="KHU98" s="46"/>
      <c r="KHV98" s="46"/>
      <c r="KHW98" s="46"/>
      <c r="KHX98" s="46"/>
      <c r="KHY98" s="46"/>
      <c r="KHZ98" s="46"/>
      <c r="KIA98" s="46"/>
      <c r="KIB98" s="46"/>
      <c r="KIC98" s="46"/>
      <c r="KID98" s="46"/>
      <c r="KIE98" s="46"/>
      <c r="KIF98" s="46"/>
      <c r="KIG98" s="46"/>
      <c r="KIH98" s="46"/>
      <c r="KII98" s="46"/>
      <c r="KIJ98" s="46"/>
      <c r="KIK98" s="46"/>
      <c r="KIL98" s="46"/>
      <c r="KIM98" s="46"/>
      <c r="KIN98" s="46"/>
      <c r="KIO98" s="46"/>
      <c r="KIP98" s="46"/>
      <c r="KIQ98" s="46"/>
      <c r="KIR98" s="46"/>
      <c r="KIS98" s="46"/>
      <c r="KIT98" s="46"/>
      <c r="KIU98" s="46"/>
      <c r="KIV98" s="46"/>
      <c r="KIW98" s="46"/>
      <c r="KIX98" s="46"/>
      <c r="KIY98" s="46"/>
      <c r="KIZ98" s="46"/>
      <c r="KJA98" s="46"/>
      <c r="KJB98" s="46"/>
      <c r="KJC98" s="46"/>
      <c r="KJD98" s="46"/>
      <c r="KJE98" s="46"/>
      <c r="KJF98" s="46"/>
      <c r="KJG98" s="46"/>
      <c r="KJH98" s="46"/>
      <c r="KJI98" s="46"/>
      <c r="KJJ98" s="46"/>
      <c r="KJK98" s="46"/>
      <c r="KJL98" s="46"/>
      <c r="KJM98" s="46"/>
      <c r="KJN98" s="46"/>
      <c r="KJO98" s="46"/>
      <c r="KJP98" s="46"/>
      <c r="KJQ98" s="46"/>
      <c r="KJR98" s="46"/>
      <c r="KJS98" s="46"/>
      <c r="KJT98" s="46"/>
      <c r="KJU98" s="46"/>
      <c r="KJV98" s="46"/>
      <c r="KJW98" s="46"/>
      <c r="KJX98" s="46"/>
      <c r="KJY98" s="46"/>
      <c r="KJZ98" s="46"/>
      <c r="KKA98" s="46"/>
      <c r="KKB98" s="46"/>
      <c r="KKC98" s="46"/>
      <c r="KKD98" s="46"/>
      <c r="KKE98" s="46"/>
      <c r="KKF98" s="46"/>
      <c r="KKG98" s="46"/>
      <c r="KKH98" s="46"/>
      <c r="KKI98" s="46"/>
      <c r="KKJ98" s="46"/>
      <c r="KKK98" s="46"/>
      <c r="KKL98" s="46"/>
      <c r="KKM98" s="46"/>
      <c r="KKN98" s="46"/>
      <c r="KKO98" s="46"/>
      <c r="KKP98" s="46"/>
      <c r="KKQ98" s="46"/>
      <c r="KKR98" s="46"/>
      <c r="KKS98" s="46"/>
      <c r="KKT98" s="46"/>
      <c r="KKU98" s="46"/>
      <c r="KKV98" s="46"/>
      <c r="KKW98" s="46"/>
      <c r="KKX98" s="46"/>
      <c r="KKY98" s="46"/>
      <c r="KKZ98" s="46"/>
      <c r="KLA98" s="46"/>
      <c r="KLB98" s="46"/>
      <c r="KLC98" s="46"/>
      <c r="KLD98" s="46"/>
      <c r="KLE98" s="46"/>
      <c r="KLF98" s="46"/>
      <c r="KLG98" s="46"/>
      <c r="KLH98" s="46"/>
      <c r="KLI98" s="46"/>
      <c r="KLJ98" s="46"/>
      <c r="KLK98" s="46"/>
      <c r="KLL98" s="46"/>
      <c r="KLM98" s="46"/>
      <c r="KLN98" s="46"/>
      <c r="KLO98" s="46"/>
      <c r="KLP98" s="46"/>
      <c r="KLQ98" s="46"/>
      <c r="KLR98" s="46"/>
      <c r="KLS98" s="46"/>
      <c r="KLT98" s="46"/>
      <c r="KLU98" s="46"/>
      <c r="KLV98" s="46"/>
      <c r="KLW98" s="46"/>
      <c r="KLX98" s="46"/>
      <c r="KLY98" s="46"/>
      <c r="KLZ98" s="46"/>
      <c r="KMA98" s="46"/>
      <c r="KMB98" s="46"/>
      <c r="KMC98" s="46"/>
      <c r="KMD98" s="46"/>
      <c r="KME98" s="46"/>
      <c r="KMF98" s="46"/>
      <c r="KMG98" s="46"/>
      <c r="KMH98" s="46"/>
      <c r="KMI98" s="46"/>
      <c r="KMJ98" s="46"/>
      <c r="KMK98" s="46"/>
      <c r="KML98" s="46"/>
      <c r="KMM98" s="46"/>
      <c r="KMN98" s="46"/>
      <c r="KMO98" s="46"/>
      <c r="KMP98" s="46"/>
      <c r="KMQ98" s="46"/>
      <c r="KMR98" s="46"/>
      <c r="KMS98" s="46"/>
      <c r="KMT98" s="46"/>
      <c r="KMU98" s="46"/>
      <c r="KMV98" s="46"/>
      <c r="KMW98" s="46"/>
      <c r="KMX98" s="46"/>
      <c r="KMY98" s="46"/>
      <c r="KMZ98" s="46"/>
      <c r="KNA98" s="46"/>
      <c r="KNB98" s="46"/>
      <c r="KNC98" s="46"/>
      <c r="KND98" s="46"/>
      <c r="KNE98" s="46"/>
      <c r="KNF98" s="46"/>
      <c r="KNG98" s="46"/>
      <c r="KNH98" s="46"/>
      <c r="KNI98" s="46"/>
      <c r="KNJ98" s="46"/>
      <c r="KNK98" s="46"/>
      <c r="KNL98" s="46"/>
      <c r="KNM98" s="46"/>
      <c r="KNN98" s="46"/>
      <c r="KNO98" s="46"/>
      <c r="KNP98" s="46"/>
      <c r="KNQ98" s="46"/>
      <c r="KNR98" s="46"/>
      <c r="KNS98" s="46"/>
      <c r="KNT98" s="46"/>
      <c r="KNU98" s="46"/>
      <c r="KNV98" s="46"/>
      <c r="KNW98" s="46"/>
      <c r="KNX98" s="46"/>
      <c r="KNY98" s="46"/>
      <c r="KNZ98" s="46"/>
      <c r="KOA98" s="46"/>
      <c r="KOB98" s="46"/>
      <c r="KOC98" s="46"/>
      <c r="KOD98" s="46"/>
      <c r="KOE98" s="46"/>
      <c r="KOF98" s="46"/>
      <c r="KOG98" s="46"/>
      <c r="KOH98" s="46"/>
      <c r="KOI98" s="46"/>
      <c r="KOJ98" s="46"/>
      <c r="KOK98" s="46"/>
      <c r="KOL98" s="46"/>
      <c r="KOM98" s="46"/>
      <c r="KON98" s="46"/>
      <c r="KOO98" s="46"/>
      <c r="KOP98" s="46"/>
      <c r="KOQ98" s="46"/>
      <c r="KOR98" s="46"/>
      <c r="KOS98" s="46"/>
      <c r="KOT98" s="46"/>
      <c r="KOU98" s="46"/>
      <c r="KOV98" s="46"/>
      <c r="KOW98" s="46"/>
      <c r="KOX98" s="46"/>
      <c r="KOY98" s="46"/>
      <c r="KOZ98" s="46"/>
      <c r="KPA98" s="46"/>
      <c r="KPB98" s="46"/>
      <c r="KPC98" s="46"/>
      <c r="KPD98" s="46"/>
      <c r="KPE98" s="46"/>
      <c r="KPF98" s="46"/>
      <c r="KPG98" s="46"/>
      <c r="KPH98" s="46"/>
      <c r="KPI98" s="46"/>
      <c r="KPJ98" s="46"/>
      <c r="KPK98" s="46"/>
      <c r="KPL98" s="46"/>
      <c r="KPM98" s="46"/>
      <c r="KPN98" s="46"/>
      <c r="KPO98" s="46"/>
      <c r="KPP98" s="46"/>
      <c r="KPQ98" s="46"/>
      <c r="KPR98" s="46"/>
      <c r="KPS98" s="46"/>
      <c r="KPT98" s="46"/>
      <c r="KPU98" s="46"/>
      <c r="KPV98" s="46"/>
      <c r="KPW98" s="46"/>
      <c r="KPX98" s="46"/>
      <c r="KPY98" s="46"/>
      <c r="KPZ98" s="46"/>
      <c r="KQA98" s="46"/>
      <c r="KQB98" s="46"/>
      <c r="KQC98" s="46"/>
      <c r="KQD98" s="46"/>
      <c r="KQE98" s="46"/>
      <c r="KQF98" s="46"/>
      <c r="KQG98" s="46"/>
      <c r="KQH98" s="46"/>
      <c r="KQI98" s="46"/>
      <c r="KQJ98" s="46"/>
      <c r="KQK98" s="46"/>
      <c r="KQL98" s="46"/>
      <c r="KQM98" s="46"/>
      <c r="KQN98" s="46"/>
      <c r="KQO98" s="46"/>
      <c r="KQP98" s="46"/>
      <c r="KQQ98" s="46"/>
      <c r="KQR98" s="46"/>
      <c r="KQS98" s="46"/>
      <c r="KQT98" s="46"/>
      <c r="KQU98" s="46"/>
      <c r="KQV98" s="46"/>
      <c r="KQW98" s="46"/>
      <c r="KQX98" s="46"/>
      <c r="KQY98" s="46"/>
      <c r="KQZ98" s="46"/>
      <c r="KRA98" s="46"/>
      <c r="KRB98" s="46"/>
      <c r="KRC98" s="46"/>
      <c r="KRD98" s="46"/>
      <c r="KRE98" s="46"/>
      <c r="KRF98" s="46"/>
      <c r="KRG98" s="46"/>
      <c r="KRH98" s="46"/>
      <c r="KRI98" s="46"/>
      <c r="KRJ98" s="46"/>
      <c r="KRK98" s="46"/>
      <c r="KRL98" s="46"/>
      <c r="KRM98" s="46"/>
      <c r="KRN98" s="46"/>
      <c r="KRO98" s="46"/>
      <c r="KRP98" s="46"/>
      <c r="KRQ98" s="46"/>
      <c r="KRR98" s="46"/>
      <c r="KRS98" s="46"/>
      <c r="KRT98" s="46"/>
      <c r="KRU98" s="46"/>
      <c r="KRV98" s="46"/>
      <c r="KRW98" s="46"/>
      <c r="KRX98" s="46"/>
      <c r="KRY98" s="46"/>
      <c r="KRZ98" s="46"/>
      <c r="KSA98" s="46"/>
      <c r="KSB98" s="46"/>
      <c r="KSC98" s="46"/>
      <c r="KSD98" s="46"/>
      <c r="KSE98" s="46"/>
      <c r="KSF98" s="46"/>
      <c r="KSG98" s="46"/>
      <c r="KSH98" s="46"/>
      <c r="KSI98" s="46"/>
      <c r="KSJ98" s="46"/>
      <c r="KSK98" s="46"/>
      <c r="KSL98" s="46"/>
      <c r="KSM98" s="46"/>
      <c r="KSN98" s="46"/>
      <c r="KSO98" s="46"/>
      <c r="KSP98" s="46"/>
      <c r="KSQ98" s="46"/>
      <c r="KSR98" s="46"/>
      <c r="KSS98" s="46"/>
      <c r="KST98" s="46"/>
      <c r="KSU98" s="46"/>
      <c r="KSV98" s="46"/>
      <c r="KSW98" s="46"/>
      <c r="KSX98" s="46"/>
      <c r="KSY98" s="46"/>
      <c r="KSZ98" s="46"/>
      <c r="KTA98" s="46"/>
      <c r="KTB98" s="46"/>
      <c r="KTC98" s="46"/>
      <c r="KTD98" s="46"/>
      <c r="KTE98" s="46"/>
      <c r="KTF98" s="46"/>
      <c r="KTG98" s="46"/>
      <c r="KTH98" s="46"/>
      <c r="KTI98" s="46"/>
      <c r="KTJ98" s="46"/>
      <c r="KTK98" s="46"/>
      <c r="KTL98" s="46"/>
      <c r="KTM98" s="46"/>
      <c r="KTN98" s="46"/>
      <c r="KTO98" s="46"/>
      <c r="KTP98" s="46"/>
      <c r="KTQ98" s="46"/>
      <c r="KTR98" s="46"/>
      <c r="KTS98" s="46"/>
      <c r="KTT98" s="46"/>
      <c r="KTU98" s="46"/>
      <c r="KTV98" s="46"/>
      <c r="KTW98" s="46"/>
      <c r="KTX98" s="46"/>
      <c r="KTY98" s="46"/>
      <c r="KTZ98" s="46"/>
      <c r="KUA98" s="46"/>
      <c r="KUB98" s="46"/>
      <c r="KUC98" s="46"/>
      <c r="KUD98" s="46"/>
      <c r="KUE98" s="46"/>
      <c r="KUF98" s="46"/>
      <c r="KUG98" s="46"/>
      <c r="KUH98" s="46"/>
      <c r="KUI98" s="46"/>
      <c r="KUJ98" s="46"/>
      <c r="KUK98" s="46"/>
      <c r="KUL98" s="46"/>
      <c r="KUM98" s="46"/>
      <c r="KUN98" s="46"/>
      <c r="KUO98" s="46"/>
      <c r="KUP98" s="46"/>
      <c r="KUQ98" s="46"/>
      <c r="KUR98" s="46"/>
      <c r="KUS98" s="46"/>
      <c r="KUT98" s="46"/>
      <c r="KUU98" s="46"/>
      <c r="KUV98" s="46"/>
      <c r="KUW98" s="46"/>
      <c r="KUX98" s="46"/>
      <c r="KUY98" s="46"/>
      <c r="KUZ98" s="46"/>
      <c r="KVA98" s="46"/>
      <c r="KVB98" s="46"/>
      <c r="KVC98" s="46"/>
      <c r="KVD98" s="46"/>
      <c r="KVE98" s="46"/>
      <c r="KVF98" s="46"/>
      <c r="KVG98" s="46"/>
      <c r="KVH98" s="46"/>
      <c r="KVI98" s="46"/>
      <c r="KVJ98" s="46"/>
      <c r="KVK98" s="46"/>
      <c r="KVL98" s="46"/>
      <c r="KVM98" s="46"/>
      <c r="KVN98" s="46"/>
      <c r="KVO98" s="46"/>
      <c r="KVP98" s="46"/>
      <c r="KVQ98" s="46"/>
      <c r="KVR98" s="46"/>
      <c r="KVS98" s="46"/>
      <c r="KVT98" s="46"/>
      <c r="KVU98" s="46"/>
      <c r="KVV98" s="46"/>
      <c r="KVW98" s="46"/>
      <c r="KVX98" s="46"/>
      <c r="KVY98" s="46"/>
      <c r="KVZ98" s="46"/>
      <c r="KWA98" s="46"/>
      <c r="KWB98" s="46"/>
      <c r="KWC98" s="46"/>
      <c r="KWD98" s="46"/>
      <c r="KWE98" s="46"/>
      <c r="KWF98" s="46"/>
      <c r="KWG98" s="46"/>
      <c r="KWH98" s="46"/>
      <c r="KWI98" s="46"/>
      <c r="KWJ98" s="46"/>
      <c r="KWK98" s="46"/>
      <c r="KWL98" s="46"/>
      <c r="KWM98" s="46"/>
      <c r="KWN98" s="46"/>
      <c r="KWO98" s="46"/>
      <c r="KWP98" s="46"/>
      <c r="KWQ98" s="46"/>
      <c r="KWR98" s="46"/>
      <c r="KWS98" s="46"/>
      <c r="KWT98" s="46"/>
      <c r="KWU98" s="46"/>
      <c r="KWV98" s="46"/>
      <c r="KWW98" s="46"/>
      <c r="KWX98" s="46"/>
      <c r="KWY98" s="46"/>
      <c r="KWZ98" s="46"/>
      <c r="KXA98" s="46"/>
      <c r="KXB98" s="46"/>
      <c r="KXC98" s="46"/>
      <c r="KXD98" s="46"/>
      <c r="KXE98" s="46"/>
      <c r="KXF98" s="46"/>
      <c r="KXG98" s="46"/>
      <c r="KXH98" s="46"/>
      <c r="KXI98" s="46"/>
      <c r="KXJ98" s="46"/>
      <c r="KXK98" s="46"/>
      <c r="KXL98" s="46"/>
      <c r="KXM98" s="46"/>
      <c r="KXN98" s="46"/>
      <c r="KXO98" s="46"/>
      <c r="KXP98" s="46"/>
      <c r="KXQ98" s="46"/>
      <c r="KXR98" s="46"/>
      <c r="KXS98" s="46"/>
      <c r="KXT98" s="46"/>
      <c r="KXU98" s="46"/>
      <c r="KXV98" s="46"/>
      <c r="KXW98" s="46"/>
      <c r="KXX98" s="46"/>
      <c r="KXY98" s="46"/>
      <c r="KXZ98" s="46"/>
      <c r="KYA98" s="46"/>
      <c r="KYB98" s="46"/>
      <c r="KYC98" s="46"/>
      <c r="KYD98" s="46"/>
      <c r="KYE98" s="46"/>
      <c r="KYF98" s="46"/>
      <c r="KYG98" s="46"/>
      <c r="KYH98" s="46"/>
      <c r="KYI98" s="46"/>
      <c r="KYJ98" s="46"/>
      <c r="KYK98" s="46"/>
      <c r="KYL98" s="46"/>
      <c r="KYM98" s="46"/>
      <c r="KYN98" s="46"/>
      <c r="KYO98" s="46"/>
      <c r="KYP98" s="46"/>
      <c r="KYQ98" s="46"/>
      <c r="KYR98" s="46"/>
      <c r="KYS98" s="46"/>
      <c r="KYT98" s="46"/>
      <c r="KYU98" s="46"/>
      <c r="KYV98" s="46"/>
      <c r="KYW98" s="46"/>
      <c r="KYX98" s="46"/>
      <c r="KYY98" s="46"/>
      <c r="KYZ98" s="46"/>
      <c r="KZA98" s="46"/>
      <c r="KZB98" s="46"/>
      <c r="KZC98" s="46"/>
      <c r="KZD98" s="46"/>
      <c r="KZE98" s="46"/>
      <c r="KZF98" s="46"/>
      <c r="KZG98" s="46"/>
      <c r="KZH98" s="46"/>
      <c r="KZI98" s="46"/>
      <c r="KZJ98" s="46"/>
      <c r="KZK98" s="46"/>
      <c r="KZL98" s="46"/>
      <c r="KZM98" s="46"/>
      <c r="KZN98" s="46"/>
      <c r="KZO98" s="46"/>
      <c r="KZP98" s="46"/>
      <c r="KZQ98" s="46"/>
      <c r="KZR98" s="46"/>
      <c r="KZS98" s="46"/>
      <c r="KZT98" s="46"/>
      <c r="KZU98" s="46"/>
      <c r="KZV98" s="46"/>
      <c r="KZW98" s="46"/>
      <c r="KZX98" s="46"/>
      <c r="KZY98" s="46"/>
      <c r="KZZ98" s="46"/>
      <c r="LAA98" s="46"/>
      <c r="LAB98" s="46"/>
      <c r="LAC98" s="46"/>
      <c r="LAD98" s="46"/>
      <c r="LAE98" s="46"/>
      <c r="LAF98" s="46"/>
      <c r="LAG98" s="46"/>
      <c r="LAH98" s="46"/>
      <c r="LAI98" s="46"/>
      <c r="LAJ98" s="46"/>
      <c r="LAK98" s="46"/>
      <c r="LAL98" s="46"/>
      <c r="LAM98" s="46"/>
      <c r="LAN98" s="46"/>
      <c r="LAO98" s="46"/>
      <c r="LAP98" s="46"/>
      <c r="LAQ98" s="46"/>
      <c r="LAR98" s="46"/>
      <c r="LAS98" s="46"/>
      <c r="LAT98" s="46"/>
      <c r="LAU98" s="46"/>
      <c r="LAV98" s="46"/>
      <c r="LAW98" s="46"/>
      <c r="LAX98" s="46"/>
      <c r="LAY98" s="46"/>
      <c r="LAZ98" s="46"/>
      <c r="LBA98" s="46"/>
      <c r="LBB98" s="46"/>
      <c r="LBC98" s="46"/>
      <c r="LBD98" s="46"/>
      <c r="LBE98" s="46"/>
      <c r="LBF98" s="46"/>
      <c r="LBG98" s="46"/>
      <c r="LBH98" s="46"/>
      <c r="LBI98" s="46"/>
      <c r="LBJ98" s="46"/>
      <c r="LBK98" s="46"/>
      <c r="LBL98" s="46"/>
      <c r="LBM98" s="46"/>
      <c r="LBN98" s="46"/>
      <c r="LBO98" s="46"/>
      <c r="LBP98" s="46"/>
      <c r="LBQ98" s="46"/>
      <c r="LBR98" s="46"/>
      <c r="LBS98" s="46"/>
      <c r="LBT98" s="46"/>
      <c r="LBU98" s="46"/>
      <c r="LBV98" s="46"/>
      <c r="LBW98" s="46"/>
      <c r="LBX98" s="46"/>
      <c r="LBY98" s="46"/>
      <c r="LBZ98" s="46"/>
      <c r="LCA98" s="46"/>
      <c r="LCB98" s="46"/>
      <c r="LCC98" s="46"/>
      <c r="LCD98" s="46"/>
      <c r="LCE98" s="46"/>
      <c r="LCF98" s="46"/>
      <c r="LCG98" s="46"/>
      <c r="LCH98" s="46"/>
      <c r="LCI98" s="46"/>
      <c r="LCJ98" s="46"/>
      <c r="LCK98" s="46"/>
      <c r="LCL98" s="46"/>
      <c r="LCM98" s="46"/>
      <c r="LCN98" s="46"/>
      <c r="LCO98" s="46"/>
      <c r="LCP98" s="46"/>
      <c r="LCQ98" s="46"/>
      <c r="LCR98" s="46"/>
      <c r="LCS98" s="46"/>
      <c r="LCT98" s="46"/>
      <c r="LCU98" s="46"/>
      <c r="LCV98" s="46"/>
      <c r="LCW98" s="46"/>
      <c r="LCX98" s="46"/>
      <c r="LCY98" s="46"/>
      <c r="LCZ98" s="46"/>
      <c r="LDA98" s="46"/>
      <c r="LDB98" s="46"/>
      <c r="LDC98" s="46"/>
      <c r="LDD98" s="46"/>
      <c r="LDE98" s="46"/>
      <c r="LDF98" s="46"/>
      <c r="LDG98" s="46"/>
      <c r="LDH98" s="46"/>
      <c r="LDI98" s="46"/>
      <c r="LDJ98" s="46"/>
      <c r="LDK98" s="46"/>
      <c r="LDL98" s="46"/>
      <c r="LDM98" s="46"/>
      <c r="LDN98" s="46"/>
      <c r="LDO98" s="46"/>
      <c r="LDP98" s="46"/>
      <c r="LDQ98" s="46"/>
      <c r="LDR98" s="46"/>
      <c r="LDS98" s="46"/>
      <c r="LDT98" s="46"/>
      <c r="LDU98" s="46"/>
      <c r="LDV98" s="46"/>
      <c r="LDW98" s="46"/>
      <c r="LDX98" s="46"/>
      <c r="LDY98" s="46"/>
      <c r="LDZ98" s="46"/>
      <c r="LEA98" s="46"/>
      <c r="LEB98" s="46"/>
      <c r="LEC98" s="46"/>
      <c r="LED98" s="46"/>
      <c r="LEE98" s="46"/>
      <c r="LEF98" s="46"/>
      <c r="LEG98" s="46"/>
      <c r="LEH98" s="46"/>
      <c r="LEI98" s="46"/>
      <c r="LEJ98" s="46"/>
      <c r="LEK98" s="46"/>
      <c r="LEL98" s="46"/>
      <c r="LEM98" s="46"/>
      <c r="LEN98" s="46"/>
      <c r="LEO98" s="46"/>
      <c r="LEP98" s="46"/>
      <c r="LEQ98" s="46"/>
      <c r="LER98" s="46"/>
      <c r="LES98" s="46"/>
      <c r="LET98" s="46"/>
      <c r="LEU98" s="46"/>
      <c r="LEV98" s="46"/>
      <c r="LEW98" s="46"/>
      <c r="LEX98" s="46"/>
      <c r="LEY98" s="46"/>
      <c r="LEZ98" s="46"/>
      <c r="LFA98" s="46"/>
      <c r="LFB98" s="46"/>
      <c r="LFC98" s="46"/>
      <c r="LFD98" s="46"/>
      <c r="LFE98" s="46"/>
      <c r="LFF98" s="46"/>
      <c r="LFG98" s="46"/>
      <c r="LFH98" s="46"/>
      <c r="LFI98" s="46"/>
      <c r="LFJ98" s="46"/>
      <c r="LFK98" s="46"/>
      <c r="LFL98" s="46"/>
      <c r="LFM98" s="46"/>
      <c r="LFN98" s="46"/>
      <c r="LFO98" s="46"/>
      <c r="LFP98" s="46"/>
      <c r="LFQ98" s="46"/>
      <c r="LFR98" s="46"/>
      <c r="LFS98" s="46"/>
      <c r="LFT98" s="46"/>
      <c r="LFU98" s="46"/>
      <c r="LFV98" s="46"/>
      <c r="LFW98" s="46"/>
      <c r="LFX98" s="46"/>
      <c r="LFY98" s="46"/>
      <c r="LFZ98" s="46"/>
      <c r="LGA98" s="46"/>
      <c r="LGB98" s="46"/>
      <c r="LGC98" s="46"/>
      <c r="LGD98" s="46"/>
      <c r="LGE98" s="46"/>
      <c r="LGF98" s="46"/>
      <c r="LGG98" s="46"/>
      <c r="LGH98" s="46"/>
      <c r="LGI98" s="46"/>
      <c r="LGJ98" s="46"/>
      <c r="LGK98" s="46"/>
      <c r="LGL98" s="46"/>
      <c r="LGM98" s="46"/>
      <c r="LGN98" s="46"/>
      <c r="LGO98" s="46"/>
      <c r="LGP98" s="46"/>
      <c r="LGQ98" s="46"/>
      <c r="LGR98" s="46"/>
      <c r="LGS98" s="46"/>
      <c r="LGT98" s="46"/>
      <c r="LGU98" s="46"/>
      <c r="LGV98" s="46"/>
      <c r="LGW98" s="46"/>
      <c r="LGX98" s="46"/>
      <c r="LGY98" s="46"/>
      <c r="LGZ98" s="46"/>
      <c r="LHA98" s="46"/>
      <c r="LHB98" s="46"/>
      <c r="LHC98" s="46"/>
      <c r="LHD98" s="46"/>
      <c r="LHE98" s="46"/>
      <c r="LHF98" s="46"/>
      <c r="LHG98" s="46"/>
      <c r="LHH98" s="46"/>
      <c r="LHI98" s="46"/>
      <c r="LHJ98" s="46"/>
      <c r="LHK98" s="46"/>
      <c r="LHL98" s="46"/>
      <c r="LHM98" s="46"/>
      <c r="LHN98" s="46"/>
      <c r="LHO98" s="46"/>
      <c r="LHP98" s="46"/>
      <c r="LHQ98" s="46"/>
      <c r="LHR98" s="46"/>
      <c r="LHS98" s="46"/>
      <c r="LHT98" s="46"/>
      <c r="LHU98" s="46"/>
      <c r="LHV98" s="46"/>
      <c r="LHW98" s="46"/>
      <c r="LHX98" s="46"/>
      <c r="LHY98" s="46"/>
      <c r="LHZ98" s="46"/>
      <c r="LIA98" s="46"/>
      <c r="LIB98" s="46"/>
      <c r="LIC98" s="46"/>
      <c r="LID98" s="46"/>
      <c r="LIE98" s="46"/>
      <c r="LIF98" s="46"/>
      <c r="LIG98" s="46"/>
      <c r="LIH98" s="46"/>
      <c r="LII98" s="46"/>
      <c r="LIJ98" s="46"/>
      <c r="LIK98" s="46"/>
      <c r="LIL98" s="46"/>
      <c r="LIM98" s="46"/>
      <c r="LIN98" s="46"/>
      <c r="LIO98" s="46"/>
      <c r="LIP98" s="46"/>
      <c r="LIQ98" s="46"/>
      <c r="LIR98" s="46"/>
      <c r="LIS98" s="46"/>
      <c r="LIT98" s="46"/>
      <c r="LIU98" s="46"/>
      <c r="LIV98" s="46"/>
      <c r="LIW98" s="46"/>
      <c r="LIX98" s="46"/>
      <c r="LIY98" s="46"/>
      <c r="LIZ98" s="46"/>
      <c r="LJA98" s="46"/>
      <c r="LJB98" s="46"/>
      <c r="LJC98" s="46"/>
      <c r="LJD98" s="46"/>
      <c r="LJE98" s="46"/>
      <c r="LJF98" s="46"/>
      <c r="LJG98" s="46"/>
      <c r="LJH98" s="46"/>
      <c r="LJI98" s="46"/>
      <c r="LJJ98" s="46"/>
      <c r="LJK98" s="46"/>
      <c r="LJL98" s="46"/>
      <c r="LJM98" s="46"/>
      <c r="LJN98" s="46"/>
      <c r="LJO98" s="46"/>
      <c r="LJP98" s="46"/>
      <c r="LJQ98" s="46"/>
      <c r="LJR98" s="46"/>
      <c r="LJS98" s="46"/>
      <c r="LJT98" s="46"/>
      <c r="LJU98" s="46"/>
      <c r="LJV98" s="46"/>
      <c r="LJW98" s="46"/>
      <c r="LJX98" s="46"/>
      <c r="LJY98" s="46"/>
      <c r="LJZ98" s="46"/>
      <c r="LKA98" s="46"/>
      <c r="LKB98" s="46"/>
      <c r="LKC98" s="46"/>
      <c r="LKD98" s="46"/>
      <c r="LKE98" s="46"/>
      <c r="LKF98" s="46"/>
      <c r="LKG98" s="46"/>
      <c r="LKH98" s="46"/>
      <c r="LKI98" s="46"/>
      <c r="LKJ98" s="46"/>
      <c r="LKK98" s="46"/>
      <c r="LKL98" s="46"/>
      <c r="LKM98" s="46"/>
      <c r="LKN98" s="46"/>
      <c r="LKO98" s="46"/>
      <c r="LKP98" s="46"/>
      <c r="LKQ98" s="46"/>
      <c r="LKR98" s="46"/>
      <c r="LKS98" s="46"/>
      <c r="LKT98" s="46"/>
      <c r="LKU98" s="46"/>
      <c r="LKV98" s="46"/>
      <c r="LKW98" s="46"/>
      <c r="LKX98" s="46"/>
      <c r="LKY98" s="46"/>
      <c r="LKZ98" s="46"/>
      <c r="LLA98" s="46"/>
      <c r="LLB98" s="46"/>
      <c r="LLC98" s="46"/>
      <c r="LLD98" s="46"/>
      <c r="LLE98" s="46"/>
      <c r="LLF98" s="46"/>
      <c r="LLG98" s="46"/>
      <c r="LLH98" s="46"/>
      <c r="LLI98" s="46"/>
      <c r="LLJ98" s="46"/>
      <c r="LLK98" s="46"/>
      <c r="LLL98" s="46"/>
      <c r="LLM98" s="46"/>
      <c r="LLN98" s="46"/>
      <c r="LLO98" s="46"/>
      <c r="LLP98" s="46"/>
      <c r="LLQ98" s="46"/>
      <c r="LLR98" s="46"/>
      <c r="LLS98" s="46"/>
      <c r="LLT98" s="46"/>
      <c r="LLU98" s="46"/>
      <c r="LLV98" s="46"/>
      <c r="LLW98" s="46"/>
      <c r="LLX98" s="46"/>
      <c r="LLY98" s="46"/>
      <c r="LLZ98" s="46"/>
      <c r="LMA98" s="46"/>
      <c r="LMB98" s="46"/>
      <c r="LMC98" s="46"/>
      <c r="LMD98" s="46"/>
      <c r="LME98" s="46"/>
      <c r="LMF98" s="46"/>
      <c r="LMG98" s="46"/>
      <c r="LMH98" s="46"/>
      <c r="LMI98" s="46"/>
      <c r="LMJ98" s="46"/>
      <c r="LMK98" s="46"/>
      <c r="LML98" s="46"/>
      <c r="LMM98" s="46"/>
      <c r="LMN98" s="46"/>
      <c r="LMO98" s="46"/>
      <c r="LMP98" s="46"/>
      <c r="LMQ98" s="46"/>
      <c r="LMR98" s="46"/>
      <c r="LMS98" s="46"/>
      <c r="LMT98" s="46"/>
      <c r="LMU98" s="46"/>
      <c r="LMV98" s="46"/>
      <c r="LMW98" s="46"/>
      <c r="LMX98" s="46"/>
      <c r="LMY98" s="46"/>
      <c r="LMZ98" s="46"/>
      <c r="LNA98" s="46"/>
      <c r="LNB98" s="46"/>
      <c r="LNC98" s="46"/>
      <c r="LND98" s="46"/>
      <c r="LNE98" s="46"/>
      <c r="LNF98" s="46"/>
      <c r="LNG98" s="46"/>
      <c r="LNH98" s="46"/>
      <c r="LNI98" s="46"/>
      <c r="LNJ98" s="46"/>
      <c r="LNK98" s="46"/>
      <c r="LNL98" s="46"/>
      <c r="LNM98" s="46"/>
      <c r="LNN98" s="46"/>
      <c r="LNO98" s="46"/>
      <c r="LNP98" s="46"/>
      <c r="LNQ98" s="46"/>
      <c r="LNR98" s="46"/>
      <c r="LNS98" s="46"/>
      <c r="LNT98" s="46"/>
      <c r="LNU98" s="46"/>
      <c r="LNV98" s="46"/>
      <c r="LNW98" s="46"/>
      <c r="LNX98" s="46"/>
      <c r="LNY98" s="46"/>
      <c r="LNZ98" s="46"/>
      <c r="LOA98" s="46"/>
      <c r="LOB98" s="46"/>
      <c r="LOC98" s="46"/>
      <c r="LOD98" s="46"/>
      <c r="LOE98" s="46"/>
      <c r="LOF98" s="46"/>
      <c r="LOG98" s="46"/>
      <c r="LOH98" s="46"/>
      <c r="LOI98" s="46"/>
      <c r="LOJ98" s="46"/>
      <c r="LOK98" s="46"/>
      <c r="LOL98" s="46"/>
      <c r="LOM98" s="46"/>
      <c r="LON98" s="46"/>
      <c r="LOO98" s="46"/>
      <c r="LOP98" s="46"/>
      <c r="LOQ98" s="46"/>
      <c r="LOR98" s="46"/>
      <c r="LOS98" s="46"/>
      <c r="LOT98" s="46"/>
      <c r="LOU98" s="46"/>
      <c r="LOV98" s="46"/>
      <c r="LOW98" s="46"/>
      <c r="LOX98" s="46"/>
      <c r="LOY98" s="46"/>
      <c r="LOZ98" s="46"/>
      <c r="LPA98" s="46"/>
      <c r="LPB98" s="46"/>
      <c r="LPC98" s="46"/>
      <c r="LPD98" s="46"/>
      <c r="LPE98" s="46"/>
      <c r="LPF98" s="46"/>
      <c r="LPG98" s="46"/>
      <c r="LPH98" s="46"/>
      <c r="LPI98" s="46"/>
      <c r="LPJ98" s="46"/>
      <c r="LPK98" s="46"/>
      <c r="LPL98" s="46"/>
      <c r="LPM98" s="46"/>
      <c r="LPN98" s="46"/>
      <c r="LPO98" s="46"/>
      <c r="LPP98" s="46"/>
      <c r="LPQ98" s="46"/>
      <c r="LPR98" s="46"/>
      <c r="LPS98" s="46"/>
      <c r="LPT98" s="46"/>
      <c r="LPU98" s="46"/>
      <c r="LPV98" s="46"/>
      <c r="LPW98" s="46"/>
      <c r="LPX98" s="46"/>
      <c r="LPY98" s="46"/>
      <c r="LPZ98" s="46"/>
      <c r="LQA98" s="46"/>
      <c r="LQB98" s="46"/>
      <c r="LQC98" s="46"/>
      <c r="LQD98" s="46"/>
      <c r="LQE98" s="46"/>
      <c r="LQF98" s="46"/>
      <c r="LQG98" s="46"/>
      <c r="LQH98" s="46"/>
      <c r="LQI98" s="46"/>
      <c r="LQJ98" s="46"/>
      <c r="LQK98" s="46"/>
      <c r="LQL98" s="46"/>
      <c r="LQM98" s="46"/>
      <c r="LQN98" s="46"/>
      <c r="LQO98" s="46"/>
      <c r="LQP98" s="46"/>
      <c r="LQQ98" s="46"/>
      <c r="LQR98" s="46"/>
      <c r="LQS98" s="46"/>
      <c r="LQT98" s="46"/>
      <c r="LQU98" s="46"/>
      <c r="LQV98" s="46"/>
      <c r="LQW98" s="46"/>
      <c r="LQX98" s="46"/>
      <c r="LQY98" s="46"/>
      <c r="LQZ98" s="46"/>
      <c r="LRA98" s="46"/>
      <c r="LRB98" s="46"/>
      <c r="LRC98" s="46"/>
      <c r="LRD98" s="46"/>
      <c r="LRE98" s="46"/>
      <c r="LRF98" s="46"/>
      <c r="LRG98" s="46"/>
      <c r="LRH98" s="46"/>
      <c r="LRI98" s="46"/>
      <c r="LRJ98" s="46"/>
      <c r="LRK98" s="46"/>
      <c r="LRL98" s="46"/>
      <c r="LRM98" s="46"/>
      <c r="LRN98" s="46"/>
      <c r="LRO98" s="46"/>
      <c r="LRP98" s="46"/>
      <c r="LRQ98" s="46"/>
      <c r="LRR98" s="46"/>
      <c r="LRS98" s="46"/>
      <c r="LRT98" s="46"/>
      <c r="LRU98" s="46"/>
      <c r="LRV98" s="46"/>
      <c r="LRW98" s="46"/>
      <c r="LRX98" s="46"/>
      <c r="LRY98" s="46"/>
      <c r="LRZ98" s="46"/>
      <c r="LSA98" s="46"/>
      <c r="LSB98" s="46"/>
      <c r="LSC98" s="46"/>
      <c r="LSD98" s="46"/>
      <c r="LSE98" s="46"/>
      <c r="LSF98" s="46"/>
      <c r="LSG98" s="46"/>
      <c r="LSH98" s="46"/>
      <c r="LSI98" s="46"/>
      <c r="LSJ98" s="46"/>
      <c r="LSK98" s="46"/>
      <c r="LSL98" s="46"/>
      <c r="LSM98" s="46"/>
      <c r="LSN98" s="46"/>
      <c r="LSO98" s="46"/>
      <c r="LSP98" s="46"/>
      <c r="LSQ98" s="46"/>
      <c r="LSR98" s="46"/>
      <c r="LSS98" s="46"/>
      <c r="LST98" s="46"/>
      <c r="LSU98" s="46"/>
      <c r="LSV98" s="46"/>
      <c r="LSW98" s="46"/>
      <c r="LSX98" s="46"/>
      <c r="LSY98" s="46"/>
      <c r="LSZ98" s="46"/>
      <c r="LTA98" s="46"/>
      <c r="LTB98" s="46"/>
      <c r="LTC98" s="46"/>
      <c r="LTD98" s="46"/>
      <c r="LTE98" s="46"/>
      <c r="LTF98" s="46"/>
      <c r="LTG98" s="46"/>
      <c r="LTH98" s="46"/>
      <c r="LTI98" s="46"/>
      <c r="LTJ98" s="46"/>
      <c r="LTK98" s="46"/>
      <c r="LTL98" s="46"/>
      <c r="LTM98" s="46"/>
      <c r="LTN98" s="46"/>
      <c r="LTO98" s="46"/>
      <c r="LTP98" s="46"/>
      <c r="LTQ98" s="46"/>
      <c r="LTR98" s="46"/>
      <c r="LTS98" s="46"/>
      <c r="LTT98" s="46"/>
      <c r="LTU98" s="46"/>
      <c r="LTV98" s="46"/>
      <c r="LTW98" s="46"/>
      <c r="LTX98" s="46"/>
      <c r="LTY98" s="46"/>
      <c r="LTZ98" s="46"/>
      <c r="LUA98" s="46"/>
      <c r="LUB98" s="46"/>
      <c r="LUC98" s="46"/>
      <c r="LUD98" s="46"/>
      <c r="LUE98" s="46"/>
      <c r="LUF98" s="46"/>
      <c r="LUG98" s="46"/>
      <c r="LUH98" s="46"/>
      <c r="LUI98" s="46"/>
      <c r="LUJ98" s="46"/>
      <c r="LUK98" s="46"/>
      <c r="LUL98" s="46"/>
      <c r="LUM98" s="46"/>
      <c r="LUN98" s="46"/>
      <c r="LUO98" s="46"/>
      <c r="LUP98" s="46"/>
      <c r="LUQ98" s="46"/>
      <c r="LUR98" s="46"/>
      <c r="LUS98" s="46"/>
      <c r="LUT98" s="46"/>
      <c r="LUU98" s="46"/>
      <c r="LUV98" s="46"/>
      <c r="LUW98" s="46"/>
      <c r="LUX98" s="46"/>
      <c r="LUY98" s="46"/>
      <c r="LUZ98" s="46"/>
      <c r="LVA98" s="46"/>
      <c r="LVB98" s="46"/>
      <c r="LVC98" s="46"/>
      <c r="LVD98" s="46"/>
      <c r="LVE98" s="46"/>
      <c r="LVF98" s="46"/>
      <c r="LVG98" s="46"/>
      <c r="LVH98" s="46"/>
      <c r="LVI98" s="46"/>
      <c r="LVJ98" s="46"/>
      <c r="LVK98" s="46"/>
      <c r="LVL98" s="46"/>
      <c r="LVM98" s="46"/>
      <c r="LVN98" s="46"/>
      <c r="LVO98" s="46"/>
      <c r="LVP98" s="46"/>
      <c r="LVQ98" s="46"/>
      <c r="LVR98" s="46"/>
      <c r="LVS98" s="46"/>
      <c r="LVT98" s="46"/>
      <c r="LVU98" s="46"/>
      <c r="LVV98" s="46"/>
      <c r="LVW98" s="46"/>
      <c r="LVX98" s="46"/>
      <c r="LVY98" s="46"/>
      <c r="LVZ98" s="46"/>
      <c r="LWA98" s="46"/>
      <c r="LWB98" s="46"/>
      <c r="LWC98" s="46"/>
      <c r="LWD98" s="46"/>
      <c r="LWE98" s="46"/>
      <c r="LWF98" s="46"/>
      <c r="LWG98" s="46"/>
      <c r="LWH98" s="46"/>
      <c r="LWI98" s="46"/>
      <c r="LWJ98" s="46"/>
      <c r="LWK98" s="46"/>
      <c r="LWL98" s="46"/>
      <c r="LWM98" s="46"/>
      <c r="LWN98" s="46"/>
      <c r="LWO98" s="46"/>
      <c r="LWP98" s="46"/>
      <c r="LWQ98" s="46"/>
      <c r="LWR98" s="46"/>
      <c r="LWS98" s="46"/>
      <c r="LWT98" s="46"/>
      <c r="LWU98" s="46"/>
      <c r="LWV98" s="46"/>
      <c r="LWW98" s="46"/>
      <c r="LWX98" s="46"/>
      <c r="LWY98" s="46"/>
      <c r="LWZ98" s="46"/>
      <c r="LXA98" s="46"/>
      <c r="LXB98" s="46"/>
      <c r="LXC98" s="46"/>
      <c r="LXD98" s="46"/>
      <c r="LXE98" s="46"/>
      <c r="LXF98" s="46"/>
      <c r="LXG98" s="46"/>
      <c r="LXH98" s="46"/>
      <c r="LXI98" s="46"/>
      <c r="LXJ98" s="46"/>
      <c r="LXK98" s="46"/>
      <c r="LXL98" s="46"/>
      <c r="LXM98" s="46"/>
      <c r="LXN98" s="46"/>
      <c r="LXO98" s="46"/>
      <c r="LXP98" s="46"/>
      <c r="LXQ98" s="46"/>
      <c r="LXR98" s="46"/>
      <c r="LXS98" s="46"/>
      <c r="LXT98" s="46"/>
      <c r="LXU98" s="46"/>
      <c r="LXV98" s="46"/>
      <c r="LXW98" s="46"/>
      <c r="LXX98" s="46"/>
      <c r="LXY98" s="46"/>
      <c r="LXZ98" s="46"/>
      <c r="LYA98" s="46"/>
      <c r="LYB98" s="46"/>
      <c r="LYC98" s="46"/>
      <c r="LYD98" s="46"/>
      <c r="LYE98" s="46"/>
      <c r="LYF98" s="46"/>
      <c r="LYG98" s="46"/>
      <c r="LYH98" s="46"/>
      <c r="LYI98" s="46"/>
      <c r="LYJ98" s="46"/>
      <c r="LYK98" s="46"/>
      <c r="LYL98" s="46"/>
      <c r="LYM98" s="46"/>
      <c r="LYN98" s="46"/>
      <c r="LYO98" s="46"/>
      <c r="LYP98" s="46"/>
      <c r="LYQ98" s="46"/>
      <c r="LYR98" s="46"/>
      <c r="LYS98" s="46"/>
      <c r="LYT98" s="46"/>
      <c r="LYU98" s="46"/>
      <c r="LYV98" s="46"/>
      <c r="LYW98" s="46"/>
      <c r="LYX98" s="46"/>
      <c r="LYY98" s="46"/>
      <c r="LYZ98" s="46"/>
      <c r="LZA98" s="46"/>
      <c r="LZB98" s="46"/>
      <c r="LZC98" s="46"/>
      <c r="LZD98" s="46"/>
      <c r="LZE98" s="46"/>
      <c r="LZF98" s="46"/>
      <c r="LZG98" s="46"/>
      <c r="LZH98" s="46"/>
      <c r="LZI98" s="46"/>
      <c r="LZJ98" s="46"/>
      <c r="LZK98" s="46"/>
      <c r="LZL98" s="46"/>
      <c r="LZM98" s="46"/>
      <c r="LZN98" s="46"/>
      <c r="LZO98" s="46"/>
      <c r="LZP98" s="46"/>
      <c r="LZQ98" s="46"/>
      <c r="LZR98" s="46"/>
      <c r="LZS98" s="46"/>
      <c r="LZT98" s="46"/>
      <c r="LZU98" s="46"/>
      <c r="LZV98" s="46"/>
      <c r="LZW98" s="46"/>
      <c r="LZX98" s="46"/>
      <c r="LZY98" s="46"/>
      <c r="LZZ98" s="46"/>
      <c r="MAA98" s="46"/>
      <c r="MAB98" s="46"/>
      <c r="MAC98" s="46"/>
      <c r="MAD98" s="46"/>
      <c r="MAE98" s="46"/>
      <c r="MAF98" s="46"/>
      <c r="MAG98" s="46"/>
      <c r="MAH98" s="46"/>
      <c r="MAI98" s="46"/>
      <c r="MAJ98" s="46"/>
      <c r="MAK98" s="46"/>
      <c r="MAL98" s="46"/>
      <c r="MAM98" s="46"/>
      <c r="MAN98" s="46"/>
      <c r="MAO98" s="46"/>
      <c r="MAP98" s="46"/>
      <c r="MAQ98" s="46"/>
      <c r="MAR98" s="46"/>
      <c r="MAS98" s="46"/>
      <c r="MAT98" s="46"/>
      <c r="MAU98" s="46"/>
      <c r="MAV98" s="46"/>
      <c r="MAW98" s="46"/>
      <c r="MAX98" s="46"/>
      <c r="MAY98" s="46"/>
      <c r="MAZ98" s="46"/>
      <c r="MBA98" s="46"/>
      <c r="MBB98" s="46"/>
      <c r="MBC98" s="46"/>
      <c r="MBD98" s="46"/>
      <c r="MBE98" s="46"/>
      <c r="MBF98" s="46"/>
      <c r="MBG98" s="46"/>
      <c r="MBH98" s="46"/>
      <c r="MBI98" s="46"/>
      <c r="MBJ98" s="46"/>
      <c r="MBK98" s="46"/>
      <c r="MBL98" s="46"/>
      <c r="MBM98" s="46"/>
      <c r="MBN98" s="46"/>
      <c r="MBO98" s="46"/>
      <c r="MBP98" s="46"/>
      <c r="MBQ98" s="46"/>
      <c r="MBR98" s="46"/>
      <c r="MBS98" s="46"/>
      <c r="MBT98" s="46"/>
      <c r="MBU98" s="46"/>
      <c r="MBV98" s="46"/>
      <c r="MBW98" s="46"/>
      <c r="MBX98" s="46"/>
      <c r="MBY98" s="46"/>
      <c r="MBZ98" s="46"/>
      <c r="MCA98" s="46"/>
      <c r="MCB98" s="46"/>
      <c r="MCC98" s="46"/>
      <c r="MCD98" s="46"/>
      <c r="MCE98" s="46"/>
      <c r="MCF98" s="46"/>
      <c r="MCG98" s="46"/>
      <c r="MCH98" s="46"/>
      <c r="MCI98" s="46"/>
      <c r="MCJ98" s="46"/>
      <c r="MCK98" s="46"/>
      <c r="MCL98" s="46"/>
      <c r="MCM98" s="46"/>
      <c r="MCN98" s="46"/>
      <c r="MCO98" s="46"/>
      <c r="MCP98" s="46"/>
      <c r="MCQ98" s="46"/>
      <c r="MCR98" s="46"/>
      <c r="MCS98" s="46"/>
      <c r="MCT98" s="46"/>
      <c r="MCU98" s="46"/>
      <c r="MCV98" s="46"/>
      <c r="MCW98" s="46"/>
      <c r="MCX98" s="46"/>
      <c r="MCY98" s="46"/>
      <c r="MCZ98" s="46"/>
      <c r="MDA98" s="46"/>
      <c r="MDB98" s="46"/>
      <c r="MDC98" s="46"/>
      <c r="MDD98" s="46"/>
      <c r="MDE98" s="46"/>
      <c r="MDF98" s="46"/>
      <c r="MDG98" s="46"/>
      <c r="MDH98" s="46"/>
      <c r="MDI98" s="46"/>
      <c r="MDJ98" s="46"/>
      <c r="MDK98" s="46"/>
      <c r="MDL98" s="46"/>
      <c r="MDM98" s="46"/>
      <c r="MDN98" s="46"/>
      <c r="MDO98" s="46"/>
      <c r="MDP98" s="46"/>
      <c r="MDQ98" s="46"/>
      <c r="MDR98" s="46"/>
      <c r="MDS98" s="46"/>
      <c r="MDT98" s="46"/>
      <c r="MDU98" s="46"/>
      <c r="MDV98" s="46"/>
      <c r="MDW98" s="46"/>
      <c r="MDX98" s="46"/>
      <c r="MDY98" s="46"/>
      <c r="MDZ98" s="46"/>
      <c r="MEA98" s="46"/>
      <c r="MEB98" s="46"/>
      <c r="MEC98" s="46"/>
      <c r="MED98" s="46"/>
      <c r="MEE98" s="46"/>
      <c r="MEF98" s="46"/>
      <c r="MEG98" s="46"/>
      <c r="MEH98" s="46"/>
      <c r="MEI98" s="46"/>
      <c r="MEJ98" s="46"/>
      <c r="MEK98" s="46"/>
      <c r="MEL98" s="46"/>
      <c r="MEM98" s="46"/>
      <c r="MEN98" s="46"/>
      <c r="MEO98" s="46"/>
      <c r="MEP98" s="46"/>
      <c r="MEQ98" s="46"/>
      <c r="MER98" s="46"/>
      <c r="MES98" s="46"/>
      <c r="MET98" s="46"/>
      <c r="MEU98" s="46"/>
      <c r="MEV98" s="46"/>
      <c r="MEW98" s="46"/>
      <c r="MEX98" s="46"/>
      <c r="MEY98" s="46"/>
      <c r="MEZ98" s="46"/>
      <c r="MFA98" s="46"/>
      <c r="MFB98" s="46"/>
      <c r="MFC98" s="46"/>
      <c r="MFD98" s="46"/>
      <c r="MFE98" s="46"/>
      <c r="MFF98" s="46"/>
      <c r="MFG98" s="46"/>
      <c r="MFH98" s="46"/>
      <c r="MFI98" s="46"/>
      <c r="MFJ98" s="46"/>
      <c r="MFK98" s="46"/>
      <c r="MFL98" s="46"/>
      <c r="MFM98" s="46"/>
      <c r="MFN98" s="46"/>
      <c r="MFO98" s="46"/>
      <c r="MFP98" s="46"/>
      <c r="MFQ98" s="46"/>
      <c r="MFR98" s="46"/>
      <c r="MFS98" s="46"/>
      <c r="MFT98" s="46"/>
      <c r="MFU98" s="46"/>
      <c r="MFV98" s="46"/>
      <c r="MFW98" s="46"/>
      <c r="MFX98" s="46"/>
      <c r="MFY98" s="46"/>
      <c r="MFZ98" s="46"/>
      <c r="MGA98" s="46"/>
      <c r="MGB98" s="46"/>
      <c r="MGC98" s="46"/>
      <c r="MGD98" s="46"/>
      <c r="MGE98" s="46"/>
      <c r="MGF98" s="46"/>
      <c r="MGG98" s="46"/>
      <c r="MGH98" s="46"/>
      <c r="MGI98" s="46"/>
      <c r="MGJ98" s="46"/>
      <c r="MGK98" s="46"/>
      <c r="MGL98" s="46"/>
      <c r="MGM98" s="46"/>
      <c r="MGN98" s="46"/>
      <c r="MGO98" s="46"/>
      <c r="MGP98" s="46"/>
      <c r="MGQ98" s="46"/>
      <c r="MGR98" s="46"/>
      <c r="MGS98" s="46"/>
      <c r="MGT98" s="46"/>
      <c r="MGU98" s="46"/>
      <c r="MGV98" s="46"/>
      <c r="MGW98" s="46"/>
      <c r="MGX98" s="46"/>
      <c r="MGY98" s="46"/>
      <c r="MGZ98" s="46"/>
      <c r="MHA98" s="46"/>
      <c r="MHB98" s="46"/>
      <c r="MHC98" s="46"/>
      <c r="MHD98" s="46"/>
      <c r="MHE98" s="46"/>
      <c r="MHF98" s="46"/>
      <c r="MHG98" s="46"/>
      <c r="MHH98" s="46"/>
      <c r="MHI98" s="46"/>
      <c r="MHJ98" s="46"/>
      <c r="MHK98" s="46"/>
      <c r="MHL98" s="46"/>
      <c r="MHM98" s="46"/>
      <c r="MHN98" s="46"/>
      <c r="MHO98" s="46"/>
      <c r="MHP98" s="46"/>
      <c r="MHQ98" s="46"/>
      <c r="MHR98" s="46"/>
      <c r="MHS98" s="46"/>
      <c r="MHT98" s="46"/>
      <c r="MHU98" s="46"/>
      <c r="MHV98" s="46"/>
      <c r="MHW98" s="46"/>
      <c r="MHX98" s="46"/>
      <c r="MHY98" s="46"/>
      <c r="MHZ98" s="46"/>
      <c r="MIA98" s="46"/>
      <c r="MIB98" s="46"/>
      <c r="MIC98" s="46"/>
      <c r="MID98" s="46"/>
      <c r="MIE98" s="46"/>
      <c r="MIF98" s="46"/>
      <c r="MIG98" s="46"/>
      <c r="MIH98" s="46"/>
      <c r="MII98" s="46"/>
      <c r="MIJ98" s="46"/>
      <c r="MIK98" s="46"/>
      <c r="MIL98" s="46"/>
      <c r="MIM98" s="46"/>
      <c r="MIN98" s="46"/>
      <c r="MIO98" s="46"/>
      <c r="MIP98" s="46"/>
      <c r="MIQ98" s="46"/>
      <c r="MIR98" s="46"/>
      <c r="MIS98" s="46"/>
      <c r="MIT98" s="46"/>
      <c r="MIU98" s="46"/>
      <c r="MIV98" s="46"/>
      <c r="MIW98" s="46"/>
      <c r="MIX98" s="46"/>
      <c r="MIY98" s="46"/>
      <c r="MIZ98" s="46"/>
      <c r="MJA98" s="46"/>
      <c r="MJB98" s="46"/>
      <c r="MJC98" s="46"/>
      <c r="MJD98" s="46"/>
      <c r="MJE98" s="46"/>
      <c r="MJF98" s="46"/>
      <c r="MJG98" s="46"/>
      <c r="MJH98" s="46"/>
      <c r="MJI98" s="46"/>
      <c r="MJJ98" s="46"/>
      <c r="MJK98" s="46"/>
      <c r="MJL98" s="46"/>
      <c r="MJM98" s="46"/>
      <c r="MJN98" s="46"/>
      <c r="MJO98" s="46"/>
      <c r="MJP98" s="46"/>
      <c r="MJQ98" s="46"/>
      <c r="MJR98" s="46"/>
      <c r="MJS98" s="46"/>
      <c r="MJT98" s="46"/>
      <c r="MJU98" s="46"/>
      <c r="MJV98" s="46"/>
      <c r="MJW98" s="46"/>
      <c r="MJX98" s="46"/>
      <c r="MJY98" s="46"/>
      <c r="MJZ98" s="46"/>
      <c r="MKA98" s="46"/>
      <c r="MKB98" s="46"/>
      <c r="MKC98" s="46"/>
      <c r="MKD98" s="46"/>
      <c r="MKE98" s="46"/>
      <c r="MKF98" s="46"/>
      <c r="MKG98" s="46"/>
      <c r="MKH98" s="46"/>
      <c r="MKI98" s="46"/>
      <c r="MKJ98" s="46"/>
      <c r="MKK98" s="46"/>
      <c r="MKL98" s="46"/>
      <c r="MKM98" s="46"/>
      <c r="MKN98" s="46"/>
      <c r="MKO98" s="46"/>
      <c r="MKP98" s="46"/>
      <c r="MKQ98" s="46"/>
      <c r="MKR98" s="46"/>
      <c r="MKS98" s="46"/>
      <c r="MKT98" s="46"/>
      <c r="MKU98" s="46"/>
      <c r="MKV98" s="46"/>
      <c r="MKW98" s="46"/>
      <c r="MKX98" s="46"/>
      <c r="MKY98" s="46"/>
      <c r="MKZ98" s="46"/>
      <c r="MLA98" s="46"/>
      <c r="MLB98" s="46"/>
      <c r="MLC98" s="46"/>
      <c r="MLD98" s="46"/>
      <c r="MLE98" s="46"/>
      <c r="MLF98" s="46"/>
      <c r="MLG98" s="46"/>
      <c r="MLH98" s="46"/>
      <c r="MLI98" s="46"/>
      <c r="MLJ98" s="46"/>
      <c r="MLK98" s="46"/>
      <c r="MLL98" s="46"/>
      <c r="MLM98" s="46"/>
      <c r="MLN98" s="46"/>
      <c r="MLO98" s="46"/>
      <c r="MLP98" s="46"/>
      <c r="MLQ98" s="46"/>
      <c r="MLR98" s="46"/>
      <c r="MLS98" s="46"/>
      <c r="MLT98" s="46"/>
      <c r="MLU98" s="46"/>
      <c r="MLV98" s="46"/>
      <c r="MLW98" s="46"/>
      <c r="MLX98" s="46"/>
      <c r="MLY98" s="46"/>
      <c r="MLZ98" s="46"/>
      <c r="MMA98" s="46"/>
      <c r="MMB98" s="46"/>
      <c r="MMC98" s="46"/>
      <c r="MMD98" s="46"/>
      <c r="MME98" s="46"/>
      <c r="MMF98" s="46"/>
      <c r="MMG98" s="46"/>
      <c r="MMH98" s="46"/>
      <c r="MMI98" s="46"/>
      <c r="MMJ98" s="46"/>
      <c r="MMK98" s="46"/>
      <c r="MML98" s="46"/>
      <c r="MMM98" s="46"/>
      <c r="MMN98" s="46"/>
      <c r="MMO98" s="46"/>
      <c r="MMP98" s="46"/>
      <c r="MMQ98" s="46"/>
      <c r="MMR98" s="46"/>
      <c r="MMS98" s="46"/>
      <c r="MMT98" s="46"/>
      <c r="MMU98" s="46"/>
      <c r="MMV98" s="46"/>
      <c r="MMW98" s="46"/>
      <c r="MMX98" s="46"/>
      <c r="MMY98" s="46"/>
      <c r="MMZ98" s="46"/>
      <c r="MNA98" s="46"/>
      <c r="MNB98" s="46"/>
      <c r="MNC98" s="46"/>
      <c r="MND98" s="46"/>
      <c r="MNE98" s="46"/>
      <c r="MNF98" s="46"/>
      <c r="MNG98" s="46"/>
      <c r="MNH98" s="46"/>
      <c r="MNI98" s="46"/>
      <c r="MNJ98" s="46"/>
      <c r="MNK98" s="46"/>
      <c r="MNL98" s="46"/>
      <c r="MNM98" s="46"/>
      <c r="MNN98" s="46"/>
      <c r="MNO98" s="46"/>
      <c r="MNP98" s="46"/>
      <c r="MNQ98" s="46"/>
      <c r="MNR98" s="46"/>
      <c r="MNS98" s="46"/>
      <c r="MNT98" s="46"/>
      <c r="MNU98" s="46"/>
      <c r="MNV98" s="46"/>
      <c r="MNW98" s="46"/>
      <c r="MNX98" s="46"/>
      <c r="MNY98" s="46"/>
      <c r="MNZ98" s="46"/>
      <c r="MOA98" s="46"/>
      <c r="MOB98" s="46"/>
      <c r="MOC98" s="46"/>
      <c r="MOD98" s="46"/>
      <c r="MOE98" s="46"/>
      <c r="MOF98" s="46"/>
      <c r="MOG98" s="46"/>
      <c r="MOH98" s="46"/>
      <c r="MOI98" s="46"/>
      <c r="MOJ98" s="46"/>
      <c r="MOK98" s="46"/>
      <c r="MOL98" s="46"/>
      <c r="MOM98" s="46"/>
      <c r="MON98" s="46"/>
      <c r="MOO98" s="46"/>
      <c r="MOP98" s="46"/>
      <c r="MOQ98" s="46"/>
      <c r="MOR98" s="46"/>
      <c r="MOS98" s="46"/>
      <c r="MOT98" s="46"/>
      <c r="MOU98" s="46"/>
      <c r="MOV98" s="46"/>
      <c r="MOW98" s="46"/>
      <c r="MOX98" s="46"/>
      <c r="MOY98" s="46"/>
      <c r="MOZ98" s="46"/>
      <c r="MPA98" s="46"/>
      <c r="MPB98" s="46"/>
      <c r="MPC98" s="46"/>
      <c r="MPD98" s="46"/>
      <c r="MPE98" s="46"/>
      <c r="MPF98" s="46"/>
      <c r="MPG98" s="46"/>
      <c r="MPH98" s="46"/>
      <c r="MPI98" s="46"/>
      <c r="MPJ98" s="46"/>
      <c r="MPK98" s="46"/>
      <c r="MPL98" s="46"/>
      <c r="MPM98" s="46"/>
      <c r="MPN98" s="46"/>
      <c r="MPO98" s="46"/>
      <c r="MPP98" s="46"/>
      <c r="MPQ98" s="46"/>
      <c r="MPR98" s="46"/>
      <c r="MPS98" s="46"/>
      <c r="MPT98" s="46"/>
      <c r="MPU98" s="46"/>
      <c r="MPV98" s="46"/>
      <c r="MPW98" s="46"/>
      <c r="MPX98" s="46"/>
      <c r="MPY98" s="46"/>
      <c r="MPZ98" s="46"/>
      <c r="MQA98" s="46"/>
      <c r="MQB98" s="46"/>
      <c r="MQC98" s="46"/>
      <c r="MQD98" s="46"/>
      <c r="MQE98" s="46"/>
      <c r="MQF98" s="46"/>
      <c r="MQG98" s="46"/>
      <c r="MQH98" s="46"/>
      <c r="MQI98" s="46"/>
      <c r="MQJ98" s="46"/>
      <c r="MQK98" s="46"/>
      <c r="MQL98" s="46"/>
      <c r="MQM98" s="46"/>
      <c r="MQN98" s="46"/>
      <c r="MQO98" s="46"/>
      <c r="MQP98" s="46"/>
      <c r="MQQ98" s="46"/>
      <c r="MQR98" s="46"/>
      <c r="MQS98" s="46"/>
      <c r="MQT98" s="46"/>
      <c r="MQU98" s="46"/>
      <c r="MQV98" s="46"/>
      <c r="MQW98" s="46"/>
      <c r="MQX98" s="46"/>
      <c r="MQY98" s="46"/>
      <c r="MQZ98" s="46"/>
      <c r="MRA98" s="46"/>
      <c r="MRB98" s="46"/>
      <c r="MRC98" s="46"/>
      <c r="MRD98" s="46"/>
      <c r="MRE98" s="46"/>
      <c r="MRF98" s="46"/>
      <c r="MRG98" s="46"/>
      <c r="MRH98" s="46"/>
      <c r="MRI98" s="46"/>
      <c r="MRJ98" s="46"/>
      <c r="MRK98" s="46"/>
      <c r="MRL98" s="46"/>
      <c r="MRM98" s="46"/>
      <c r="MRN98" s="46"/>
      <c r="MRO98" s="46"/>
      <c r="MRP98" s="46"/>
      <c r="MRQ98" s="46"/>
      <c r="MRR98" s="46"/>
      <c r="MRS98" s="46"/>
      <c r="MRT98" s="46"/>
      <c r="MRU98" s="46"/>
      <c r="MRV98" s="46"/>
      <c r="MRW98" s="46"/>
      <c r="MRX98" s="46"/>
      <c r="MRY98" s="46"/>
      <c r="MRZ98" s="46"/>
      <c r="MSA98" s="46"/>
      <c r="MSB98" s="46"/>
      <c r="MSC98" s="46"/>
      <c r="MSD98" s="46"/>
      <c r="MSE98" s="46"/>
      <c r="MSF98" s="46"/>
      <c r="MSG98" s="46"/>
      <c r="MSH98" s="46"/>
      <c r="MSI98" s="46"/>
      <c r="MSJ98" s="46"/>
      <c r="MSK98" s="46"/>
      <c r="MSL98" s="46"/>
      <c r="MSM98" s="46"/>
      <c r="MSN98" s="46"/>
      <c r="MSO98" s="46"/>
      <c r="MSP98" s="46"/>
      <c r="MSQ98" s="46"/>
      <c r="MSR98" s="46"/>
      <c r="MSS98" s="46"/>
      <c r="MST98" s="46"/>
      <c r="MSU98" s="46"/>
      <c r="MSV98" s="46"/>
      <c r="MSW98" s="46"/>
      <c r="MSX98" s="46"/>
      <c r="MSY98" s="46"/>
      <c r="MSZ98" s="46"/>
      <c r="MTA98" s="46"/>
      <c r="MTB98" s="46"/>
      <c r="MTC98" s="46"/>
      <c r="MTD98" s="46"/>
      <c r="MTE98" s="46"/>
      <c r="MTF98" s="46"/>
      <c r="MTG98" s="46"/>
      <c r="MTH98" s="46"/>
      <c r="MTI98" s="46"/>
      <c r="MTJ98" s="46"/>
      <c r="MTK98" s="46"/>
      <c r="MTL98" s="46"/>
      <c r="MTM98" s="46"/>
      <c r="MTN98" s="46"/>
      <c r="MTO98" s="46"/>
      <c r="MTP98" s="46"/>
      <c r="MTQ98" s="46"/>
      <c r="MTR98" s="46"/>
      <c r="MTS98" s="46"/>
      <c r="MTT98" s="46"/>
      <c r="MTU98" s="46"/>
      <c r="MTV98" s="46"/>
      <c r="MTW98" s="46"/>
      <c r="MTX98" s="46"/>
      <c r="MTY98" s="46"/>
      <c r="MTZ98" s="46"/>
      <c r="MUA98" s="46"/>
      <c r="MUB98" s="46"/>
      <c r="MUC98" s="46"/>
      <c r="MUD98" s="46"/>
      <c r="MUE98" s="46"/>
      <c r="MUF98" s="46"/>
      <c r="MUG98" s="46"/>
      <c r="MUH98" s="46"/>
      <c r="MUI98" s="46"/>
      <c r="MUJ98" s="46"/>
      <c r="MUK98" s="46"/>
      <c r="MUL98" s="46"/>
      <c r="MUM98" s="46"/>
      <c r="MUN98" s="46"/>
      <c r="MUO98" s="46"/>
      <c r="MUP98" s="46"/>
      <c r="MUQ98" s="46"/>
      <c r="MUR98" s="46"/>
      <c r="MUS98" s="46"/>
      <c r="MUT98" s="46"/>
      <c r="MUU98" s="46"/>
      <c r="MUV98" s="46"/>
      <c r="MUW98" s="46"/>
      <c r="MUX98" s="46"/>
      <c r="MUY98" s="46"/>
      <c r="MUZ98" s="46"/>
      <c r="MVA98" s="46"/>
      <c r="MVB98" s="46"/>
      <c r="MVC98" s="46"/>
      <c r="MVD98" s="46"/>
      <c r="MVE98" s="46"/>
      <c r="MVF98" s="46"/>
      <c r="MVG98" s="46"/>
      <c r="MVH98" s="46"/>
      <c r="MVI98" s="46"/>
      <c r="MVJ98" s="46"/>
      <c r="MVK98" s="46"/>
      <c r="MVL98" s="46"/>
      <c r="MVM98" s="46"/>
      <c r="MVN98" s="46"/>
      <c r="MVO98" s="46"/>
      <c r="MVP98" s="46"/>
      <c r="MVQ98" s="46"/>
      <c r="MVR98" s="46"/>
      <c r="MVS98" s="46"/>
      <c r="MVT98" s="46"/>
      <c r="MVU98" s="46"/>
      <c r="MVV98" s="46"/>
      <c r="MVW98" s="46"/>
      <c r="MVX98" s="46"/>
      <c r="MVY98" s="46"/>
      <c r="MVZ98" s="46"/>
      <c r="MWA98" s="46"/>
      <c r="MWB98" s="46"/>
      <c r="MWC98" s="46"/>
      <c r="MWD98" s="46"/>
      <c r="MWE98" s="46"/>
      <c r="MWF98" s="46"/>
      <c r="MWG98" s="46"/>
      <c r="MWH98" s="46"/>
      <c r="MWI98" s="46"/>
      <c r="MWJ98" s="46"/>
      <c r="MWK98" s="46"/>
      <c r="MWL98" s="46"/>
      <c r="MWM98" s="46"/>
      <c r="MWN98" s="46"/>
      <c r="MWO98" s="46"/>
      <c r="MWP98" s="46"/>
      <c r="MWQ98" s="46"/>
      <c r="MWR98" s="46"/>
      <c r="MWS98" s="46"/>
      <c r="MWT98" s="46"/>
      <c r="MWU98" s="46"/>
      <c r="MWV98" s="46"/>
      <c r="MWW98" s="46"/>
      <c r="MWX98" s="46"/>
      <c r="MWY98" s="46"/>
      <c r="MWZ98" s="46"/>
      <c r="MXA98" s="46"/>
      <c r="MXB98" s="46"/>
      <c r="MXC98" s="46"/>
      <c r="MXD98" s="46"/>
      <c r="MXE98" s="46"/>
      <c r="MXF98" s="46"/>
      <c r="MXG98" s="46"/>
      <c r="MXH98" s="46"/>
      <c r="MXI98" s="46"/>
      <c r="MXJ98" s="46"/>
      <c r="MXK98" s="46"/>
      <c r="MXL98" s="46"/>
      <c r="MXM98" s="46"/>
      <c r="MXN98" s="46"/>
      <c r="MXO98" s="46"/>
      <c r="MXP98" s="46"/>
      <c r="MXQ98" s="46"/>
      <c r="MXR98" s="46"/>
      <c r="MXS98" s="46"/>
      <c r="MXT98" s="46"/>
      <c r="MXU98" s="46"/>
      <c r="MXV98" s="46"/>
      <c r="MXW98" s="46"/>
      <c r="MXX98" s="46"/>
      <c r="MXY98" s="46"/>
      <c r="MXZ98" s="46"/>
      <c r="MYA98" s="46"/>
      <c r="MYB98" s="46"/>
      <c r="MYC98" s="46"/>
      <c r="MYD98" s="46"/>
      <c r="MYE98" s="46"/>
      <c r="MYF98" s="46"/>
      <c r="MYG98" s="46"/>
      <c r="MYH98" s="46"/>
      <c r="MYI98" s="46"/>
      <c r="MYJ98" s="46"/>
      <c r="MYK98" s="46"/>
      <c r="MYL98" s="46"/>
      <c r="MYM98" s="46"/>
      <c r="MYN98" s="46"/>
      <c r="MYO98" s="46"/>
      <c r="MYP98" s="46"/>
      <c r="MYQ98" s="46"/>
      <c r="MYR98" s="46"/>
      <c r="MYS98" s="46"/>
      <c r="MYT98" s="46"/>
      <c r="MYU98" s="46"/>
      <c r="MYV98" s="46"/>
      <c r="MYW98" s="46"/>
      <c r="MYX98" s="46"/>
      <c r="MYY98" s="46"/>
      <c r="MYZ98" s="46"/>
      <c r="MZA98" s="46"/>
      <c r="MZB98" s="46"/>
      <c r="MZC98" s="46"/>
      <c r="MZD98" s="46"/>
      <c r="MZE98" s="46"/>
      <c r="MZF98" s="46"/>
      <c r="MZG98" s="46"/>
      <c r="MZH98" s="46"/>
      <c r="MZI98" s="46"/>
      <c r="MZJ98" s="46"/>
      <c r="MZK98" s="46"/>
      <c r="MZL98" s="46"/>
      <c r="MZM98" s="46"/>
      <c r="MZN98" s="46"/>
      <c r="MZO98" s="46"/>
      <c r="MZP98" s="46"/>
      <c r="MZQ98" s="46"/>
      <c r="MZR98" s="46"/>
      <c r="MZS98" s="46"/>
      <c r="MZT98" s="46"/>
      <c r="MZU98" s="46"/>
      <c r="MZV98" s="46"/>
      <c r="MZW98" s="46"/>
      <c r="MZX98" s="46"/>
      <c r="MZY98" s="46"/>
      <c r="MZZ98" s="46"/>
      <c r="NAA98" s="46"/>
      <c r="NAB98" s="46"/>
      <c r="NAC98" s="46"/>
      <c r="NAD98" s="46"/>
      <c r="NAE98" s="46"/>
      <c r="NAF98" s="46"/>
      <c r="NAG98" s="46"/>
      <c r="NAH98" s="46"/>
      <c r="NAI98" s="46"/>
      <c r="NAJ98" s="46"/>
      <c r="NAK98" s="46"/>
      <c r="NAL98" s="46"/>
      <c r="NAM98" s="46"/>
      <c r="NAN98" s="46"/>
      <c r="NAO98" s="46"/>
      <c r="NAP98" s="46"/>
      <c r="NAQ98" s="46"/>
      <c r="NAR98" s="46"/>
      <c r="NAS98" s="46"/>
      <c r="NAT98" s="46"/>
      <c r="NAU98" s="46"/>
      <c r="NAV98" s="46"/>
      <c r="NAW98" s="46"/>
      <c r="NAX98" s="46"/>
      <c r="NAY98" s="46"/>
      <c r="NAZ98" s="46"/>
      <c r="NBA98" s="46"/>
      <c r="NBB98" s="46"/>
      <c r="NBC98" s="46"/>
      <c r="NBD98" s="46"/>
      <c r="NBE98" s="46"/>
      <c r="NBF98" s="46"/>
      <c r="NBG98" s="46"/>
      <c r="NBH98" s="46"/>
      <c r="NBI98" s="46"/>
      <c r="NBJ98" s="46"/>
      <c r="NBK98" s="46"/>
      <c r="NBL98" s="46"/>
      <c r="NBM98" s="46"/>
      <c r="NBN98" s="46"/>
      <c r="NBO98" s="46"/>
      <c r="NBP98" s="46"/>
      <c r="NBQ98" s="46"/>
      <c r="NBR98" s="46"/>
      <c r="NBS98" s="46"/>
      <c r="NBT98" s="46"/>
      <c r="NBU98" s="46"/>
      <c r="NBV98" s="46"/>
      <c r="NBW98" s="46"/>
      <c r="NBX98" s="46"/>
      <c r="NBY98" s="46"/>
      <c r="NBZ98" s="46"/>
      <c r="NCA98" s="46"/>
      <c r="NCB98" s="46"/>
      <c r="NCC98" s="46"/>
      <c r="NCD98" s="46"/>
      <c r="NCE98" s="46"/>
      <c r="NCF98" s="46"/>
      <c r="NCG98" s="46"/>
      <c r="NCH98" s="46"/>
      <c r="NCI98" s="46"/>
      <c r="NCJ98" s="46"/>
      <c r="NCK98" s="46"/>
      <c r="NCL98" s="46"/>
      <c r="NCM98" s="46"/>
      <c r="NCN98" s="46"/>
      <c r="NCO98" s="46"/>
      <c r="NCP98" s="46"/>
      <c r="NCQ98" s="46"/>
      <c r="NCR98" s="46"/>
      <c r="NCS98" s="46"/>
      <c r="NCT98" s="46"/>
      <c r="NCU98" s="46"/>
      <c r="NCV98" s="46"/>
      <c r="NCW98" s="46"/>
      <c r="NCX98" s="46"/>
      <c r="NCY98" s="46"/>
      <c r="NCZ98" s="46"/>
      <c r="NDA98" s="46"/>
      <c r="NDB98" s="46"/>
      <c r="NDC98" s="46"/>
      <c r="NDD98" s="46"/>
      <c r="NDE98" s="46"/>
      <c r="NDF98" s="46"/>
      <c r="NDG98" s="46"/>
      <c r="NDH98" s="46"/>
      <c r="NDI98" s="46"/>
      <c r="NDJ98" s="46"/>
      <c r="NDK98" s="46"/>
      <c r="NDL98" s="46"/>
      <c r="NDM98" s="46"/>
      <c r="NDN98" s="46"/>
      <c r="NDO98" s="46"/>
      <c r="NDP98" s="46"/>
      <c r="NDQ98" s="46"/>
      <c r="NDR98" s="46"/>
      <c r="NDS98" s="46"/>
      <c r="NDT98" s="46"/>
      <c r="NDU98" s="46"/>
      <c r="NDV98" s="46"/>
      <c r="NDW98" s="46"/>
      <c r="NDX98" s="46"/>
      <c r="NDY98" s="46"/>
      <c r="NDZ98" s="46"/>
      <c r="NEA98" s="46"/>
      <c r="NEB98" s="46"/>
      <c r="NEC98" s="46"/>
      <c r="NED98" s="46"/>
      <c r="NEE98" s="46"/>
      <c r="NEF98" s="46"/>
      <c r="NEG98" s="46"/>
      <c r="NEH98" s="46"/>
      <c r="NEI98" s="46"/>
      <c r="NEJ98" s="46"/>
      <c r="NEK98" s="46"/>
      <c r="NEL98" s="46"/>
      <c r="NEM98" s="46"/>
      <c r="NEN98" s="46"/>
      <c r="NEO98" s="46"/>
      <c r="NEP98" s="46"/>
      <c r="NEQ98" s="46"/>
      <c r="NER98" s="46"/>
      <c r="NES98" s="46"/>
      <c r="NET98" s="46"/>
      <c r="NEU98" s="46"/>
      <c r="NEV98" s="46"/>
      <c r="NEW98" s="46"/>
      <c r="NEX98" s="46"/>
      <c r="NEY98" s="46"/>
      <c r="NEZ98" s="46"/>
      <c r="NFA98" s="46"/>
      <c r="NFB98" s="46"/>
      <c r="NFC98" s="46"/>
      <c r="NFD98" s="46"/>
      <c r="NFE98" s="46"/>
      <c r="NFF98" s="46"/>
      <c r="NFG98" s="46"/>
      <c r="NFH98" s="46"/>
      <c r="NFI98" s="46"/>
      <c r="NFJ98" s="46"/>
      <c r="NFK98" s="46"/>
      <c r="NFL98" s="46"/>
      <c r="NFM98" s="46"/>
      <c r="NFN98" s="46"/>
      <c r="NFO98" s="46"/>
      <c r="NFP98" s="46"/>
      <c r="NFQ98" s="46"/>
      <c r="NFR98" s="46"/>
      <c r="NFS98" s="46"/>
      <c r="NFT98" s="46"/>
      <c r="NFU98" s="46"/>
      <c r="NFV98" s="46"/>
      <c r="NFW98" s="46"/>
      <c r="NFX98" s="46"/>
      <c r="NFY98" s="46"/>
      <c r="NFZ98" s="46"/>
      <c r="NGA98" s="46"/>
      <c r="NGB98" s="46"/>
      <c r="NGC98" s="46"/>
      <c r="NGD98" s="46"/>
      <c r="NGE98" s="46"/>
      <c r="NGF98" s="46"/>
      <c r="NGG98" s="46"/>
      <c r="NGH98" s="46"/>
      <c r="NGI98" s="46"/>
      <c r="NGJ98" s="46"/>
      <c r="NGK98" s="46"/>
      <c r="NGL98" s="46"/>
      <c r="NGM98" s="46"/>
      <c r="NGN98" s="46"/>
      <c r="NGO98" s="46"/>
      <c r="NGP98" s="46"/>
      <c r="NGQ98" s="46"/>
      <c r="NGR98" s="46"/>
      <c r="NGS98" s="46"/>
      <c r="NGT98" s="46"/>
      <c r="NGU98" s="46"/>
      <c r="NGV98" s="46"/>
      <c r="NGW98" s="46"/>
      <c r="NGX98" s="46"/>
      <c r="NGY98" s="46"/>
      <c r="NGZ98" s="46"/>
      <c r="NHA98" s="46"/>
      <c r="NHB98" s="46"/>
      <c r="NHC98" s="46"/>
      <c r="NHD98" s="46"/>
      <c r="NHE98" s="46"/>
      <c r="NHF98" s="46"/>
      <c r="NHG98" s="46"/>
      <c r="NHH98" s="46"/>
      <c r="NHI98" s="46"/>
      <c r="NHJ98" s="46"/>
      <c r="NHK98" s="46"/>
      <c r="NHL98" s="46"/>
      <c r="NHM98" s="46"/>
      <c r="NHN98" s="46"/>
      <c r="NHO98" s="46"/>
      <c r="NHP98" s="46"/>
      <c r="NHQ98" s="46"/>
      <c r="NHR98" s="46"/>
      <c r="NHS98" s="46"/>
      <c r="NHT98" s="46"/>
      <c r="NHU98" s="46"/>
      <c r="NHV98" s="46"/>
      <c r="NHW98" s="46"/>
      <c r="NHX98" s="46"/>
      <c r="NHY98" s="46"/>
      <c r="NHZ98" s="46"/>
      <c r="NIA98" s="46"/>
      <c r="NIB98" s="46"/>
      <c r="NIC98" s="46"/>
      <c r="NID98" s="46"/>
      <c r="NIE98" s="46"/>
      <c r="NIF98" s="46"/>
      <c r="NIG98" s="46"/>
      <c r="NIH98" s="46"/>
      <c r="NII98" s="46"/>
      <c r="NIJ98" s="46"/>
      <c r="NIK98" s="46"/>
      <c r="NIL98" s="46"/>
      <c r="NIM98" s="46"/>
      <c r="NIN98" s="46"/>
      <c r="NIO98" s="46"/>
      <c r="NIP98" s="46"/>
      <c r="NIQ98" s="46"/>
      <c r="NIR98" s="46"/>
      <c r="NIS98" s="46"/>
      <c r="NIT98" s="46"/>
      <c r="NIU98" s="46"/>
      <c r="NIV98" s="46"/>
      <c r="NIW98" s="46"/>
      <c r="NIX98" s="46"/>
      <c r="NIY98" s="46"/>
      <c r="NIZ98" s="46"/>
      <c r="NJA98" s="46"/>
      <c r="NJB98" s="46"/>
      <c r="NJC98" s="46"/>
      <c r="NJD98" s="46"/>
      <c r="NJE98" s="46"/>
      <c r="NJF98" s="46"/>
      <c r="NJG98" s="46"/>
      <c r="NJH98" s="46"/>
      <c r="NJI98" s="46"/>
      <c r="NJJ98" s="46"/>
      <c r="NJK98" s="46"/>
      <c r="NJL98" s="46"/>
      <c r="NJM98" s="46"/>
      <c r="NJN98" s="46"/>
      <c r="NJO98" s="46"/>
      <c r="NJP98" s="46"/>
      <c r="NJQ98" s="46"/>
      <c r="NJR98" s="46"/>
      <c r="NJS98" s="46"/>
      <c r="NJT98" s="46"/>
      <c r="NJU98" s="46"/>
      <c r="NJV98" s="46"/>
      <c r="NJW98" s="46"/>
      <c r="NJX98" s="46"/>
      <c r="NJY98" s="46"/>
      <c r="NJZ98" s="46"/>
      <c r="NKA98" s="46"/>
      <c r="NKB98" s="46"/>
      <c r="NKC98" s="46"/>
      <c r="NKD98" s="46"/>
      <c r="NKE98" s="46"/>
      <c r="NKF98" s="46"/>
      <c r="NKG98" s="46"/>
      <c r="NKH98" s="46"/>
      <c r="NKI98" s="46"/>
      <c r="NKJ98" s="46"/>
      <c r="NKK98" s="46"/>
      <c r="NKL98" s="46"/>
      <c r="NKM98" s="46"/>
      <c r="NKN98" s="46"/>
      <c r="NKO98" s="46"/>
      <c r="NKP98" s="46"/>
      <c r="NKQ98" s="46"/>
      <c r="NKR98" s="46"/>
      <c r="NKS98" s="46"/>
      <c r="NKT98" s="46"/>
      <c r="NKU98" s="46"/>
      <c r="NKV98" s="46"/>
      <c r="NKW98" s="46"/>
      <c r="NKX98" s="46"/>
      <c r="NKY98" s="46"/>
      <c r="NKZ98" s="46"/>
      <c r="NLA98" s="46"/>
      <c r="NLB98" s="46"/>
      <c r="NLC98" s="46"/>
      <c r="NLD98" s="46"/>
      <c r="NLE98" s="46"/>
      <c r="NLF98" s="46"/>
      <c r="NLG98" s="46"/>
      <c r="NLH98" s="46"/>
      <c r="NLI98" s="46"/>
      <c r="NLJ98" s="46"/>
      <c r="NLK98" s="46"/>
      <c r="NLL98" s="46"/>
      <c r="NLM98" s="46"/>
      <c r="NLN98" s="46"/>
      <c r="NLO98" s="46"/>
      <c r="NLP98" s="46"/>
      <c r="NLQ98" s="46"/>
      <c r="NLR98" s="46"/>
      <c r="NLS98" s="46"/>
      <c r="NLT98" s="46"/>
      <c r="NLU98" s="46"/>
      <c r="NLV98" s="46"/>
      <c r="NLW98" s="46"/>
      <c r="NLX98" s="46"/>
      <c r="NLY98" s="46"/>
      <c r="NLZ98" s="46"/>
      <c r="NMA98" s="46"/>
      <c r="NMB98" s="46"/>
      <c r="NMC98" s="46"/>
      <c r="NMD98" s="46"/>
      <c r="NME98" s="46"/>
      <c r="NMF98" s="46"/>
      <c r="NMG98" s="46"/>
      <c r="NMH98" s="46"/>
      <c r="NMI98" s="46"/>
      <c r="NMJ98" s="46"/>
      <c r="NMK98" s="46"/>
      <c r="NML98" s="46"/>
      <c r="NMM98" s="46"/>
      <c r="NMN98" s="46"/>
      <c r="NMO98" s="46"/>
      <c r="NMP98" s="46"/>
      <c r="NMQ98" s="46"/>
      <c r="NMR98" s="46"/>
      <c r="NMS98" s="46"/>
      <c r="NMT98" s="46"/>
      <c r="NMU98" s="46"/>
      <c r="NMV98" s="46"/>
      <c r="NMW98" s="46"/>
      <c r="NMX98" s="46"/>
      <c r="NMY98" s="46"/>
      <c r="NMZ98" s="46"/>
      <c r="NNA98" s="46"/>
      <c r="NNB98" s="46"/>
      <c r="NNC98" s="46"/>
      <c r="NND98" s="46"/>
      <c r="NNE98" s="46"/>
      <c r="NNF98" s="46"/>
      <c r="NNG98" s="46"/>
      <c r="NNH98" s="46"/>
      <c r="NNI98" s="46"/>
      <c r="NNJ98" s="46"/>
      <c r="NNK98" s="46"/>
      <c r="NNL98" s="46"/>
      <c r="NNM98" s="46"/>
      <c r="NNN98" s="46"/>
      <c r="NNO98" s="46"/>
      <c r="NNP98" s="46"/>
      <c r="NNQ98" s="46"/>
      <c r="NNR98" s="46"/>
      <c r="NNS98" s="46"/>
      <c r="NNT98" s="46"/>
      <c r="NNU98" s="46"/>
      <c r="NNV98" s="46"/>
      <c r="NNW98" s="46"/>
      <c r="NNX98" s="46"/>
      <c r="NNY98" s="46"/>
      <c r="NNZ98" s="46"/>
      <c r="NOA98" s="46"/>
      <c r="NOB98" s="46"/>
      <c r="NOC98" s="46"/>
      <c r="NOD98" s="46"/>
      <c r="NOE98" s="46"/>
      <c r="NOF98" s="46"/>
      <c r="NOG98" s="46"/>
      <c r="NOH98" s="46"/>
      <c r="NOI98" s="46"/>
      <c r="NOJ98" s="46"/>
      <c r="NOK98" s="46"/>
      <c r="NOL98" s="46"/>
      <c r="NOM98" s="46"/>
      <c r="NON98" s="46"/>
      <c r="NOO98" s="46"/>
      <c r="NOP98" s="46"/>
      <c r="NOQ98" s="46"/>
      <c r="NOR98" s="46"/>
      <c r="NOS98" s="46"/>
      <c r="NOT98" s="46"/>
      <c r="NOU98" s="46"/>
      <c r="NOV98" s="46"/>
      <c r="NOW98" s="46"/>
      <c r="NOX98" s="46"/>
      <c r="NOY98" s="46"/>
      <c r="NOZ98" s="46"/>
      <c r="NPA98" s="46"/>
      <c r="NPB98" s="46"/>
      <c r="NPC98" s="46"/>
      <c r="NPD98" s="46"/>
      <c r="NPE98" s="46"/>
      <c r="NPF98" s="46"/>
      <c r="NPG98" s="46"/>
      <c r="NPH98" s="46"/>
      <c r="NPI98" s="46"/>
      <c r="NPJ98" s="46"/>
      <c r="NPK98" s="46"/>
      <c r="NPL98" s="46"/>
      <c r="NPM98" s="46"/>
      <c r="NPN98" s="46"/>
      <c r="NPO98" s="46"/>
      <c r="NPP98" s="46"/>
      <c r="NPQ98" s="46"/>
      <c r="NPR98" s="46"/>
      <c r="NPS98" s="46"/>
      <c r="NPT98" s="46"/>
      <c r="NPU98" s="46"/>
      <c r="NPV98" s="46"/>
      <c r="NPW98" s="46"/>
      <c r="NPX98" s="46"/>
      <c r="NPY98" s="46"/>
      <c r="NPZ98" s="46"/>
      <c r="NQA98" s="46"/>
      <c r="NQB98" s="46"/>
      <c r="NQC98" s="46"/>
      <c r="NQD98" s="46"/>
      <c r="NQE98" s="46"/>
      <c r="NQF98" s="46"/>
      <c r="NQG98" s="46"/>
      <c r="NQH98" s="46"/>
      <c r="NQI98" s="46"/>
      <c r="NQJ98" s="46"/>
      <c r="NQK98" s="46"/>
      <c r="NQL98" s="46"/>
      <c r="NQM98" s="46"/>
      <c r="NQN98" s="46"/>
      <c r="NQO98" s="46"/>
      <c r="NQP98" s="46"/>
      <c r="NQQ98" s="46"/>
      <c r="NQR98" s="46"/>
      <c r="NQS98" s="46"/>
      <c r="NQT98" s="46"/>
      <c r="NQU98" s="46"/>
      <c r="NQV98" s="46"/>
      <c r="NQW98" s="46"/>
      <c r="NQX98" s="46"/>
      <c r="NQY98" s="46"/>
      <c r="NQZ98" s="46"/>
      <c r="NRA98" s="46"/>
      <c r="NRB98" s="46"/>
      <c r="NRC98" s="46"/>
      <c r="NRD98" s="46"/>
      <c r="NRE98" s="46"/>
      <c r="NRF98" s="46"/>
      <c r="NRG98" s="46"/>
      <c r="NRH98" s="46"/>
      <c r="NRI98" s="46"/>
      <c r="NRJ98" s="46"/>
      <c r="NRK98" s="46"/>
      <c r="NRL98" s="46"/>
      <c r="NRM98" s="46"/>
      <c r="NRN98" s="46"/>
      <c r="NRO98" s="46"/>
      <c r="NRP98" s="46"/>
      <c r="NRQ98" s="46"/>
      <c r="NRR98" s="46"/>
      <c r="NRS98" s="46"/>
      <c r="NRT98" s="46"/>
      <c r="NRU98" s="46"/>
      <c r="NRV98" s="46"/>
      <c r="NRW98" s="46"/>
      <c r="NRX98" s="46"/>
      <c r="NRY98" s="46"/>
      <c r="NRZ98" s="46"/>
      <c r="NSA98" s="46"/>
      <c r="NSB98" s="46"/>
      <c r="NSC98" s="46"/>
      <c r="NSD98" s="46"/>
      <c r="NSE98" s="46"/>
      <c r="NSF98" s="46"/>
      <c r="NSG98" s="46"/>
      <c r="NSH98" s="46"/>
      <c r="NSI98" s="46"/>
      <c r="NSJ98" s="46"/>
      <c r="NSK98" s="46"/>
      <c r="NSL98" s="46"/>
      <c r="NSM98" s="46"/>
      <c r="NSN98" s="46"/>
      <c r="NSO98" s="46"/>
      <c r="NSP98" s="46"/>
      <c r="NSQ98" s="46"/>
      <c r="NSR98" s="46"/>
      <c r="NSS98" s="46"/>
      <c r="NST98" s="46"/>
      <c r="NSU98" s="46"/>
      <c r="NSV98" s="46"/>
      <c r="NSW98" s="46"/>
      <c r="NSX98" s="46"/>
      <c r="NSY98" s="46"/>
      <c r="NSZ98" s="46"/>
      <c r="NTA98" s="46"/>
      <c r="NTB98" s="46"/>
      <c r="NTC98" s="46"/>
      <c r="NTD98" s="46"/>
      <c r="NTE98" s="46"/>
      <c r="NTF98" s="46"/>
      <c r="NTG98" s="46"/>
      <c r="NTH98" s="46"/>
      <c r="NTI98" s="46"/>
      <c r="NTJ98" s="46"/>
      <c r="NTK98" s="46"/>
      <c r="NTL98" s="46"/>
      <c r="NTM98" s="46"/>
      <c r="NTN98" s="46"/>
      <c r="NTO98" s="46"/>
      <c r="NTP98" s="46"/>
      <c r="NTQ98" s="46"/>
      <c r="NTR98" s="46"/>
      <c r="NTS98" s="46"/>
      <c r="NTT98" s="46"/>
      <c r="NTU98" s="46"/>
      <c r="NTV98" s="46"/>
      <c r="NTW98" s="46"/>
      <c r="NTX98" s="46"/>
      <c r="NTY98" s="46"/>
      <c r="NTZ98" s="46"/>
      <c r="NUA98" s="46"/>
      <c r="NUB98" s="46"/>
      <c r="NUC98" s="46"/>
      <c r="NUD98" s="46"/>
      <c r="NUE98" s="46"/>
      <c r="NUF98" s="46"/>
      <c r="NUG98" s="46"/>
      <c r="NUH98" s="46"/>
      <c r="NUI98" s="46"/>
      <c r="NUJ98" s="46"/>
      <c r="NUK98" s="46"/>
      <c r="NUL98" s="46"/>
      <c r="NUM98" s="46"/>
      <c r="NUN98" s="46"/>
      <c r="NUO98" s="46"/>
      <c r="NUP98" s="46"/>
      <c r="NUQ98" s="46"/>
      <c r="NUR98" s="46"/>
      <c r="NUS98" s="46"/>
      <c r="NUT98" s="46"/>
      <c r="NUU98" s="46"/>
      <c r="NUV98" s="46"/>
      <c r="NUW98" s="46"/>
      <c r="NUX98" s="46"/>
      <c r="NUY98" s="46"/>
      <c r="NUZ98" s="46"/>
      <c r="NVA98" s="46"/>
      <c r="NVB98" s="46"/>
      <c r="NVC98" s="46"/>
      <c r="NVD98" s="46"/>
      <c r="NVE98" s="46"/>
      <c r="NVF98" s="46"/>
      <c r="NVG98" s="46"/>
      <c r="NVH98" s="46"/>
      <c r="NVI98" s="46"/>
      <c r="NVJ98" s="46"/>
      <c r="NVK98" s="46"/>
      <c r="NVL98" s="46"/>
      <c r="NVM98" s="46"/>
      <c r="NVN98" s="46"/>
      <c r="NVO98" s="46"/>
      <c r="NVP98" s="46"/>
      <c r="NVQ98" s="46"/>
      <c r="NVR98" s="46"/>
      <c r="NVS98" s="46"/>
      <c r="NVT98" s="46"/>
      <c r="NVU98" s="46"/>
      <c r="NVV98" s="46"/>
      <c r="NVW98" s="46"/>
      <c r="NVX98" s="46"/>
      <c r="NVY98" s="46"/>
      <c r="NVZ98" s="46"/>
      <c r="NWA98" s="46"/>
      <c r="NWB98" s="46"/>
      <c r="NWC98" s="46"/>
      <c r="NWD98" s="46"/>
      <c r="NWE98" s="46"/>
      <c r="NWF98" s="46"/>
      <c r="NWG98" s="46"/>
      <c r="NWH98" s="46"/>
      <c r="NWI98" s="46"/>
      <c r="NWJ98" s="46"/>
      <c r="NWK98" s="46"/>
      <c r="NWL98" s="46"/>
      <c r="NWM98" s="46"/>
      <c r="NWN98" s="46"/>
      <c r="NWO98" s="46"/>
      <c r="NWP98" s="46"/>
      <c r="NWQ98" s="46"/>
      <c r="NWR98" s="46"/>
      <c r="NWS98" s="46"/>
      <c r="NWT98" s="46"/>
      <c r="NWU98" s="46"/>
      <c r="NWV98" s="46"/>
      <c r="NWW98" s="46"/>
      <c r="NWX98" s="46"/>
      <c r="NWY98" s="46"/>
      <c r="NWZ98" s="46"/>
      <c r="NXA98" s="46"/>
      <c r="NXB98" s="46"/>
      <c r="NXC98" s="46"/>
      <c r="NXD98" s="46"/>
      <c r="NXE98" s="46"/>
      <c r="NXF98" s="46"/>
      <c r="NXG98" s="46"/>
      <c r="NXH98" s="46"/>
      <c r="NXI98" s="46"/>
      <c r="NXJ98" s="46"/>
      <c r="NXK98" s="46"/>
      <c r="NXL98" s="46"/>
      <c r="NXM98" s="46"/>
      <c r="NXN98" s="46"/>
      <c r="NXO98" s="46"/>
      <c r="NXP98" s="46"/>
      <c r="NXQ98" s="46"/>
      <c r="NXR98" s="46"/>
      <c r="NXS98" s="46"/>
      <c r="NXT98" s="46"/>
      <c r="NXU98" s="46"/>
      <c r="NXV98" s="46"/>
      <c r="NXW98" s="46"/>
      <c r="NXX98" s="46"/>
      <c r="NXY98" s="46"/>
      <c r="NXZ98" s="46"/>
      <c r="NYA98" s="46"/>
      <c r="NYB98" s="46"/>
      <c r="NYC98" s="46"/>
      <c r="NYD98" s="46"/>
      <c r="NYE98" s="46"/>
      <c r="NYF98" s="46"/>
      <c r="NYG98" s="46"/>
      <c r="NYH98" s="46"/>
      <c r="NYI98" s="46"/>
      <c r="NYJ98" s="46"/>
      <c r="NYK98" s="46"/>
      <c r="NYL98" s="46"/>
      <c r="NYM98" s="46"/>
      <c r="NYN98" s="46"/>
      <c r="NYO98" s="46"/>
      <c r="NYP98" s="46"/>
      <c r="NYQ98" s="46"/>
      <c r="NYR98" s="46"/>
      <c r="NYS98" s="46"/>
      <c r="NYT98" s="46"/>
      <c r="NYU98" s="46"/>
      <c r="NYV98" s="46"/>
      <c r="NYW98" s="46"/>
      <c r="NYX98" s="46"/>
      <c r="NYY98" s="46"/>
      <c r="NYZ98" s="46"/>
      <c r="NZA98" s="46"/>
      <c r="NZB98" s="46"/>
      <c r="NZC98" s="46"/>
      <c r="NZD98" s="46"/>
      <c r="NZE98" s="46"/>
      <c r="NZF98" s="46"/>
      <c r="NZG98" s="46"/>
      <c r="NZH98" s="46"/>
      <c r="NZI98" s="46"/>
      <c r="NZJ98" s="46"/>
      <c r="NZK98" s="46"/>
      <c r="NZL98" s="46"/>
      <c r="NZM98" s="46"/>
      <c r="NZN98" s="46"/>
      <c r="NZO98" s="46"/>
      <c r="NZP98" s="46"/>
      <c r="NZQ98" s="46"/>
      <c r="NZR98" s="46"/>
      <c r="NZS98" s="46"/>
      <c r="NZT98" s="46"/>
      <c r="NZU98" s="46"/>
      <c r="NZV98" s="46"/>
      <c r="NZW98" s="46"/>
      <c r="NZX98" s="46"/>
      <c r="NZY98" s="46"/>
      <c r="NZZ98" s="46"/>
      <c r="OAA98" s="46"/>
      <c r="OAB98" s="46"/>
      <c r="OAC98" s="46"/>
      <c r="OAD98" s="46"/>
      <c r="OAE98" s="46"/>
      <c r="OAF98" s="46"/>
      <c r="OAG98" s="46"/>
      <c r="OAH98" s="46"/>
      <c r="OAI98" s="46"/>
      <c r="OAJ98" s="46"/>
      <c r="OAK98" s="46"/>
      <c r="OAL98" s="46"/>
      <c r="OAM98" s="46"/>
      <c r="OAN98" s="46"/>
      <c r="OAO98" s="46"/>
      <c r="OAP98" s="46"/>
      <c r="OAQ98" s="46"/>
      <c r="OAR98" s="46"/>
      <c r="OAS98" s="46"/>
      <c r="OAT98" s="46"/>
      <c r="OAU98" s="46"/>
      <c r="OAV98" s="46"/>
      <c r="OAW98" s="46"/>
      <c r="OAX98" s="46"/>
      <c r="OAY98" s="46"/>
      <c r="OAZ98" s="46"/>
      <c r="OBA98" s="46"/>
      <c r="OBB98" s="46"/>
      <c r="OBC98" s="46"/>
      <c r="OBD98" s="46"/>
      <c r="OBE98" s="46"/>
      <c r="OBF98" s="46"/>
      <c r="OBG98" s="46"/>
      <c r="OBH98" s="46"/>
      <c r="OBI98" s="46"/>
      <c r="OBJ98" s="46"/>
      <c r="OBK98" s="46"/>
      <c r="OBL98" s="46"/>
      <c r="OBM98" s="46"/>
      <c r="OBN98" s="46"/>
      <c r="OBO98" s="46"/>
      <c r="OBP98" s="46"/>
      <c r="OBQ98" s="46"/>
      <c r="OBR98" s="46"/>
      <c r="OBS98" s="46"/>
      <c r="OBT98" s="46"/>
      <c r="OBU98" s="46"/>
      <c r="OBV98" s="46"/>
      <c r="OBW98" s="46"/>
      <c r="OBX98" s="46"/>
      <c r="OBY98" s="46"/>
      <c r="OBZ98" s="46"/>
      <c r="OCA98" s="46"/>
      <c r="OCB98" s="46"/>
      <c r="OCC98" s="46"/>
      <c r="OCD98" s="46"/>
      <c r="OCE98" s="46"/>
      <c r="OCF98" s="46"/>
      <c r="OCG98" s="46"/>
      <c r="OCH98" s="46"/>
      <c r="OCI98" s="46"/>
      <c r="OCJ98" s="46"/>
      <c r="OCK98" s="46"/>
      <c r="OCL98" s="46"/>
      <c r="OCM98" s="46"/>
      <c r="OCN98" s="46"/>
      <c r="OCO98" s="46"/>
      <c r="OCP98" s="46"/>
      <c r="OCQ98" s="46"/>
      <c r="OCR98" s="46"/>
      <c r="OCS98" s="46"/>
      <c r="OCT98" s="46"/>
      <c r="OCU98" s="46"/>
      <c r="OCV98" s="46"/>
      <c r="OCW98" s="46"/>
      <c r="OCX98" s="46"/>
      <c r="OCY98" s="46"/>
      <c r="OCZ98" s="46"/>
      <c r="ODA98" s="46"/>
      <c r="ODB98" s="46"/>
      <c r="ODC98" s="46"/>
      <c r="ODD98" s="46"/>
      <c r="ODE98" s="46"/>
      <c r="ODF98" s="46"/>
      <c r="ODG98" s="46"/>
      <c r="ODH98" s="46"/>
      <c r="ODI98" s="46"/>
      <c r="ODJ98" s="46"/>
      <c r="ODK98" s="46"/>
      <c r="ODL98" s="46"/>
      <c r="ODM98" s="46"/>
      <c r="ODN98" s="46"/>
      <c r="ODO98" s="46"/>
      <c r="ODP98" s="46"/>
      <c r="ODQ98" s="46"/>
      <c r="ODR98" s="46"/>
      <c r="ODS98" s="46"/>
      <c r="ODT98" s="46"/>
      <c r="ODU98" s="46"/>
      <c r="ODV98" s="46"/>
      <c r="ODW98" s="46"/>
      <c r="ODX98" s="46"/>
      <c r="ODY98" s="46"/>
      <c r="ODZ98" s="46"/>
      <c r="OEA98" s="46"/>
      <c r="OEB98" s="46"/>
      <c r="OEC98" s="46"/>
      <c r="OED98" s="46"/>
      <c r="OEE98" s="46"/>
      <c r="OEF98" s="46"/>
      <c r="OEG98" s="46"/>
      <c r="OEH98" s="46"/>
      <c r="OEI98" s="46"/>
      <c r="OEJ98" s="46"/>
      <c r="OEK98" s="46"/>
      <c r="OEL98" s="46"/>
      <c r="OEM98" s="46"/>
      <c r="OEN98" s="46"/>
      <c r="OEO98" s="46"/>
      <c r="OEP98" s="46"/>
      <c r="OEQ98" s="46"/>
      <c r="OER98" s="46"/>
      <c r="OES98" s="46"/>
      <c r="OET98" s="46"/>
      <c r="OEU98" s="46"/>
      <c r="OEV98" s="46"/>
      <c r="OEW98" s="46"/>
      <c r="OEX98" s="46"/>
      <c r="OEY98" s="46"/>
      <c r="OEZ98" s="46"/>
      <c r="OFA98" s="46"/>
      <c r="OFB98" s="46"/>
      <c r="OFC98" s="46"/>
      <c r="OFD98" s="46"/>
      <c r="OFE98" s="46"/>
      <c r="OFF98" s="46"/>
      <c r="OFG98" s="46"/>
      <c r="OFH98" s="46"/>
      <c r="OFI98" s="46"/>
      <c r="OFJ98" s="46"/>
      <c r="OFK98" s="46"/>
      <c r="OFL98" s="46"/>
      <c r="OFM98" s="46"/>
      <c r="OFN98" s="46"/>
      <c r="OFO98" s="46"/>
      <c r="OFP98" s="46"/>
      <c r="OFQ98" s="46"/>
      <c r="OFR98" s="46"/>
      <c r="OFS98" s="46"/>
      <c r="OFT98" s="46"/>
      <c r="OFU98" s="46"/>
      <c r="OFV98" s="46"/>
      <c r="OFW98" s="46"/>
      <c r="OFX98" s="46"/>
      <c r="OFY98" s="46"/>
      <c r="OFZ98" s="46"/>
      <c r="OGA98" s="46"/>
      <c r="OGB98" s="46"/>
      <c r="OGC98" s="46"/>
      <c r="OGD98" s="46"/>
      <c r="OGE98" s="46"/>
      <c r="OGF98" s="46"/>
      <c r="OGG98" s="46"/>
      <c r="OGH98" s="46"/>
      <c r="OGI98" s="46"/>
      <c r="OGJ98" s="46"/>
      <c r="OGK98" s="46"/>
      <c r="OGL98" s="46"/>
      <c r="OGM98" s="46"/>
      <c r="OGN98" s="46"/>
      <c r="OGO98" s="46"/>
      <c r="OGP98" s="46"/>
      <c r="OGQ98" s="46"/>
      <c r="OGR98" s="46"/>
      <c r="OGS98" s="46"/>
      <c r="OGT98" s="46"/>
      <c r="OGU98" s="46"/>
      <c r="OGV98" s="46"/>
      <c r="OGW98" s="46"/>
      <c r="OGX98" s="46"/>
      <c r="OGY98" s="46"/>
      <c r="OGZ98" s="46"/>
      <c r="OHA98" s="46"/>
      <c r="OHB98" s="46"/>
      <c r="OHC98" s="46"/>
      <c r="OHD98" s="46"/>
      <c r="OHE98" s="46"/>
      <c r="OHF98" s="46"/>
      <c r="OHG98" s="46"/>
      <c r="OHH98" s="46"/>
      <c r="OHI98" s="46"/>
      <c r="OHJ98" s="46"/>
      <c r="OHK98" s="46"/>
      <c r="OHL98" s="46"/>
      <c r="OHM98" s="46"/>
      <c r="OHN98" s="46"/>
      <c r="OHO98" s="46"/>
      <c r="OHP98" s="46"/>
      <c r="OHQ98" s="46"/>
      <c r="OHR98" s="46"/>
      <c r="OHS98" s="46"/>
      <c r="OHT98" s="46"/>
      <c r="OHU98" s="46"/>
      <c r="OHV98" s="46"/>
      <c r="OHW98" s="46"/>
      <c r="OHX98" s="46"/>
      <c r="OHY98" s="46"/>
      <c r="OHZ98" s="46"/>
      <c r="OIA98" s="46"/>
      <c r="OIB98" s="46"/>
      <c r="OIC98" s="46"/>
      <c r="OID98" s="46"/>
      <c r="OIE98" s="46"/>
      <c r="OIF98" s="46"/>
      <c r="OIG98" s="46"/>
      <c r="OIH98" s="46"/>
      <c r="OII98" s="46"/>
      <c r="OIJ98" s="46"/>
      <c r="OIK98" s="46"/>
      <c r="OIL98" s="46"/>
      <c r="OIM98" s="46"/>
      <c r="OIN98" s="46"/>
      <c r="OIO98" s="46"/>
      <c r="OIP98" s="46"/>
      <c r="OIQ98" s="46"/>
      <c r="OIR98" s="46"/>
      <c r="OIS98" s="46"/>
      <c r="OIT98" s="46"/>
      <c r="OIU98" s="46"/>
      <c r="OIV98" s="46"/>
      <c r="OIW98" s="46"/>
      <c r="OIX98" s="46"/>
      <c r="OIY98" s="46"/>
      <c r="OIZ98" s="46"/>
      <c r="OJA98" s="46"/>
      <c r="OJB98" s="46"/>
      <c r="OJC98" s="46"/>
      <c r="OJD98" s="46"/>
      <c r="OJE98" s="46"/>
      <c r="OJF98" s="46"/>
      <c r="OJG98" s="46"/>
      <c r="OJH98" s="46"/>
      <c r="OJI98" s="46"/>
      <c r="OJJ98" s="46"/>
      <c r="OJK98" s="46"/>
      <c r="OJL98" s="46"/>
      <c r="OJM98" s="46"/>
      <c r="OJN98" s="46"/>
      <c r="OJO98" s="46"/>
      <c r="OJP98" s="46"/>
      <c r="OJQ98" s="46"/>
      <c r="OJR98" s="46"/>
      <c r="OJS98" s="46"/>
      <c r="OJT98" s="46"/>
      <c r="OJU98" s="46"/>
      <c r="OJV98" s="46"/>
      <c r="OJW98" s="46"/>
      <c r="OJX98" s="46"/>
      <c r="OJY98" s="46"/>
      <c r="OJZ98" s="46"/>
      <c r="OKA98" s="46"/>
      <c r="OKB98" s="46"/>
      <c r="OKC98" s="46"/>
      <c r="OKD98" s="46"/>
      <c r="OKE98" s="46"/>
      <c r="OKF98" s="46"/>
      <c r="OKG98" s="46"/>
      <c r="OKH98" s="46"/>
      <c r="OKI98" s="46"/>
      <c r="OKJ98" s="46"/>
      <c r="OKK98" s="46"/>
      <c r="OKL98" s="46"/>
      <c r="OKM98" s="46"/>
      <c r="OKN98" s="46"/>
      <c r="OKO98" s="46"/>
      <c r="OKP98" s="46"/>
      <c r="OKQ98" s="46"/>
      <c r="OKR98" s="46"/>
      <c r="OKS98" s="46"/>
      <c r="OKT98" s="46"/>
      <c r="OKU98" s="46"/>
      <c r="OKV98" s="46"/>
      <c r="OKW98" s="46"/>
      <c r="OKX98" s="46"/>
      <c r="OKY98" s="46"/>
      <c r="OKZ98" s="46"/>
      <c r="OLA98" s="46"/>
      <c r="OLB98" s="46"/>
      <c r="OLC98" s="46"/>
      <c r="OLD98" s="46"/>
      <c r="OLE98" s="46"/>
      <c r="OLF98" s="46"/>
      <c r="OLG98" s="46"/>
      <c r="OLH98" s="46"/>
      <c r="OLI98" s="46"/>
      <c r="OLJ98" s="46"/>
      <c r="OLK98" s="46"/>
      <c r="OLL98" s="46"/>
      <c r="OLM98" s="46"/>
      <c r="OLN98" s="46"/>
      <c r="OLO98" s="46"/>
      <c r="OLP98" s="46"/>
      <c r="OLQ98" s="46"/>
      <c r="OLR98" s="46"/>
      <c r="OLS98" s="46"/>
      <c r="OLT98" s="46"/>
      <c r="OLU98" s="46"/>
      <c r="OLV98" s="46"/>
      <c r="OLW98" s="46"/>
      <c r="OLX98" s="46"/>
      <c r="OLY98" s="46"/>
      <c r="OLZ98" s="46"/>
      <c r="OMA98" s="46"/>
      <c r="OMB98" s="46"/>
      <c r="OMC98" s="46"/>
      <c r="OMD98" s="46"/>
      <c r="OME98" s="46"/>
      <c r="OMF98" s="46"/>
      <c r="OMG98" s="46"/>
      <c r="OMH98" s="46"/>
      <c r="OMI98" s="46"/>
      <c r="OMJ98" s="46"/>
      <c r="OMK98" s="46"/>
      <c r="OML98" s="46"/>
      <c r="OMM98" s="46"/>
      <c r="OMN98" s="46"/>
      <c r="OMO98" s="46"/>
      <c r="OMP98" s="46"/>
      <c r="OMQ98" s="46"/>
      <c r="OMR98" s="46"/>
      <c r="OMS98" s="46"/>
      <c r="OMT98" s="46"/>
      <c r="OMU98" s="46"/>
      <c r="OMV98" s="46"/>
      <c r="OMW98" s="46"/>
      <c r="OMX98" s="46"/>
      <c r="OMY98" s="46"/>
      <c r="OMZ98" s="46"/>
      <c r="ONA98" s="46"/>
      <c r="ONB98" s="46"/>
      <c r="ONC98" s="46"/>
      <c r="OND98" s="46"/>
      <c r="ONE98" s="46"/>
      <c r="ONF98" s="46"/>
      <c r="ONG98" s="46"/>
      <c r="ONH98" s="46"/>
      <c r="ONI98" s="46"/>
      <c r="ONJ98" s="46"/>
      <c r="ONK98" s="46"/>
      <c r="ONL98" s="46"/>
      <c r="ONM98" s="46"/>
      <c r="ONN98" s="46"/>
      <c r="ONO98" s="46"/>
      <c r="ONP98" s="46"/>
      <c r="ONQ98" s="46"/>
      <c r="ONR98" s="46"/>
      <c r="ONS98" s="46"/>
      <c r="ONT98" s="46"/>
      <c r="ONU98" s="46"/>
      <c r="ONV98" s="46"/>
      <c r="ONW98" s="46"/>
      <c r="ONX98" s="46"/>
      <c r="ONY98" s="46"/>
      <c r="ONZ98" s="46"/>
      <c r="OOA98" s="46"/>
      <c r="OOB98" s="46"/>
      <c r="OOC98" s="46"/>
      <c r="OOD98" s="46"/>
      <c r="OOE98" s="46"/>
      <c r="OOF98" s="46"/>
      <c r="OOG98" s="46"/>
      <c r="OOH98" s="46"/>
      <c r="OOI98" s="46"/>
      <c r="OOJ98" s="46"/>
      <c r="OOK98" s="46"/>
      <c r="OOL98" s="46"/>
      <c r="OOM98" s="46"/>
      <c r="OON98" s="46"/>
      <c r="OOO98" s="46"/>
      <c r="OOP98" s="46"/>
      <c r="OOQ98" s="46"/>
      <c r="OOR98" s="46"/>
      <c r="OOS98" s="46"/>
      <c r="OOT98" s="46"/>
      <c r="OOU98" s="46"/>
      <c r="OOV98" s="46"/>
      <c r="OOW98" s="46"/>
      <c r="OOX98" s="46"/>
      <c r="OOY98" s="46"/>
      <c r="OOZ98" s="46"/>
      <c r="OPA98" s="46"/>
      <c r="OPB98" s="46"/>
      <c r="OPC98" s="46"/>
      <c r="OPD98" s="46"/>
      <c r="OPE98" s="46"/>
      <c r="OPF98" s="46"/>
      <c r="OPG98" s="46"/>
      <c r="OPH98" s="46"/>
      <c r="OPI98" s="46"/>
      <c r="OPJ98" s="46"/>
      <c r="OPK98" s="46"/>
      <c r="OPL98" s="46"/>
      <c r="OPM98" s="46"/>
      <c r="OPN98" s="46"/>
      <c r="OPO98" s="46"/>
      <c r="OPP98" s="46"/>
      <c r="OPQ98" s="46"/>
      <c r="OPR98" s="46"/>
      <c r="OPS98" s="46"/>
      <c r="OPT98" s="46"/>
      <c r="OPU98" s="46"/>
      <c r="OPV98" s="46"/>
      <c r="OPW98" s="46"/>
      <c r="OPX98" s="46"/>
      <c r="OPY98" s="46"/>
      <c r="OPZ98" s="46"/>
      <c r="OQA98" s="46"/>
      <c r="OQB98" s="46"/>
      <c r="OQC98" s="46"/>
      <c r="OQD98" s="46"/>
      <c r="OQE98" s="46"/>
      <c r="OQF98" s="46"/>
      <c r="OQG98" s="46"/>
      <c r="OQH98" s="46"/>
      <c r="OQI98" s="46"/>
      <c r="OQJ98" s="46"/>
      <c r="OQK98" s="46"/>
      <c r="OQL98" s="46"/>
      <c r="OQM98" s="46"/>
      <c r="OQN98" s="46"/>
      <c r="OQO98" s="46"/>
      <c r="OQP98" s="46"/>
      <c r="OQQ98" s="46"/>
      <c r="OQR98" s="46"/>
      <c r="OQS98" s="46"/>
      <c r="OQT98" s="46"/>
      <c r="OQU98" s="46"/>
      <c r="OQV98" s="46"/>
      <c r="OQW98" s="46"/>
      <c r="OQX98" s="46"/>
      <c r="OQY98" s="46"/>
      <c r="OQZ98" s="46"/>
      <c r="ORA98" s="46"/>
      <c r="ORB98" s="46"/>
      <c r="ORC98" s="46"/>
      <c r="ORD98" s="46"/>
      <c r="ORE98" s="46"/>
      <c r="ORF98" s="46"/>
      <c r="ORG98" s="46"/>
      <c r="ORH98" s="46"/>
      <c r="ORI98" s="46"/>
      <c r="ORJ98" s="46"/>
      <c r="ORK98" s="46"/>
      <c r="ORL98" s="46"/>
      <c r="ORM98" s="46"/>
      <c r="ORN98" s="46"/>
      <c r="ORO98" s="46"/>
      <c r="ORP98" s="46"/>
      <c r="ORQ98" s="46"/>
      <c r="ORR98" s="46"/>
      <c r="ORS98" s="46"/>
      <c r="ORT98" s="46"/>
      <c r="ORU98" s="46"/>
      <c r="ORV98" s="46"/>
      <c r="ORW98" s="46"/>
      <c r="ORX98" s="46"/>
      <c r="ORY98" s="46"/>
      <c r="ORZ98" s="46"/>
      <c r="OSA98" s="46"/>
      <c r="OSB98" s="46"/>
      <c r="OSC98" s="46"/>
      <c r="OSD98" s="46"/>
      <c r="OSE98" s="46"/>
      <c r="OSF98" s="46"/>
      <c r="OSG98" s="46"/>
      <c r="OSH98" s="46"/>
      <c r="OSI98" s="46"/>
      <c r="OSJ98" s="46"/>
      <c r="OSK98" s="46"/>
      <c r="OSL98" s="46"/>
      <c r="OSM98" s="46"/>
      <c r="OSN98" s="46"/>
      <c r="OSO98" s="46"/>
      <c r="OSP98" s="46"/>
      <c r="OSQ98" s="46"/>
      <c r="OSR98" s="46"/>
      <c r="OSS98" s="46"/>
      <c r="OST98" s="46"/>
      <c r="OSU98" s="46"/>
      <c r="OSV98" s="46"/>
      <c r="OSW98" s="46"/>
      <c r="OSX98" s="46"/>
      <c r="OSY98" s="46"/>
      <c r="OSZ98" s="46"/>
      <c r="OTA98" s="46"/>
      <c r="OTB98" s="46"/>
      <c r="OTC98" s="46"/>
      <c r="OTD98" s="46"/>
      <c r="OTE98" s="46"/>
      <c r="OTF98" s="46"/>
      <c r="OTG98" s="46"/>
      <c r="OTH98" s="46"/>
      <c r="OTI98" s="46"/>
      <c r="OTJ98" s="46"/>
      <c r="OTK98" s="46"/>
      <c r="OTL98" s="46"/>
      <c r="OTM98" s="46"/>
      <c r="OTN98" s="46"/>
      <c r="OTO98" s="46"/>
      <c r="OTP98" s="46"/>
      <c r="OTQ98" s="46"/>
      <c r="OTR98" s="46"/>
      <c r="OTS98" s="46"/>
      <c r="OTT98" s="46"/>
      <c r="OTU98" s="46"/>
      <c r="OTV98" s="46"/>
      <c r="OTW98" s="46"/>
      <c r="OTX98" s="46"/>
      <c r="OTY98" s="46"/>
      <c r="OTZ98" s="46"/>
      <c r="OUA98" s="46"/>
      <c r="OUB98" s="46"/>
      <c r="OUC98" s="46"/>
      <c r="OUD98" s="46"/>
      <c r="OUE98" s="46"/>
      <c r="OUF98" s="46"/>
      <c r="OUG98" s="46"/>
      <c r="OUH98" s="46"/>
      <c r="OUI98" s="46"/>
      <c r="OUJ98" s="46"/>
      <c r="OUK98" s="46"/>
      <c r="OUL98" s="46"/>
      <c r="OUM98" s="46"/>
      <c r="OUN98" s="46"/>
      <c r="OUO98" s="46"/>
      <c r="OUP98" s="46"/>
      <c r="OUQ98" s="46"/>
      <c r="OUR98" s="46"/>
      <c r="OUS98" s="46"/>
      <c r="OUT98" s="46"/>
      <c r="OUU98" s="46"/>
      <c r="OUV98" s="46"/>
      <c r="OUW98" s="46"/>
      <c r="OUX98" s="46"/>
      <c r="OUY98" s="46"/>
      <c r="OUZ98" s="46"/>
      <c r="OVA98" s="46"/>
      <c r="OVB98" s="46"/>
      <c r="OVC98" s="46"/>
      <c r="OVD98" s="46"/>
      <c r="OVE98" s="46"/>
      <c r="OVF98" s="46"/>
      <c r="OVG98" s="46"/>
      <c r="OVH98" s="46"/>
      <c r="OVI98" s="46"/>
      <c r="OVJ98" s="46"/>
      <c r="OVK98" s="46"/>
      <c r="OVL98" s="46"/>
      <c r="OVM98" s="46"/>
      <c r="OVN98" s="46"/>
      <c r="OVO98" s="46"/>
      <c r="OVP98" s="46"/>
      <c r="OVQ98" s="46"/>
      <c r="OVR98" s="46"/>
      <c r="OVS98" s="46"/>
      <c r="OVT98" s="46"/>
      <c r="OVU98" s="46"/>
      <c r="OVV98" s="46"/>
      <c r="OVW98" s="46"/>
      <c r="OVX98" s="46"/>
      <c r="OVY98" s="46"/>
      <c r="OVZ98" s="46"/>
      <c r="OWA98" s="46"/>
      <c r="OWB98" s="46"/>
      <c r="OWC98" s="46"/>
      <c r="OWD98" s="46"/>
      <c r="OWE98" s="46"/>
      <c r="OWF98" s="46"/>
      <c r="OWG98" s="46"/>
      <c r="OWH98" s="46"/>
      <c r="OWI98" s="46"/>
      <c r="OWJ98" s="46"/>
      <c r="OWK98" s="46"/>
      <c r="OWL98" s="46"/>
      <c r="OWM98" s="46"/>
      <c r="OWN98" s="46"/>
      <c r="OWO98" s="46"/>
      <c r="OWP98" s="46"/>
      <c r="OWQ98" s="46"/>
      <c r="OWR98" s="46"/>
      <c r="OWS98" s="46"/>
      <c r="OWT98" s="46"/>
      <c r="OWU98" s="46"/>
      <c r="OWV98" s="46"/>
      <c r="OWW98" s="46"/>
      <c r="OWX98" s="46"/>
      <c r="OWY98" s="46"/>
      <c r="OWZ98" s="46"/>
      <c r="OXA98" s="46"/>
      <c r="OXB98" s="46"/>
      <c r="OXC98" s="46"/>
      <c r="OXD98" s="46"/>
      <c r="OXE98" s="46"/>
      <c r="OXF98" s="46"/>
      <c r="OXG98" s="46"/>
      <c r="OXH98" s="46"/>
      <c r="OXI98" s="46"/>
      <c r="OXJ98" s="46"/>
      <c r="OXK98" s="46"/>
      <c r="OXL98" s="46"/>
      <c r="OXM98" s="46"/>
      <c r="OXN98" s="46"/>
      <c r="OXO98" s="46"/>
      <c r="OXP98" s="46"/>
      <c r="OXQ98" s="46"/>
      <c r="OXR98" s="46"/>
      <c r="OXS98" s="46"/>
      <c r="OXT98" s="46"/>
      <c r="OXU98" s="46"/>
      <c r="OXV98" s="46"/>
      <c r="OXW98" s="46"/>
      <c r="OXX98" s="46"/>
      <c r="OXY98" s="46"/>
      <c r="OXZ98" s="46"/>
      <c r="OYA98" s="46"/>
      <c r="OYB98" s="46"/>
      <c r="OYC98" s="46"/>
      <c r="OYD98" s="46"/>
      <c r="OYE98" s="46"/>
      <c r="OYF98" s="46"/>
      <c r="OYG98" s="46"/>
      <c r="OYH98" s="46"/>
      <c r="OYI98" s="46"/>
      <c r="OYJ98" s="46"/>
      <c r="OYK98" s="46"/>
      <c r="OYL98" s="46"/>
      <c r="OYM98" s="46"/>
      <c r="OYN98" s="46"/>
      <c r="OYO98" s="46"/>
      <c r="OYP98" s="46"/>
      <c r="OYQ98" s="46"/>
      <c r="OYR98" s="46"/>
      <c r="OYS98" s="46"/>
      <c r="OYT98" s="46"/>
      <c r="OYU98" s="46"/>
      <c r="OYV98" s="46"/>
      <c r="OYW98" s="46"/>
      <c r="OYX98" s="46"/>
      <c r="OYY98" s="46"/>
      <c r="OYZ98" s="46"/>
      <c r="OZA98" s="46"/>
      <c r="OZB98" s="46"/>
      <c r="OZC98" s="46"/>
      <c r="OZD98" s="46"/>
      <c r="OZE98" s="46"/>
      <c r="OZF98" s="46"/>
      <c r="OZG98" s="46"/>
      <c r="OZH98" s="46"/>
      <c r="OZI98" s="46"/>
      <c r="OZJ98" s="46"/>
      <c r="OZK98" s="46"/>
      <c r="OZL98" s="46"/>
      <c r="OZM98" s="46"/>
      <c r="OZN98" s="46"/>
      <c r="OZO98" s="46"/>
      <c r="OZP98" s="46"/>
      <c r="OZQ98" s="46"/>
      <c r="OZR98" s="46"/>
      <c r="OZS98" s="46"/>
      <c r="OZT98" s="46"/>
      <c r="OZU98" s="46"/>
      <c r="OZV98" s="46"/>
      <c r="OZW98" s="46"/>
      <c r="OZX98" s="46"/>
      <c r="OZY98" s="46"/>
      <c r="OZZ98" s="46"/>
      <c r="PAA98" s="46"/>
      <c r="PAB98" s="46"/>
      <c r="PAC98" s="46"/>
      <c r="PAD98" s="46"/>
      <c r="PAE98" s="46"/>
      <c r="PAF98" s="46"/>
      <c r="PAG98" s="46"/>
      <c r="PAH98" s="46"/>
      <c r="PAI98" s="46"/>
      <c r="PAJ98" s="46"/>
      <c r="PAK98" s="46"/>
      <c r="PAL98" s="46"/>
      <c r="PAM98" s="46"/>
      <c r="PAN98" s="46"/>
      <c r="PAO98" s="46"/>
      <c r="PAP98" s="46"/>
      <c r="PAQ98" s="46"/>
      <c r="PAR98" s="46"/>
      <c r="PAS98" s="46"/>
      <c r="PAT98" s="46"/>
      <c r="PAU98" s="46"/>
      <c r="PAV98" s="46"/>
      <c r="PAW98" s="46"/>
      <c r="PAX98" s="46"/>
      <c r="PAY98" s="46"/>
      <c r="PAZ98" s="46"/>
      <c r="PBA98" s="46"/>
      <c r="PBB98" s="46"/>
      <c r="PBC98" s="46"/>
      <c r="PBD98" s="46"/>
      <c r="PBE98" s="46"/>
      <c r="PBF98" s="46"/>
      <c r="PBG98" s="46"/>
      <c r="PBH98" s="46"/>
      <c r="PBI98" s="46"/>
      <c r="PBJ98" s="46"/>
      <c r="PBK98" s="46"/>
      <c r="PBL98" s="46"/>
      <c r="PBM98" s="46"/>
      <c r="PBN98" s="46"/>
      <c r="PBO98" s="46"/>
      <c r="PBP98" s="46"/>
      <c r="PBQ98" s="46"/>
      <c r="PBR98" s="46"/>
      <c r="PBS98" s="46"/>
      <c r="PBT98" s="46"/>
      <c r="PBU98" s="46"/>
      <c r="PBV98" s="46"/>
      <c r="PBW98" s="46"/>
      <c r="PBX98" s="46"/>
      <c r="PBY98" s="46"/>
      <c r="PBZ98" s="46"/>
      <c r="PCA98" s="46"/>
      <c r="PCB98" s="46"/>
      <c r="PCC98" s="46"/>
      <c r="PCD98" s="46"/>
      <c r="PCE98" s="46"/>
      <c r="PCF98" s="46"/>
      <c r="PCG98" s="46"/>
      <c r="PCH98" s="46"/>
      <c r="PCI98" s="46"/>
      <c r="PCJ98" s="46"/>
      <c r="PCK98" s="46"/>
      <c r="PCL98" s="46"/>
      <c r="PCM98" s="46"/>
      <c r="PCN98" s="46"/>
      <c r="PCO98" s="46"/>
      <c r="PCP98" s="46"/>
      <c r="PCQ98" s="46"/>
      <c r="PCR98" s="46"/>
      <c r="PCS98" s="46"/>
      <c r="PCT98" s="46"/>
      <c r="PCU98" s="46"/>
      <c r="PCV98" s="46"/>
      <c r="PCW98" s="46"/>
      <c r="PCX98" s="46"/>
      <c r="PCY98" s="46"/>
      <c r="PCZ98" s="46"/>
      <c r="PDA98" s="46"/>
      <c r="PDB98" s="46"/>
      <c r="PDC98" s="46"/>
      <c r="PDD98" s="46"/>
      <c r="PDE98" s="46"/>
      <c r="PDF98" s="46"/>
      <c r="PDG98" s="46"/>
      <c r="PDH98" s="46"/>
      <c r="PDI98" s="46"/>
      <c r="PDJ98" s="46"/>
      <c r="PDK98" s="46"/>
      <c r="PDL98" s="46"/>
      <c r="PDM98" s="46"/>
      <c r="PDN98" s="46"/>
      <c r="PDO98" s="46"/>
      <c r="PDP98" s="46"/>
      <c r="PDQ98" s="46"/>
      <c r="PDR98" s="46"/>
      <c r="PDS98" s="46"/>
      <c r="PDT98" s="46"/>
      <c r="PDU98" s="46"/>
      <c r="PDV98" s="46"/>
      <c r="PDW98" s="46"/>
      <c r="PDX98" s="46"/>
      <c r="PDY98" s="46"/>
      <c r="PDZ98" s="46"/>
      <c r="PEA98" s="46"/>
      <c r="PEB98" s="46"/>
      <c r="PEC98" s="46"/>
      <c r="PED98" s="46"/>
      <c r="PEE98" s="46"/>
      <c r="PEF98" s="46"/>
      <c r="PEG98" s="46"/>
      <c r="PEH98" s="46"/>
      <c r="PEI98" s="46"/>
      <c r="PEJ98" s="46"/>
      <c r="PEK98" s="46"/>
      <c r="PEL98" s="46"/>
      <c r="PEM98" s="46"/>
      <c r="PEN98" s="46"/>
      <c r="PEO98" s="46"/>
      <c r="PEP98" s="46"/>
      <c r="PEQ98" s="46"/>
      <c r="PER98" s="46"/>
      <c r="PES98" s="46"/>
      <c r="PET98" s="46"/>
      <c r="PEU98" s="46"/>
      <c r="PEV98" s="46"/>
      <c r="PEW98" s="46"/>
      <c r="PEX98" s="46"/>
      <c r="PEY98" s="46"/>
      <c r="PEZ98" s="46"/>
      <c r="PFA98" s="46"/>
      <c r="PFB98" s="46"/>
      <c r="PFC98" s="46"/>
      <c r="PFD98" s="46"/>
      <c r="PFE98" s="46"/>
      <c r="PFF98" s="46"/>
      <c r="PFG98" s="46"/>
      <c r="PFH98" s="46"/>
      <c r="PFI98" s="46"/>
      <c r="PFJ98" s="46"/>
      <c r="PFK98" s="46"/>
      <c r="PFL98" s="46"/>
      <c r="PFM98" s="46"/>
      <c r="PFN98" s="46"/>
      <c r="PFO98" s="46"/>
      <c r="PFP98" s="46"/>
      <c r="PFQ98" s="46"/>
      <c r="PFR98" s="46"/>
      <c r="PFS98" s="46"/>
      <c r="PFT98" s="46"/>
      <c r="PFU98" s="46"/>
      <c r="PFV98" s="46"/>
      <c r="PFW98" s="46"/>
      <c r="PFX98" s="46"/>
      <c r="PFY98" s="46"/>
      <c r="PFZ98" s="46"/>
      <c r="PGA98" s="46"/>
      <c r="PGB98" s="46"/>
      <c r="PGC98" s="46"/>
      <c r="PGD98" s="46"/>
      <c r="PGE98" s="46"/>
      <c r="PGF98" s="46"/>
      <c r="PGG98" s="46"/>
      <c r="PGH98" s="46"/>
      <c r="PGI98" s="46"/>
      <c r="PGJ98" s="46"/>
      <c r="PGK98" s="46"/>
      <c r="PGL98" s="46"/>
      <c r="PGM98" s="46"/>
      <c r="PGN98" s="46"/>
      <c r="PGO98" s="46"/>
      <c r="PGP98" s="46"/>
      <c r="PGQ98" s="46"/>
      <c r="PGR98" s="46"/>
      <c r="PGS98" s="46"/>
      <c r="PGT98" s="46"/>
      <c r="PGU98" s="46"/>
      <c r="PGV98" s="46"/>
      <c r="PGW98" s="46"/>
      <c r="PGX98" s="46"/>
      <c r="PGY98" s="46"/>
      <c r="PGZ98" s="46"/>
      <c r="PHA98" s="46"/>
      <c r="PHB98" s="46"/>
      <c r="PHC98" s="46"/>
      <c r="PHD98" s="46"/>
      <c r="PHE98" s="46"/>
      <c r="PHF98" s="46"/>
      <c r="PHG98" s="46"/>
      <c r="PHH98" s="46"/>
      <c r="PHI98" s="46"/>
      <c r="PHJ98" s="46"/>
      <c r="PHK98" s="46"/>
      <c r="PHL98" s="46"/>
      <c r="PHM98" s="46"/>
      <c r="PHN98" s="46"/>
      <c r="PHO98" s="46"/>
      <c r="PHP98" s="46"/>
      <c r="PHQ98" s="46"/>
      <c r="PHR98" s="46"/>
      <c r="PHS98" s="46"/>
      <c r="PHT98" s="46"/>
      <c r="PHU98" s="46"/>
      <c r="PHV98" s="46"/>
      <c r="PHW98" s="46"/>
      <c r="PHX98" s="46"/>
      <c r="PHY98" s="46"/>
      <c r="PHZ98" s="46"/>
      <c r="PIA98" s="46"/>
      <c r="PIB98" s="46"/>
      <c r="PIC98" s="46"/>
      <c r="PID98" s="46"/>
      <c r="PIE98" s="46"/>
      <c r="PIF98" s="46"/>
      <c r="PIG98" s="46"/>
      <c r="PIH98" s="46"/>
      <c r="PII98" s="46"/>
      <c r="PIJ98" s="46"/>
      <c r="PIK98" s="46"/>
      <c r="PIL98" s="46"/>
      <c r="PIM98" s="46"/>
      <c r="PIN98" s="46"/>
      <c r="PIO98" s="46"/>
      <c r="PIP98" s="46"/>
      <c r="PIQ98" s="46"/>
      <c r="PIR98" s="46"/>
      <c r="PIS98" s="46"/>
      <c r="PIT98" s="46"/>
      <c r="PIU98" s="46"/>
      <c r="PIV98" s="46"/>
      <c r="PIW98" s="46"/>
      <c r="PIX98" s="46"/>
      <c r="PIY98" s="46"/>
      <c r="PIZ98" s="46"/>
      <c r="PJA98" s="46"/>
      <c r="PJB98" s="46"/>
      <c r="PJC98" s="46"/>
      <c r="PJD98" s="46"/>
      <c r="PJE98" s="46"/>
      <c r="PJF98" s="46"/>
      <c r="PJG98" s="46"/>
      <c r="PJH98" s="46"/>
      <c r="PJI98" s="46"/>
      <c r="PJJ98" s="46"/>
      <c r="PJK98" s="46"/>
      <c r="PJL98" s="46"/>
      <c r="PJM98" s="46"/>
      <c r="PJN98" s="46"/>
      <c r="PJO98" s="46"/>
      <c r="PJP98" s="46"/>
      <c r="PJQ98" s="46"/>
      <c r="PJR98" s="46"/>
      <c r="PJS98" s="46"/>
      <c r="PJT98" s="46"/>
      <c r="PJU98" s="46"/>
      <c r="PJV98" s="46"/>
      <c r="PJW98" s="46"/>
      <c r="PJX98" s="46"/>
      <c r="PJY98" s="46"/>
      <c r="PJZ98" s="46"/>
      <c r="PKA98" s="46"/>
      <c r="PKB98" s="46"/>
      <c r="PKC98" s="46"/>
      <c r="PKD98" s="46"/>
      <c r="PKE98" s="46"/>
      <c r="PKF98" s="46"/>
      <c r="PKG98" s="46"/>
      <c r="PKH98" s="46"/>
      <c r="PKI98" s="46"/>
      <c r="PKJ98" s="46"/>
      <c r="PKK98" s="46"/>
      <c r="PKL98" s="46"/>
      <c r="PKM98" s="46"/>
      <c r="PKN98" s="46"/>
      <c r="PKO98" s="46"/>
      <c r="PKP98" s="46"/>
      <c r="PKQ98" s="46"/>
      <c r="PKR98" s="46"/>
      <c r="PKS98" s="46"/>
      <c r="PKT98" s="46"/>
      <c r="PKU98" s="46"/>
      <c r="PKV98" s="46"/>
      <c r="PKW98" s="46"/>
      <c r="PKX98" s="46"/>
      <c r="PKY98" s="46"/>
      <c r="PKZ98" s="46"/>
      <c r="PLA98" s="46"/>
      <c r="PLB98" s="46"/>
      <c r="PLC98" s="46"/>
      <c r="PLD98" s="46"/>
      <c r="PLE98" s="46"/>
      <c r="PLF98" s="46"/>
      <c r="PLG98" s="46"/>
      <c r="PLH98" s="46"/>
      <c r="PLI98" s="46"/>
      <c r="PLJ98" s="46"/>
      <c r="PLK98" s="46"/>
      <c r="PLL98" s="46"/>
      <c r="PLM98" s="46"/>
      <c r="PLN98" s="46"/>
      <c r="PLO98" s="46"/>
      <c r="PLP98" s="46"/>
      <c r="PLQ98" s="46"/>
      <c r="PLR98" s="46"/>
      <c r="PLS98" s="46"/>
      <c r="PLT98" s="46"/>
      <c r="PLU98" s="46"/>
      <c r="PLV98" s="46"/>
      <c r="PLW98" s="46"/>
      <c r="PLX98" s="46"/>
      <c r="PLY98" s="46"/>
      <c r="PLZ98" s="46"/>
      <c r="PMA98" s="46"/>
      <c r="PMB98" s="46"/>
      <c r="PMC98" s="46"/>
      <c r="PMD98" s="46"/>
      <c r="PME98" s="46"/>
      <c r="PMF98" s="46"/>
      <c r="PMG98" s="46"/>
      <c r="PMH98" s="46"/>
      <c r="PMI98" s="46"/>
      <c r="PMJ98" s="46"/>
      <c r="PMK98" s="46"/>
      <c r="PML98" s="46"/>
      <c r="PMM98" s="46"/>
      <c r="PMN98" s="46"/>
      <c r="PMO98" s="46"/>
      <c r="PMP98" s="46"/>
      <c r="PMQ98" s="46"/>
      <c r="PMR98" s="46"/>
      <c r="PMS98" s="46"/>
      <c r="PMT98" s="46"/>
      <c r="PMU98" s="46"/>
      <c r="PMV98" s="46"/>
      <c r="PMW98" s="46"/>
      <c r="PMX98" s="46"/>
      <c r="PMY98" s="46"/>
      <c r="PMZ98" s="46"/>
      <c r="PNA98" s="46"/>
      <c r="PNB98" s="46"/>
      <c r="PNC98" s="46"/>
      <c r="PND98" s="46"/>
      <c r="PNE98" s="46"/>
      <c r="PNF98" s="46"/>
      <c r="PNG98" s="46"/>
      <c r="PNH98" s="46"/>
      <c r="PNI98" s="46"/>
      <c r="PNJ98" s="46"/>
      <c r="PNK98" s="46"/>
      <c r="PNL98" s="46"/>
      <c r="PNM98" s="46"/>
      <c r="PNN98" s="46"/>
      <c r="PNO98" s="46"/>
      <c r="PNP98" s="46"/>
      <c r="PNQ98" s="46"/>
      <c r="PNR98" s="46"/>
      <c r="PNS98" s="46"/>
      <c r="PNT98" s="46"/>
      <c r="PNU98" s="46"/>
      <c r="PNV98" s="46"/>
      <c r="PNW98" s="46"/>
      <c r="PNX98" s="46"/>
      <c r="PNY98" s="46"/>
      <c r="PNZ98" s="46"/>
      <c r="POA98" s="46"/>
      <c r="POB98" s="46"/>
      <c r="POC98" s="46"/>
      <c r="POD98" s="46"/>
      <c r="POE98" s="46"/>
      <c r="POF98" s="46"/>
      <c r="POG98" s="46"/>
      <c r="POH98" s="46"/>
      <c r="POI98" s="46"/>
      <c r="POJ98" s="46"/>
      <c r="POK98" s="46"/>
      <c r="POL98" s="46"/>
      <c r="POM98" s="46"/>
      <c r="PON98" s="46"/>
      <c r="POO98" s="46"/>
      <c r="POP98" s="46"/>
      <c r="POQ98" s="46"/>
      <c r="POR98" s="46"/>
      <c r="POS98" s="46"/>
      <c r="POT98" s="46"/>
      <c r="POU98" s="46"/>
      <c r="POV98" s="46"/>
      <c r="POW98" s="46"/>
      <c r="POX98" s="46"/>
      <c r="POY98" s="46"/>
      <c r="POZ98" s="46"/>
      <c r="PPA98" s="46"/>
      <c r="PPB98" s="46"/>
      <c r="PPC98" s="46"/>
      <c r="PPD98" s="46"/>
      <c r="PPE98" s="46"/>
      <c r="PPF98" s="46"/>
      <c r="PPG98" s="46"/>
      <c r="PPH98" s="46"/>
      <c r="PPI98" s="46"/>
      <c r="PPJ98" s="46"/>
      <c r="PPK98" s="46"/>
      <c r="PPL98" s="46"/>
      <c r="PPM98" s="46"/>
      <c r="PPN98" s="46"/>
      <c r="PPO98" s="46"/>
      <c r="PPP98" s="46"/>
      <c r="PPQ98" s="46"/>
      <c r="PPR98" s="46"/>
      <c r="PPS98" s="46"/>
      <c r="PPT98" s="46"/>
      <c r="PPU98" s="46"/>
      <c r="PPV98" s="46"/>
      <c r="PPW98" s="46"/>
      <c r="PPX98" s="46"/>
      <c r="PPY98" s="46"/>
      <c r="PPZ98" s="46"/>
      <c r="PQA98" s="46"/>
      <c r="PQB98" s="46"/>
      <c r="PQC98" s="46"/>
      <c r="PQD98" s="46"/>
      <c r="PQE98" s="46"/>
      <c r="PQF98" s="46"/>
      <c r="PQG98" s="46"/>
      <c r="PQH98" s="46"/>
      <c r="PQI98" s="46"/>
      <c r="PQJ98" s="46"/>
      <c r="PQK98" s="46"/>
      <c r="PQL98" s="46"/>
      <c r="PQM98" s="46"/>
      <c r="PQN98" s="46"/>
      <c r="PQO98" s="46"/>
      <c r="PQP98" s="46"/>
      <c r="PQQ98" s="46"/>
      <c r="PQR98" s="46"/>
      <c r="PQS98" s="46"/>
      <c r="PQT98" s="46"/>
      <c r="PQU98" s="46"/>
      <c r="PQV98" s="46"/>
      <c r="PQW98" s="46"/>
      <c r="PQX98" s="46"/>
      <c r="PQY98" s="46"/>
      <c r="PQZ98" s="46"/>
      <c r="PRA98" s="46"/>
      <c r="PRB98" s="46"/>
      <c r="PRC98" s="46"/>
      <c r="PRD98" s="46"/>
      <c r="PRE98" s="46"/>
      <c r="PRF98" s="46"/>
      <c r="PRG98" s="46"/>
      <c r="PRH98" s="46"/>
      <c r="PRI98" s="46"/>
      <c r="PRJ98" s="46"/>
      <c r="PRK98" s="46"/>
      <c r="PRL98" s="46"/>
      <c r="PRM98" s="46"/>
      <c r="PRN98" s="46"/>
      <c r="PRO98" s="46"/>
      <c r="PRP98" s="46"/>
      <c r="PRQ98" s="46"/>
      <c r="PRR98" s="46"/>
      <c r="PRS98" s="46"/>
      <c r="PRT98" s="46"/>
      <c r="PRU98" s="46"/>
      <c r="PRV98" s="46"/>
      <c r="PRW98" s="46"/>
      <c r="PRX98" s="46"/>
      <c r="PRY98" s="46"/>
      <c r="PRZ98" s="46"/>
      <c r="PSA98" s="46"/>
      <c r="PSB98" s="46"/>
      <c r="PSC98" s="46"/>
      <c r="PSD98" s="46"/>
      <c r="PSE98" s="46"/>
      <c r="PSF98" s="46"/>
      <c r="PSG98" s="46"/>
      <c r="PSH98" s="46"/>
      <c r="PSI98" s="46"/>
      <c r="PSJ98" s="46"/>
      <c r="PSK98" s="46"/>
      <c r="PSL98" s="46"/>
      <c r="PSM98" s="46"/>
      <c r="PSN98" s="46"/>
      <c r="PSO98" s="46"/>
      <c r="PSP98" s="46"/>
      <c r="PSQ98" s="46"/>
      <c r="PSR98" s="46"/>
      <c r="PSS98" s="46"/>
      <c r="PST98" s="46"/>
      <c r="PSU98" s="46"/>
      <c r="PSV98" s="46"/>
      <c r="PSW98" s="46"/>
      <c r="PSX98" s="46"/>
      <c r="PSY98" s="46"/>
      <c r="PSZ98" s="46"/>
      <c r="PTA98" s="46"/>
      <c r="PTB98" s="46"/>
      <c r="PTC98" s="46"/>
      <c r="PTD98" s="46"/>
      <c r="PTE98" s="46"/>
      <c r="PTF98" s="46"/>
      <c r="PTG98" s="46"/>
      <c r="PTH98" s="46"/>
      <c r="PTI98" s="46"/>
      <c r="PTJ98" s="46"/>
      <c r="PTK98" s="46"/>
      <c r="PTL98" s="46"/>
      <c r="PTM98" s="46"/>
      <c r="PTN98" s="46"/>
      <c r="PTO98" s="46"/>
      <c r="PTP98" s="46"/>
      <c r="PTQ98" s="46"/>
      <c r="PTR98" s="46"/>
      <c r="PTS98" s="46"/>
      <c r="PTT98" s="46"/>
      <c r="PTU98" s="46"/>
      <c r="PTV98" s="46"/>
      <c r="PTW98" s="46"/>
      <c r="PTX98" s="46"/>
      <c r="PTY98" s="46"/>
      <c r="PTZ98" s="46"/>
      <c r="PUA98" s="46"/>
      <c r="PUB98" s="46"/>
      <c r="PUC98" s="46"/>
      <c r="PUD98" s="46"/>
      <c r="PUE98" s="46"/>
      <c r="PUF98" s="46"/>
      <c r="PUG98" s="46"/>
      <c r="PUH98" s="46"/>
      <c r="PUI98" s="46"/>
      <c r="PUJ98" s="46"/>
      <c r="PUK98" s="46"/>
      <c r="PUL98" s="46"/>
      <c r="PUM98" s="46"/>
      <c r="PUN98" s="46"/>
      <c r="PUO98" s="46"/>
      <c r="PUP98" s="46"/>
      <c r="PUQ98" s="46"/>
      <c r="PUR98" s="46"/>
      <c r="PUS98" s="46"/>
      <c r="PUT98" s="46"/>
      <c r="PUU98" s="46"/>
      <c r="PUV98" s="46"/>
      <c r="PUW98" s="46"/>
      <c r="PUX98" s="46"/>
      <c r="PUY98" s="46"/>
      <c r="PUZ98" s="46"/>
      <c r="PVA98" s="46"/>
      <c r="PVB98" s="46"/>
      <c r="PVC98" s="46"/>
      <c r="PVD98" s="46"/>
      <c r="PVE98" s="46"/>
      <c r="PVF98" s="46"/>
      <c r="PVG98" s="46"/>
      <c r="PVH98" s="46"/>
      <c r="PVI98" s="46"/>
      <c r="PVJ98" s="46"/>
      <c r="PVK98" s="46"/>
      <c r="PVL98" s="46"/>
      <c r="PVM98" s="46"/>
      <c r="PVN98" s="46"/>
      <c r="PVO98" s="46"/>
      <c r="PVP98" s="46"/>
      <c r="PVQ98" s="46"/>
      <c r="PVR98" s="46"/>
      <c r="PVS98" s="46"/>
      <c r="PVT98" s="46"/>
      <c r="PVU98" s="46"/>
      <c r="PVV98" s="46"/>
      <c r="PVW98" s="46"/>
      <c r="PVX98" s="46"/>
      <c r="PVY98" s="46"/>
      <c r="PVZ98" s="46"/>
      <c r="PWA98" s="46"/>
      <c r="PWB98" s="46"/>
      <c r="PWC98" s="46"/>
      <c r="PWD98" s="46"/>
      <c r="PWE98" s="46"/>
      <c r="PWF98" s="46"/>
      <c r="PWG98" s="46"/>
      <c r="PWH98" s="46"/>
      <c r="PWI98" s="46"/>
      <c r="PWJ98" s="46"/>
      <c r="PWK98" s="46"/>
      <c r="PWL98" s="46"/>
      <c r="PWM98" s="46"/>
      <c r="PWN98" s="46"/>
      <c r="PWO98" s="46"/>
      <c r="PWP98" s="46"/>
      <c r="PWQ98" s="46"/>
      <c r="PWR98" s="46"/>
      <c r="PWS98" s="46"/>
      <c r="PWT98" s="46"/>
      <c r="PWU98" s="46"/>
      <c r="PWV98" s="46"/>
      <c r="PWW98" s="46"/>
      <c r="PWX98" s="46"/>
      <c r="PWY98" s="46"/>
      <c r="PWZ98" s="46"/>
      <c r="PXA98" s="46"/>
      <c r="PXB98" s="46"/>
      <c r="PXC98" s="46"/>
      <c r="PXD98" s="46"/>
      <c r="PXE98" s="46"/>
      <c r="PXF98" s="46"/>
      <c r="PXG98" s="46"/>
      <c r="PXH98" s="46"/>
      <c r="PXI98" s="46"/>
      <c r="PXJ98" s="46"/>
      <c r="PXK98" s="46"/>
      <c r="PXL98" s="46"/>
      <c r="PXM98" s="46"/>
      <c r="PXN98" s="46"/>
      <c r="PXO98" s="46"/>
      <c r="PXP98" s="46"/>
      <c r="PXQ98" s="46"/>
      <c r="PXR98" s="46"/>
      <c r="PXS98" s="46"/>
      <c r="PXT98" s="46"/>
      <c r="PXU98" s="46"/>
      <c r="PXV98" s="46"/>
      <c r="PXW98" s="46"/>
      <c r="PXX98" s="46"/>
      <c r="PXY98" s="46"/>
      <c r="PXZ98" s="46"/>
      <c r="PYA98" s="46"/>
      <c r="PYB98" s="46"/>
      <c r="PYC98" s="46"/>
      <c r="PYD98" s="46"/>
      <c r="PYE98" s="46"/>
      <c r="PYF98" s="46"/>
      <c r="PYG98" s="46"/>
      <c r="PYH98" s="46"/>
      <c r="PYI98" s="46"/>
      <c r="PYJ98" s="46"/>
      <c r="PYK98" s="46"/>
      <c r="PYL98" s="46"/>
      <c r="PYM98" s="46"/>
      <c r="PYN98" s="46"/>
      <c r="PYO98" s="46"/>
      <c r="PYP98" s="46"/>
      <c r="PYQ98" s="46"/>
      <c r="PYR98" s="46"/>
      <c r="PYS98" s="46"/>
      <c r="PYT98" s="46"/>
      <c r="PYU98" s="46"/>
      <c r="PYV98" s="46"/>
      <c r="PYW98" s="46"/>
      <c r="PYX98" s="46"/>
      <c r="PYY98" s="46"/>
      <c r="PYZ98" s="46"/>
      <c r="PZA98" s="46"/>
      <c r="PZB98" s="46"/>
      <c r="PZC98" s="46"/>
      <c r="PZD98" s="46"/>
      <c r="PZE98" s="46"/>
      <c r="PZF98" s="46"/>
      <c r="PZG98" s="46"/>
      <c r="PZH98" s="46"/>
      <c r="PZI98" s="46"/>
      <c r="PZJ98" s="46"/>
      <c r="PZK98" s="46"/>
      <c r="PZL98" s="46"/>
      <c r="PZM98" s="46"/>
      <c r="PZN98" s="46"/>
      <c r="PZO98" s="46"/>
      <c r="PZP98" s="46"/>
      <c r="PZQ98" s="46"/>
      <c r="PZR98" s="46"/>
      <c r="PZS98" s="46"/>
      <c r="PZT98" s="46"/>
      <c r="PZU98" s="46"/>
      <c r="PZV98" s="46"/>
      <c r="PZW98" s="46"/>
      <c r="PZX98" s="46"/>
      <c r="PZY98" s="46"/>
      <c r="PZZ98" s="46"/>
      <c r="QAA98" s="46"/>
      <c r="QAB98" s="46"/>
      <c r="QAC98" s="46"/>
      <c r="QAD98" s="46"/>
      <c r="QAE98" s="46"/>
      <c r="QAF98" s="46"/>
      <c r="QAG98" s="46"/>
      <c r="QAH98" s="46"/>
      <c r="QAI98" s="46"/>
      <c r="QAJ98" s="46"/>
      <c r="QAK98" s="46"/>
      <c r="QAL98" s="46"/>
      <c r="QAM98" s="46"/>
      <c r="QAN98" s="46"/>
      <c r="QAO98" s="46"/>
      <c r="QAP98" s="46"/>
      <c r="QAQ98" s="46"/>
      <c r="QAR98" s="46"/>
      <c r="QAS98" s="46"/>
      <c r="QAT98" s="46"/>
      <c r="QAU98" s="46"/>
      <c r="QAV98" s="46"/>
      <c r="QAW98" s="46"/>
      <c r="QAX98" s="46"/>
      <c r="QAY98" s="46"/>
      <c r="QAZ98" s="46"/>
      <c r="QBA98" s="46"/>
      <c r="QBB98" s="46"/>
      <c r="QBC98" s="46"/>
      <c r="QBD98" s="46"/>
      <c r="QBE98" s="46"/>
      <c r="QBF98" s="46"/>
      <c r="QBG98" s="46"/>
      <c r="QBH98" s="46"/>
      <c r="QBI98" s="46"/>
      <c r="QBJ98" s="46"/>
      <c r="QBK98" s="46"/>
      <c r="QBL98" s="46"/>
      <c r="QBM98" s="46"/>
      <c r="QBN98" s="46"/>
      <c r="QBO98" s="46"/>
      <c r="QBP98" s="46"/>
      <c r="QBQ98" s="46"/>
      <c r="QBR98" s="46"/>
      <c r="QBS98" s="46"/>
      <c r="QBT98" s="46"/>
      <c r="QBU98" s="46"/>
      <c r="QBV98" s="46"/>
      <c r="QBW98" s="46"/>
      <c r="QBX98" s="46"/>
      <c r="QBY98" s="46"/>
      <c r="QBZ98" s="46"/>
      <c r="QCA98" s="46"/>
      <c r="QCB98" s="46"/>
      <c r="QCC98" s="46"/>
      <c r="QCD98" s="46"/>
      <c r="QCE98" s="46"/>
      <c r="QCF98" s="46"/>
      <c r="QCG98" s="46"/>
      <c r="QCH98" s="46"/>
      <c r="QCI98" s="46"/>
      <c r="QCJ98" s="46"/>
      <c r="QCK98" s="46"/>
      <c r="QCL98" s="46"/>
      <c r="QCM98" s="46"/>
      <c r="QCN98" s="46"/>
      <c r="QCO98" s="46"/>
      <c r="QCP98" s="46"/>
      <c r="QCQ98" s="46"/>
      <c r="QCR98" s="46"/>
      <c r="QCS98" s="46"/>
      <c r="QCT98" s="46"/>
      <c r="QCU98" s="46"/>
      <c r="QCV98" s="46"/>
      <c r="QCW98" s="46"/>
      <c r="QCX98" s="46"/>
      <c r="QCY98" s="46"/>
      <c r="QCZ98" s="46"/>
      <c r="QDA98" s="46"/>
      <c r="QDB98" s="46"/>
      <c r="QDC98" s="46"/>
      <c r="QDD98" s="46"/>
      <c r="QDE98" s="46"/>
      <c r="QDF98" s="46"/>
      <c r="QDG98" s="46"/>
      <c r="QDH98" s="46"/>
      <c r="QDI98" s="46"/>
      <c r="QDJ98" s="46"/>
      <c r="QDK98" s="46"/>
      <c r="QDL98" s="46"/>
      <c r="QDM98" s="46"/>
      <c r="QDN98" s="46"/>
      <c r="QDO98" s="46"/>
      <c r="QDP98" s="46"/>
      <c r="QDQ98" s="46"/>
      <c r="QDR98" s="46"/>
      <c r="QDS98" s="46"/>
      <c r="QDT98" s="46"/>
      <c r="QDU98" s="46"/>
      <c r="QDV98" s="46"/>
      <c r="QDW98" s="46"/>
      <c r="QDX98" s="46"/>
      <c r="QDY98" s="46"/>
      <c r="QDZ98" s="46"/>
      <c r="QEA98" s="46"/>
      <c r="QEB98" s="46"/>
      <c r="QEC98" s="46"/>
      <c r="QED98" s="46"/>
      <c r="QEE98" s="46"/>
      <c r="QEF98" s="46"/>
      <c r="QEG98" s="46"/>
      <c r="QEH98" s="46"/>
      <c r="QEI98" s="46"/>
      <c r="QEJ98" s="46"/>
      <c r="QEK98" s="46"/>
      <c r="QEL98" s="46"/>
      <c r="QEM98" s="46"/>
      <c r="QEN98" s="46"/>
      <c r="QEO98" s="46"/>
      <c r="QEP98" s="46"/>
      <c r="QEQ98" s="46"/>
      <c r="QER98" s="46"/>
      <c r="QES98" s="46"/>
      <c r="QET98" s="46"/>
      <c r="QEU98" s="46"/>
      <c r="QEV98" s="46"/>
      <c r="QEW98" s="46"/>
      <c r="QEX98" s="46"/>
      <c r="QEY98" s="46"/>
      <c r="QEZ98" s="46"/>
      <c r="QFA98" s="46"/>
      <c r="QFB98" s="46"/>
      <c r="QFC98" s="46"/>
      <c r="QFD98" s="46"/>
      <c r="QFE98" s="46"/>
      <c r="QFF98" s="46"/>
      <c r="QFG98" s="46"/>
      <c r="QFH98" s="46"/>
      <c r="QFI98" s="46"/>
      <c r="QFJ98" s="46"/>
      <c r="QFK98" s="46"/>
      <c r="QFL98" s="46"/>
      <c r="QFM98" s="46"/>
      <c r="QFN98" s="46"/>
      <c r="QFO98" s="46"/>
      <c r="QFP98" s="46"/>
      <c r="QFQ98" s="46"/>
      <c r="QFR98" s="46"/>
      <c r="QFS98" s="46"/>
      <c r="QFT98" s="46"/>
      <c r="QFU98" s="46"/>
      <c r="QFV98" s="46"/>
      <c r="QFW98" s="46"/>
      <c r="QFX98" s="46"/>
      <c r="QFY98" s="46"/>
      <c r="QFZ98" s="46"/>
      <c r="QGA98" s="46"/>
      <c r="QGB98" s="46"/>
      <c r="QGC98" s="46"/>
      <c r="QGD98" s="46"/>
      <c r="QGE98" s="46"/>
      <c r="QGF98" s="46"/>
      <c r="QGG98" s="46"/>
      <c r="QGH98" s="46"/>
      <c r="QGI98" s="46"/>
      <c r="QGJ98" s="46"/>
      <c r="QGK98" s="46"/>
      <c r="QGL98" s="46"/>
      <c r="QGM98" s="46"/>
      <c r="QGN98" s="46"/>
      <c r="QGO98" s="46"/>
      <c r="QGP98" s="46"/>
      <c r="QGQ98" s="46"/>
      <c r="QGR98" s="46"/>
      <c r="QGS98" s="46"/>
      <c r="QGT98" s="46"/>
      <c r="QGU98" s="46"/>
      <c r="QGV98" s="46"/>
      <c r="QGW98" s="46"/>
      <c r="QGX98" s="46"/>
      <c r="QGY98" s="46"/>
      <c r="QGZ98" s="46"/>
      <c r="QHA98" s="46"/>
      <c r="QHB98" s="46"/>
      <c r="QHC98" s="46"/>
      <c r="QHD98" s="46"/>
      <c r="QHE98" s="46"/>
      <c r="QHF98" s="46"/>
      <c r="QHG98" s="46"/>
      <c r="QHH98" s="46"/>
      <c r="QHI98" s="46"/>
      <c r="QHJ98" s="46"/>
      <c r="QHK98" s="46"/>
      <c r="QHL98" s="46"/>
      <c r="QHM98" s="46"/>
      <c r="QHN98" s="46"/>
      <c r="QHO98" s="46"/>
      <c r="QHP98" s="46"/>
      <c r="QHQ98" s="46"/>
      <c r="QHR98" s="46"/>
      <c r="QHS98" s="46"/>
      <c r="QHT98" s="46"/>
      <c r="QHU98" s="46"/>
      <c r="QHV98" s="46"/>
      <c r="QHW98" s="46"/>
      <c r="QHX98" s="46"/>
      <c r="QHY98" s="46"/>
      <c r="QHZ98" s="46"/>
      <c r="QIA98" s="46"/>
      <c r="QIB98" s="46"/>
      <c r="QIC98" s="46"/>
      <c r="QID98" s="46"/>
      <c r="QIE98" s="46"/>
      <c r="QIF98" s="46"/>
      <c r="QIG98" s="46"/>
      <c r="QIH98" s="46"/>
      <c r="QII98" s="46"/>
      <c r="QIJ98" s="46"/>
      <c r="QIK98" s="46"/>
      <c r="QIL98" s="46"/>
      <c r="QIM98" s="46"/>
      <c r="QIN98" s="46"/>
      <c r="QIO98" s="46"/>
      <c r="QIP98" s="46"/>
      <c r="QIQ98" s="46"/>
      <c r="QIR98" s="46"/>
      <c r="QIS98" s="46"/>
      <c r="QIT98" s="46"/>
      <c r="QIU98" s="46"/>
      <c r="QIV98" s="46"/>
      <c r="QIW98" s="46"/>
      <c r="QIX98" s="46"/>
      <c r="QIY98" s="46"/>
      <c r="QIZ98" s="46"/>
      <c r="QJA98" s="46"/>
      <c r="QJB98" s="46"/>
      <c r="QJC98" s="46"/>
      <c r="QJD98" s="46"/>
      <c r="QJE98" s="46"/>
      <c r="QJF98" s="46"/>
      <c r="QJG98" s="46"/>
      <c r="QJH98" s="46"/>
      <c r="QJI98" s="46"/>
      <c r="QJJ98" s="46"/>
      <c r="QJK98" s="46"/>
      <c r="QJL98" s="46"/>
      <c r="QJM98" s="46"/>
      <c r="QJN98" s="46"/>
      <c r="QJO98" s="46"/>
      <c r="QJP98" s="46"/>
      <c r="QJQ98" s="46"/>
      <c r="QJR98" s="46"/>
      <c r="QJS98" s="46"/>
      <c r="QJT98" s="46"/>
      <c r="QJU98" s="46"/>
      <c r="QJV98" s="46"/>
      <c r="QJW98" s="46"/>
      <c r="QJX98" s="46"/>
      <c r="QJY98" s="46"/>
      <c r="QJZ98" s="46"/>
      <c r="QKA98" s="46"/>
      <c r="QKB98" s="46"/>
      <c r="QKC98" s="46"/>
      <c r="QKD98" s="46"/>
      <c r="QKE98" s="46"/>
      <c r="QKF98" s="46"/>
      <c r="QKG98" s="46"/>
      <c r="QKH98" s="46"/>
      <c r="QKI98" s="46"/>
      <c r="QKJ98" s="46"/>
      <c r="QKK98" s="46"/>
      <c r="QKL98" s="46"/>
      <c r="QKM98" s="46"/>
      <c r="QKN98" s="46"/>
      <c r="QKO98" s="46"/>
      <c r="QKP98" s="46"/>
      <c r="QKQ98" s="46"/>
      <c r="QKR98" s="46"/>
      <c r="QKS98" s="46"/>
      <c r="QKT98" s="46"/>
      <c r="QKU98" s="46"/>
      <c r="QKV98" s="46"/>
      <c r="QKW98" s="46"/>
      <c r="QKX98" s="46"/>
      <c r="QKY98" s="46"/>
      <c r="QKZ98" s="46"/>
      <c r="QLA98" s="46"/>
      <c r="QLB98" s="46"/>
      <c r="QLC98" s="46"/>
      <c r="QLD98" s="46"/>
      <c r="QLE98" s="46"/>
      <c r="QLF98" s="46"/>
      <c r="QLG98" s="46"/>
      <c r="QLH98" s="46"/>
      <c r="QLI98" s="46"/>
      <c r="QLJ98" s="46"/>
      <c r="QLK98" s="46"/>
      <c r="QLL98" s="46"/>
      <c r="QLM98" s="46"/>
      <c r="QLN98" s="46"/>
      <c r="QLO98" s="46"/>
      <c r="QLP98" s="46"/>
      <c r="QLQ98" s="46"/>
      <c r="QLR98" s="46"/>
      <c r="QLS98" s="46"/>
      <c r="QLT98" s="46"/>
      <c r="QLU98" s="46"/>
      <c r="QLV98" s="46"/>
      <c r="QLW98" s="46"/>
      <c r="QLX98" s="46"/>
      <c r="QLY98" s="46"/>
      <c r="QLZ98" s="46"/>
      <c r="QMA98" s="46"/>
      <c r="QMB98" s="46"/>
      <c r="QMC98" s="46"/>
      <c r="QMD98" s="46"/>
      <c r="QME98" s="46"/>
      <c r="QMF98" s="46"/>
      <c r="QMG98" s="46"/>
      <c r="QMH98" s="46"/>
      <c r="QMI98" s="46"/>
      <c r="QMJ98" s="46"/>
      <c r="QMK98" s="46"/>
      <c r="QML98" s="46"/>
      <c r="QMM98" s="46"/>
      <c r="QMN98" s="46"/>
      <c r="QMO98" s="46"/>
      <c r="QMP98" s="46"/>
      <c r="QMQ98" s="46"/>
      <c r="QMR98" s="46"/>
      <c r="QMS98" s="46"/>
      <c r="QMT98" s="46"/>
      <c r="QMU98" s="46"/>
      <c r="QMV98" s="46"/>
      <c r="QMW98" s="46"/>
      <c r="QMX98" s="46"/>
      <c r="QMY98" s="46"/>
      <c r="QMZ98" s="46"/>
      <c r="QNA98" s="46"/>
      <c r="QNB98" s="46"/>
      <c r="QNC98" s="46"/>
      <c r="QND98" s="46"/>
      <c r="QNE98" s="46"/>
      <c r="QNF98" s="46"/>
      <c r="QNG98" s="46"/>
      <c r="QNH98" s="46"/>
      <c r="QNI98" s="46"/>
      <c r="QNJ98" s="46"/>
      <c r="QNK98" s="46"/>
      <c r="QNL98" s="46"/>
      <c r="QNM98" s="46"/>
      <c r="QNN98" s="46"/>
      <c r="QNO98" s="46"/>
      <c r="QNP98" s="46"/>
      <c r="QNQ98" s="46"/>
      <c r="QNR98" s="46"/>
      <c r="QNS98" s="46"/>
      <c r="QNT98" s="46"/>
      <c r="QNU98" s="46"/>
      <c r="QNV98" s="46"/>
      <c r="QNW98" s="46"/>
      <c r="QNX98" s="46"/>
      <c r="QNY98" s="46"/>
      <c r="QNZ98" s="46"/>
      <c r="QOA98" s="46"/>
      <c r="QOB98" s="46"/>
      <c r="QOC98" s="46"/>
      <c r="QOD98" s="46"/>
      <c r="QOE98" s="46"/>
      <c r="QOF98" s="46"/>
      <c r="QOG98" s="46"/>
      <c r="QOH98" s="46"/>
      <c r="QOI98" s="46"/>
      <c r="QOJ98" s="46"/>
      <c r="QOK98" s="46"/>
      <c r="QOL98" s="46"/>
      <c r="QOM98" s="46"/>
      <c r="QON98" s="46"/>
      <c r="QOO98" s="46"/>
      <c r="QOP98" s="46"/>
      <c r="QOQ98" s="46"/>
      <c r="QOR98" s="46"/>
      <c r="QOS98" s="46"/>
      <c r="QOT98" s="46"/>
      <c r="QOU98" s="46"/>
      <c r="QOV98" s="46"/>
      <c r="QOW98" s="46"/>
      <c r="QOX98" s="46"/>
      <c r="QOY98" s="46"/>
      <c r="QOZ98" s="46"/>
      <c r="QPA98" s="46"/>
      <c r="QPB98" s="46"/>
      <c r="QPC98" s="46"/>
      <c r="QPD98" s="46"/>
      <c r="QPE98" s="46"/>
      <c r="QPF98" s="46"/>
      <c r="QPG98" s="46"/>
      <c r="QPH98" s="46"/>
      <c r="QPI98" s="46"/>
      <c r="QPJ98" s="46"/>
      <c r="QPK98" s="46"/>
      <c r="QPL98" s="46"/>
      <c r="QPM98" s="46"/>
      <c r="QPN98" s="46"/>
      <c r="QPO98" s="46"/>
      <c r="QPP98" s="46"/>
      <c r="QPQ98" s="46"/>
      <c r="QPR98" s="46"/>
      <c r="QPS98" s="46"/>
      <c r="QPT98" s="46"/>
      <c r="QPU98" s="46"/>
      <c r="QPV98" s="46"/>
      <c r="QPW98" s="46"/>
      <c r="QPX98" s="46"/>
      <c r="QPY98" s="46"/>
      <c r="QPZ98" s="46"/>
      <c r="QQA98" s="46"/>
      <c r="QQB98" s="46"/>
      <c r="QQC98" s="46"/>
      <c r="QQD98" s="46"/>
      <c r="QQE98" s="46"/>
      <c r="QQF98" s="46"/>
      <c r="QQG98" s="46"/>
      <c r="QQH98" s="46"/>
      <c r="QQI98" s="46"/>
      <c r="QQJ98" s="46"/>
      <c r="QQK98" s="46"/>
      <c r="QQL98" s="46"/>
      <c r="QQM98" s="46"/>
      <c r="QQN98" s="46"/>
      <c r="QQO98" s="46"/>
      <c r="QQP98" s="46"/>
      <c r="QQQ98" s="46"/>
      <c r="QQR98" s="46"/>
      <c r="QQS98" s="46"/>
      <c r="QQT98" s="46"/>
      <c r="QQU98" s="46"/>
      <c r="QQV98" s="46"/>
      <c r="QQW98" s="46"/>
      <c r="QQX98" s="46"/>
      <c r="QQY98" s="46"/>
      <c r="QQZ98" s="46"/>
      <c r="QRA98" s="46"/>
      <c r="QRB98" s="46"/>
      <c r="QRC98" s="46"/>
      <c r="QRD98" s="46"/>
      <c r="QRE98" s="46"/>
      <c r="QRF98" s="46"/>
      <c r="QRG98" s="46"/>
      <c r="QRH98" s="46"/>
      <c r="QRI98" s="46"/>
      <c r="QRJ98" s="46"/>
      <c r="QRK98" s="46"/>
      <c r="QRL98" s="46"/>
      <c r="QRM98" s="46"/>
      <c r="QRN98" s="46"/>
      <c r="QRO98" s="46"/>
      <c r="QRP98" s="46"/>
      <c r="QRQ98" s="46"/>
      <c r="QRR98" s="46"/>
      <c r="QRS98" s="46"/>
      <c r="QRT98" s="46"/>
      <c r="QRU98" s="46"/>
      <c r="QRV98" s="46"/>
      <c r="QRW98" s="46"/>
      <c r="QRX98" s="46"/>
      <c r="QRY98" s="46"/>
      <c r="QRZ98" s="46"/>
      <c r="QSA98" s="46"/>
      <c r="QSB98" s="46"/>
      <c r="QSC98" s="46"/>
      <c r="QSD98" s="46"/>
      <c r="QSE98" s="46"/>
      <c r="QSF98" s="46"/>
      <c r="QSG98" s="46"/>
      <c r="QSH98" s="46"/>
      <c r="QSI98" s="46"/>
      <c r="QSJ98" s="46"/>
      <c r="QSK98" s="46"/>
      <c r="QSL98" s="46"/>
      <c r="QSM98" s="46"/>
      <c r="QSN98" s="46"/>
      <c r="QSO98" s="46"/>
      <c r="QSP98" s="46"/>
      <c r="QSQ98" s="46"/>
      <c r="QSR98" s="46"/>
      <c r="QSS98" s="46"/>
      <c r="QST98" s="46"/>
      <c r="QSU98" s="46"/>
      <c r="QSV98" s="46"/>
      <c r="QSW98" s="46"/>
      <c r="QSX98" s="46"/>
      <c r="QSY98" s="46"/>
      <c r="QSZ98" s="46"/>
      <c r="QTA98" s="46"/>
      <c r="QTB98" s="46"/>
      <c r="QTC98" s="46"/>
      <c r="QTD98" s="46"/>
      <c r="QTE98" s="46"/>
      <c r="QTF98" s="46"/>
      <c r="QTG98" s="46"/>
      <c r="QTH98" s="46"/>
      <c r="QTI98" s="46"/>
      <c r="QTJ98" s="46"/>
      <c r="QTK98" s="46"/>
      <c r="QTL98" s="46"/>
      <c r="QTM98" s="46"/>
      <c r="QTN98" s="46"/>
      <c r="QTO98" s="46"/>
      <c r="QTP98" s="46"/>
      <c r="QTQ98" s="46"/>
      <c r="QTR98" s="46"/>
      <c r="QTS98" s="46"/>
      <c r="QTT98" s="46"/>
      <c r="QTU98" s="46"/>
      <c r="QTV98" s="46"/>
      <c r="QTW98" s="46"/>
      <c r="QTX98" s="46"/>
      <c r="QTY98" s="46"/>
      <c r="QTZ98" s="46"/>
      <c r="QUA98" s="46"/>
      <c r="QUB98" s="46"/>
      <c r="QUC98" s="46"/>
      <c r="QUD98" s="46"/>
      <c r="QUE98" s="46"/>
      <c r="QUF98" s="46"/>
      <c r="QUG98" s="46"/>
      <c r="QUH98" s="46"/>
      <c r="QUI98" s="46"/>
      <c r="QUJ98" s="46"/>
      <c r="QUK98" s="46"/>
      <c r="QUL98" s="46"/>
      <c r="QUM98" s="46"/>
      <c r="QUN98" s="46"/>
      <c r="QUO98" s="46"/>
      <c r="QUP98" s="46"/>
      <c r="QUQ98" s="46"/>
      <c r="QUR98" s="46"/>
      <c r="QUS98" s="46"/>
      <c r="QUT98" s="46"/>
      <c r="QUU98" s="46"/>
      <c r="QUV98" s="46"/>
      <c r="QUW98" s="46"/>
      <c r="QUX98" s="46"/>
      <c r="QUY98" s="46"/>
      <c r="QUZ98" s="46"/>
      <c r="QVA98" s="46"/>
      <c r="QVB98" s="46"/>
      <c r="QVC98" s="46"/>
      <c r="QVD98" s="46"/>
      <c r="QVE98" s="46"/>
      <c r="QVF98" s="46"/>
      <c r="QVG98" s="46"/>
      <c r="QVH98" s="46"/>
      <c r="QVI98" s="46"/>
      <c r="QVJ98" s="46"/>
      <c r="QVK98" s="46"/>
      <c r="QVL98" s="46"/>
      <c r="QVM98" s="46"/>
      <c r="QVN98" s="46"/>
      <c r="QVO98" s="46"/>
      <c r="QVP98" s="46"/>
      <c r="QVQ98" s="46"/>
      <c r="QVR98" s="46"/>
      <c r="QVS98" s="46"/>
      <c r="QVT98" s="46"/>
      <c r="QVU98" s="46"/>
      <c r="QVV98" s="46"/>
      <c r="QVW98" s="46"/>
      <c r="QVX98" s="46"/>
      <c r="QVY98" s="46"/>
      <c r="QVZ98" s="46"/>
      <c r="QWA98" s="46"/>
      <c r="QWB98" s="46"/>
      <c r="QWC98" s="46"/>
      <c r="QWD98" s="46"/>
      <c r="QWE98" s="46"/>
      <c r="QWF98" s="46"/>
      <c r="QWG98" s="46"/>
      <c r="QWH98" s="46"/>
      <c r="QWI98" s="46"/>
      <c r="QWJ98" s="46"/>
      <c r="QWK98" s="46"/>
      <c r="QWL98" s="46"/>
      <c r="QWM98" s="46"/>
      <c r="QWN98" s="46"/>
      <c r="QWO98" s="46"/>
      <c r="QWP98" s="46"/>
      <c r="QWQ98" s="46"/>
      <c r="QWR98" s="46"/>
      <c r="QWS98" s="46"/>
      <c r="QWT98" s="46"/>
      <c r="QWU98" s="46"/>
      <c r="QWV98" s="46"/>
      <c r="QWW98" s="46"/>
      <c r="QWX98" s="46"/>
      <c r="QWY98" s="46"/>
      <c r="QWZ98" s="46"/>
      <c r="QXA98" s="46"/>
      <c r="QXB98" s="46"/>
      <c r="QXC98" s="46"/>
      <c r="QXD98" s="46"/>
      <c r="QXE98" s="46"/>
      <c r="QXF98" s="46"/>
      <c r="QXG98" s="46"/>
      <c r="QXH98" s="46"/>
      <c r="QXI98" s="46"/>
      <c r="QXJ98" s="46"/>
      <c r="QXK98" s="46"/>
      <c r="QXL98" s="46"/>
      <c r="QXM98" s="46"/>
      <c r="QXN98" s="46"/>
      <c r="QXO98" s="46"/>
      <c r="QXP98" s="46"/>
      <c r="QXQ98" s="46"/>
      <c r="QXR98" s="46"/>
      <c r="QXS98" s="46"/>
      <c r="QXT98" s="46"/>
      <c r="QXU98" s="46"/>
      <c r="QXV98" s="46"/>
      <c r="QXW98" s="46"/>
      <c r="QXX98" s="46"/>
      <c r="QXY98" s="46"/>
      <c r="QXZ98" s="46"/>
      <c r="QYA98" s="46"/>
      <c r="QYB98" s="46"/>
      <c r="QYC98" s="46"/>
      <c r="QYD98" s="46"/>
      <c r="QYE98" s="46"/>
      <c r="QYF98" s="46"/>
      <c r="QYG98" s="46"/>
      <c r="QYH98" s="46"/>
      <c r="QYI98" s="46"/>
      <c r="QYJ98" s="46"/>
      <c r="QYK98" s="46"/>
      <c r="QYL98" s="46"/>
      <c r="QYM98" s="46"/>
      <c r="QYN98" s="46"/>
      <c r="QYO98" s="46"/>
      <c r="QYP98" s="46"/>
      <c r="QYQ98" s="46"/>
      <c r="QYR98" s="46"/>
      <c r="QYS98" s="46"/>
      <c r="QYT98" s="46"/>
      <c r="QYU98" s="46"/>
      <c r="QYV98" s="46"/>
      <c r="QYW98" s="46"/>
      <c r="QYX98" s="46"/>
      <c r="QYY98" s="46"/>
      <c r="QYZ98" s="46"/>
      <c r="QZA98" s="46"/>
      <c r="QZB98" s="46"/>
      <c r="QZC98" s="46"/>
      <c r="QZD98" s="46"/>
      <c r="QZE98" s="46"/>
      <c r="QZF98" s="46"/>
      <c r="QZG98" s="46"/>
      <c r="QZH98" s="46"/>
      <c r="QZI98" s="46"/>
      <c r="QZJ98" s="46"/>
      <c r="QZK98" s="46"/>
      <c r="QZL98" s="46"/>
      <c r="QZM98" s="46"/>
      <c r="QZN98" s="46"/>
      <c r="QZO98" s="46"/>
      <c r="QZP98" s="46"/>
      <c r="QZQ98" s="46"/>
      <c r="QZR98" s="46"/>
      <c r="QZS98" s="46"/>
      <c r="QZT98" s="46"/>
      <c r="QZU98" s="46"/>
      <c r="QZV98" s="46"/>
      <c r="QZW98" s="46"/>
      <c r="QZX98" s="46"/>
      <c r="QZY98" s="46"/>
      <c r="QZZ98" s="46"/>
      <c r="RAA98" s="46"/>
      <c r="RAB98" s="46"/>
      <c r="RAC98" s="46"/>
      <c r="RAD98" s="46"/>
      <c r="RAE98" s="46"/>
      <c r="RAF98" s="46"/>
      <c r="RAG98" s="46"/>
      <c r="RAH98" s="46"/>
      <c r="RAI98" s="46"/>
      <c r="RAJ98" s="46"/>
      <c r="RAK98" s="46"/>
      <c r="RAL98" s="46"/>
      <c r="RAM98" s="46"/>
      <c r="RAN98" s="46"/>
      <c r="RAO98" s="46"/>
      <c r="RAP98" s="46"/>
      <c r="RAQ98" s="46"/>
      <c r="RAR98" s="46"/>
      <c r="RAS98" s="46"/>
      <c r="RAT98" s="46"/>
      <c r="RAU98" s="46"/>
      <c r="RAV98" s="46"/>
      <c r="RAW98" s="46"/>
      <c r="RAX98" s="46"/>
      <c r="RAY98" s="46"/>
      <c r="RAZ98" s="46"/>
      <c r="RBA98" s="46"/>
      <c r="RBB98" s="46"/>
      <c r="RBC98" s="46"/>
      <c r="RBD98" s="46"/>
      <c r="RBE98" s="46"/>
      <c r="RBF98" s="46"/>
      <c r="RBG98" s="46"/>
      <c r="RBH98" s="46"/>
      <c r="RBI98" s="46"/>
      <c r="RBJ98" s="46"/>
      <c r="RBK98" s="46"/>
      <c r="RBL98" s="46"/>
      <c r="RBM98" s="46"/>
      <c r="RBN98" s="46"/>
      <c r="RBO98" s="46"/>
      <c r="RBP98" s="46"/>
      <c r="RBQ98" s="46"/>
      <c r="RBR98" s="46"/>
      <c r="RBS98" s="46"/>
      <c r="RBT98" s="46"/>
      <c r="RBU98" s="46"/>
      <c r="RBV98" s="46"/>
      <c r="RBW98" s="46"/>
      <c r="RBX98" s="46"/>
      <c r="RBY98" s="46"/>
      <c r="RBZ98" s="46"/>
      <c r="RCA98" s="46"/>
      <c r="RCB98" s="46"/>
      <c r="RCC98" s="46"/>
      <c r="RCD98" s="46"/>
      <c r="RCE98" s="46"/>
      <c r="RCF98" s="46"/>
      <c r="RCG98" s="46"/>
      <c r="RCH98" s="46"/>
      <c r="RCI98" s="46"/>
      <c r="RCJ98" s="46"/>
      <c r="RCK98" s="46"/>
      <c r="RCL98" s="46"/>
      <c r="RCM98" s="46"/>
      <c r="RCN98" s="46"/>
      <c r="RCO98" s="46"/>
      <c r="RCP98" s="46"/>
      <c r="RCQ98" s="46"/>
      <c r="RCR98" s="46"/>
      <c r="RCS98" s="46"/>
      <c r="RCT98" s="46"/>
      <c r="RCU98" s="46"/>
      <c r="RCV98" s="46"/>
      <c r="RCW98" s="46"/>
      <c r="RCX98" s="46"/>
      <c r="RCY98" s="46"/>
      <c r="RCZ98" s="46"/>
      <c r="RDA98" s="46"/>
      <c r="RDB98" s="46"/>
      <c r="RDC98" s="46"/>
      <c r="RDD98" s="46"/>
      <c r="RDE98" s="46"/>
      <c r="RDF98" s="46"/>
      <c r="RDG98" s="46"/>
      <c r="RDH98" s="46"/>
      <c r="RDI98" s="46"/>
      <c r="RDJ98" s="46"/>
      <c r="RDK98" s="46"/>
      <c r="RDL98" s="46"/>
      <c r="RDM98" s="46"/>
      <c r="RDN98" s="46"/>
      <c r="RDO98" s="46"/>
      <c r="RDP98" s="46"/>
      <c r="RDQ98" s="46"/>
      <c r="RDR98" s="46"/>
      <c r="RDS98" s="46"/>
      <c r="RDT98" s="46"/>
      <c r="RDU98" s="46"/>
      <c r="RDV98" s="46"/>
      <c r="RDW98" s="46"/>
      <c r="RDX98" s="46"/>
      <c r="RDY98" s="46"/>
      <c r="RDZ98" s="46"/>
      <c r="REA98" s="46"/>
      <c r="REB98" s="46"/>
      <c r="REC98" s="46"/>
      <c r="RED98" s="46"/>
      <c r="REE98" s="46"/>
      <c r="REF98" s="46"/>
      <c r="REG98" s="46"/>
      <c r="REH98" s="46"/>
      <c r="REI98" s="46"/>
      <c r="REJ98" s="46"/>
      <c r="REK98" s="46"/>
      <c r="REL98" s="46"/>
      <c r="REM98" s="46"/>
      <c r="REN98" s="46"/>
      <c r="REO98" s="46"/>
      <c r="REP98" s="46"/>
      <c r="REQ98" s="46"/>
      <c r="RER98" s="46"/>
      <c r="RES98" s="46"/>
      <c r="RET98" s="46"/>
      <c r="REU98" s="46"/>
      <c r="REV98" s="46"/>
      <c r="REW98" s="46"/>
      <c r="REX98" s="46"/>
      <c r="REY98" s="46"/>
      <c r="REZ98" s="46"/>
      <c r="RFA98" s="46"/>
      <c r="RFB98" s="46"/>
      <c r="RFC98" s="46"/>
      <c r="RFD98" s="46"/>
      <c r="RFE98" s="46"/>
      <c r="RFF98" s="46"/>
      <c r="RFG98" s="46"/>
      <c r="RFH98" s="46"/>
      <c r="RFI98" s="46"/>
      <c r="RFJ98" s="46"/>
      <c r="RFK98" s="46"/>
      <c r="RFL98" s="46"/>
      <c r="RFM98" s="46"/>
      <c r="RFN98" s="46"/>
      <c r="RFO98" s="46"/>
      <c r="RFP98" s="46"/>
      <c r="RFQ98" s="46"/>
      <c r="RFR98" s="46"/>
      <c r="RFS98" s="46"/>
      <c r="RFT98" s="46"/>
      <c r="RFU98" s="46"/>
      <c r="RFV98" s="46"/>
      <c r="RFW98" s="46"/>
      <c r="RFX98" s="46"/>
      <c r="RFY98" s="46"/>
      <c r="RFZ98" s="46"/>
      <c r="RGA98" s="46"/>
      <c r="RGB98" s="46"/>
      <c r="RGC98" s="46"/>
      <c r="RGD98" s="46"/>
      <c r="RGE98" s="46"/>
      <c r="RGF98" s="46"/>
      <c r="RGG98" s="46"/>
      <c r="RGH98" s="46"/>
      <c r="RGI98" s="46"/>
      <c r="RGJ98" s="46"/>
      <c r="RGK98" s="46"/>
      <c r="RGL98" s="46"/>
      <c r="RGM98" s="46"/>
      <c r="RGN98" s="46"/>
      <c r="RGO98" s="46"/>
      <c r="RGP98" s="46"/>
      <c r="RGQ98" s="46"/>
      <c r="RGR98" s="46"/>
      <c r="RGS98" s="46"/>
      <c r="RGT98" s="46"/>
      <c r="RGU98" s="46"/>
      <c r="RGV98" s="46"/>
      <c r="RGW98" s="46"/>
      <c r="RGX98" s="46"/>
      <c r="RGY98" s="46"/>
      <c r="RGZ98" s="46"/>
      <c r="RHA98" s="46"/>
      <c r="RHB98" s="46"/>
      <c r="RHC98" s="46"/>
      <c r="RHD98" s="46"/>
      <c r="RHE98" s="46"/>
      <c r="RHF98" s="46"/>
      <c r="RHG98" s="46"/>
      <c r="RHH98" s="46"/>
      <c r="RHI98" s="46"/>
      <c r="RHJ98" s="46"/>
      <c r="RHK98" s="46"/>
      <c r="RHL98" s="46"/>
      <c r="RHM98" s="46"/>
      <c r="RHN98" s="46"/>
      <c r="RHO98" s="46"/>
      <c r="RHP98" s="46"/>
      <c r="RHQ98" s="46"/>
      <c r="RHR98" s="46"/>
      <c r="RHS98" s="46"/>
      <c r="RHT98" s="46"/>
      <c r="RHU98" s="46"/>
      <c r="RHV98" s="46"/>
      <c r="RHW98" s="46"/>
      <c r="RHX98" s="46"/>
      <c r="RHY98" s="46"/>
      <c r="RHZ98" s="46"/>
      <c r="RIA98" s="46"/>
      <c r="RIB98" s="46"/>
      <c r="RIC98" s="46"/>
      <c r="RID98" s="46"/>
      <c r="RIE98" s="46"/>
      <c r="RIF98" s="46"/>
      <c r="RIG98" s="46"/>
      <c r="RIH98" s="46"/>
      <c r="RII98" s="46"/>
      <c r="RIJ98" s="46"/>
      <c r="RIK98" s="46"/>
      <c r="RIL98" s="46"/>
      <c r="RIM98" s="46"/>
      <c r="RIN98" s="46"/>
      <c r="RIO98" s="46"/>
      <c r="RIP98" s="46"/>
      <c r="RIQ98" s="46"/>
      <c r="RIR98" s="46"/>
      <c r="RIS98" s="46"/>
      <c r="RIT98" s="46"/>
      <c r="RIU98" s="46"/>
      <c r="RIV98" s="46"/>
      <c r="RIW98" s="46"/>
      <c r="RIX98" s="46"/>
      <c r="RIY98" s="46"/>
      <c r="RIZ98" s="46"/>
      <c r="RJA98" s="46"/>
      <c r="RJB98" s="46"/>
      <c r="RJC98" s="46"/>
      <c r="RJD98" s="46"/>
      <c r="RJE98" s="46"/>
      <c r="RJF98" s="46"/>
      <c r="RJG98" s="46"/>
      <c r="RJH98" s="46"/>
      <c r="RJI98" s="46"/>
      <c r="RJJ98" s="46"/>
      <c r="RJK98" s="46"/>
      <c r="RJL98" s="46"/>
      <c r="RJM98" s="46"/>
      <c r="RJN98" s="46"/>
      <c r="RJO98" s="46"/>
      <c r="RJP98" s="46"/>
      <c r="RJQ98" s="46"/>
      <c r="RJR98" s="46"/>
      <c r="RJS98" s="46"/>
      <c r="RJT98" s="46"/>
      <c r="RJU98" s="46"/>
      <c r="RJV98" s="46"/>
      <c r="RJW98" s="46"/>
      <c r="RJX98" s="46"/>
      <c r="RJY98" s="46"/>
      <c r="RJZ98" s="46"/>
      <c r="RKA98" s="46"/>
      <c r="RKB98" s="46"/>
      <c r="RKC98" s="46"/>
      <c r="RKD98" s="46"/>
      <c r="RKE98" s="46"/>
      <c r="RKF98" s="46"/>
      <c r="RKG98" s="46"/>
      <c r="RKH98" s="46"/>
      <c r="RKI98" s="46"/>
      <c r="RKJ98" s="46"/>
      <c r="RKK98" s="46"/>
      <c r="RKL98" s="46"/>
      <c r="RKM98" s="46"/>
      <c r="RKN98" s="46"/>
      <c r="RKO98" s="46"/>
      <c r="RKP98" s="46"/>
      <c r="RKQ98" s="46"/>
      <c r="RKR98" s="46"/>
      <c r="RKS98" s="46"/>
      <c r="RKT98" s="46"/>
      <c r="RKU98" s="46"/>
      <c r="RKV98" s="46"/>
      <c r="RKW98" s="46"/>
      <c r="RKX98" s="46"/>
      <c r="RKY98" s="46"/>
      <c r="RKZ98" s="46"/>
      <c r="RLA98" s="46"/>
      <c r="RLB98" s="46"/>
      <c r="RLC98" s="46"/>
      <c r="RLD98" s="46"/>
      <c r="RLE98" s="46"/>
      <c r="RLF98" s="46"/>
      <c r="RLG98" s="46"/>
      <c r="RLH98" s="46"/>
      <c r="RLI98" s="46"/>
      <c r="RLJ98" s="46"/>
      <c r="RLK98" s="46"/>
      <c r="RLL98" s="46"/>
      <c r="RLM98" s="46"/>
      <c r="RLN98" s="46"/>
      <c r="RLO98" s="46"/>
      <c r="RLP98" s="46"/>
      <c r="RLQ98" s="46"/>
      <c r="RLR98" s="46"/>
      <c r="RLS98" s="46"/>
      <c r="RLT98" s="46"/>
      <c r="RLU98" s="46"/>
      <c r="RLV98" s="46"/>
      <c r="RLW98" s="46"/>
      <c r="RLX98" s="46"/>
      <c r="RLY98" s="46"/>
      <c r="RLZ98" s="46"/>
      <c r="RMA98" s="46"/>
      <c r="RMB98" s="46"/>
      <c r="RMC98" s="46"/>
      <c r="RMD98" s="46"/>
      <c r="RME98" s="46"/>
      <c r="RMF98" s="46"/>
      <c r="RMG98" s="46"/>
      <c r="RMH98" s="46"/>
      <c r="RMI98" s="46"/>
      <c r="RMJ98" s="46"/>
      <c r="RMK98" s="46"/>
      <c r="RML98" s="46"/>
      <c r="RMM98" s="46"/>
      <c r="RMN98" s="46"/>
      <c r="RMO98" s="46"/>
      <c r="RMP98" s="46"/>
      <c r="RMQ98" s="46"/>
      <c r="RMR98" s="46"/>
      <c r="RMS98" s="46"/>
      <c r="RMT98" s="46"/>
      <c r="RMU98" s="46"/>
      <c r="RMV98" s="46"/>
      <c r="RMW98" s="46"/>
      <c r="RMX98" s="46"/>
      <c r="RMY98" s="46"/>
      <c r="RMZ98" s="46"/>
      <c r="RNA98" s="46"/>
      <c r="RNB98" s="46"/>
      <c r="RNC98" s="46"/>
      <c r="RND98" s="46"/>
      <c r="RNE98" s="46"/>
      <c r="RNF98" s="46"/>
      <c r="RNG98" s="46"/>
      <c r="RNH98" s="46"/>
      <c r="RNI98" s="46"/>
      <c r="RNJ98" s="46"/>
      <c r="RNK98" s="46"/>
      <c r="RNL98" s="46"/>
      <c r="RNM98" s="46"/>
      <c r="RNN98" s="46"/>
      <c r="RNO98" s="46"/>
      <c r="RNP98" s="46"/>
      <c r="RNQ98" s="46"/>
      <c r="RNR98" s="46"/>
      <c r="RNS98" s="46"/>
      <c r="RNT98" s="46"/>
      <c r="RNU98" s="46"/>
      <c r="RNV98" s="46"/>
      <c r="RNW98" s="46"/>
      <c r="RNX98" s="46"/>
      <c r="RNY98" s="46"/>
      <c r="RNZ98" s="46"/>
      <c r="ROA98" s="46"/>
      <c r="ROB98" s="46"/>
      <c r="ROC98" s="46"/>
      <c r="ROD98" s="46"/>
      <c r="ROE98" s="46"/>
      <c r="ROF98" s="46"/>
      <c r="ROG98" s="46"/>
      <c r="ROH98" s="46"/>
      <c r="ROI98" s="46"/>
      <c r="ROJ98" s="46"/>
      <c r="ROK98" s="46"/>
      <c r="ROL98" s="46"/>
      <c r="ROM98" s="46"/>
      <c r="RON98" s="46"/>
      <c r="ROO98" s="46"/>
      <c r="ROP98" s="46"/>
      <c r="ROQ98" s="46"/>
      <c r="ROR98" s="46"/>
      <c r="ROS98" s="46"/>
      <c r="ROT98" s="46"/>
      <c r="ROU98" s="46"/>
      <c r="ROV98" s="46"/>
      <c r="ROW98" s="46"/>
      <c r="ROX98" s="46"/>
      <c r="ROY98" s="46"/>
      <c r="ROZ98" s="46"/>
      <c r="RPA98" s="46"/>
      <c r="RPB98" s="46"/>
      <c r="RPC98" s="46"/>
      <c r="RPD98" s="46"/>
      <c r="RPE98" s="46"/>
      <c r="RPF98" s="46"/>
      <c r="RPG98" s="46"/>
      <c r="RPH98" s="46"/>
      <c r="RPI98" s="46"/>
      <c r="RPJ98" s="46"/>
      <c r="RPK98" s="46"/>
      <c r="RPL98" s="46"/>
      <c r="RPM98" s="46"/>
      <c r="RPN98" s="46"/>
      <c r="RPO98" s="46"/>
      <c r="RPP98" s="46"/>
      <c r="RPQ98" s="46"/>
      <c r="RPR98" s="46"/>
      <c r="RPS98" s="46"/>
      <c r="RPT98" s="46"/>
      <c r="RPU98" s="46"/>
      <c r="RPV98" s="46"/>
      <c r="RPW98" s="46"/>
      <c r="RPX98" s="46"/>
      <c r="RPY98" s="46"/>
      <c r="RPZ98" s="46"/>
      <c r="RQA98" s="46"/>
      <c r="RQB98" s="46"/>
      <c r="RQC98" s="46"/>
      <c r="RQD98" s="46"/>
      <c r="RQE98" s="46"/>
      <c r="RQF98" s="46"/>
      <c r="RQG98" s="46"/>
      <c r="RQH98" s="46"/>
      <c r="RQI98" s="46"/>
      <c r="RQJ98" s="46"/>
      <c r="RQK98" s="46"/>
      <c r="RQL98" s="46"/>
      <c r="RQM98" s="46"/>
      <c r="RQN98" s="46"/>
      <c r="RQO98" s="46"/>
      <c r="RQP98" s="46"/>
      <c r="RQQ98" s="46"/>
      <c r="RQR98" s="46"/>
      <c r="RQS98" s="46"/>
      <c r="RQT98" s="46"/>
      <c r="RQU98" s="46"/>
      <c r="RQV98" s="46"/>
      <c r="RQW98" s="46"/>
      <c r="RQX98" s="46"/>
      <c r="RQY98" s="46"/>
      <c r="RQZ98" s="46"/>
      <c r="RRA98" s="46"/>
      <c r="RRB98" s="46"/>
      <c r="RRC98" s="46"/>
      <c r="RRD98" s="46"/>
      <c r="RRE98" s="46"/>
      <c r="RRF98" s="46"/>
      <c r="RRG98" s="46"/>
      <c r="RRH98" s="46"/>
      <c r="RRI98" s="46"/>
      <c r="RRJ98" s="46"/>
      <c r="RRK98" s="46"/>
      <c r="RRL98" s="46"/>
      <c r="RRM98" s="46"/>
      <c r="RRN98" s="46"/>
      <c r="RRO98" s="46"/>
      <c r="RRP98" s="46"/>
      <c r="RRQ98" s="46"/>
      <c r="RRR98" s="46"/>
      <c r="RRS98" s="46"/>
      <c r="RRT98" s="46"/>
      <c r="RRU98" s="46"/>
      <c r="RRV98" s="46"/>
      <c r="RRW98" s="46"/>
      <c r="RRX98" s="46"/>
      <c r="RRY98" s="46"/>
      <c r="RRZ98" s="46"/>
      <c r="RSA98" s="46"/>
      <c r="RSB98" s="46"/>
      <c r="RSC98" s="46"/>
      <c r="RSD98" s="46"/>
      <c r="RSE98" s="46"/>
      <c r="RSF98" s="46"/>
      <c r="RSG98" s="46"/>
      <c r="RSH98" s="46"/>
      <c r="RSI98" s="46"/>
      <c r="RSJ98" s="46"/>
      <c r="RSK98" s="46"/>
      <c r="RSL98" s="46"/>
      <c r="RSM98" s="46"/>
      <c r="RSN98" s="46"/>
      <c r="RSO98" s="46"/>
      <c r="RSP98" s="46"/>
      <c r="RSQ98" s="46"/>
      <c r="RSR98" s="46"/>
      <c r="RSS98" s="46"/>
      <c r="RST98" s="46"/>
      <c r="RSU98" s="46"/>
      <c r="RSV98" s="46"/>
      <c r="RSW98" s="46"/>
      <c r="RSX98" s="46"/>
      <c r="RSY98" s="46"/>
      <c r="RSZ98" s="46"/>
      <c r="RTA98" s="46"/>
      <c r="RTB98" s="46"/>
      <c r="RTC98" s="46"/>
      <c r="RTD98" s="46"/>
      <c r="RTE98" s="46"/>
      <c r="RTF98" s="46"/>
      <c r="RTG98" s="46"/>
      <c r="RTH98" s="46"/>
      <c r="RTI98" s="46"/>
      <c r="RTJ98" s="46"/>
      <c r="RTK98" s="46"/>
      <c r="RTL98" s="46"/>
      <c r="RTM98" s="46"/>
      <c r="RTN98" s="46"/>
      <c r="RTO98" s="46"/>
      <c r="RTP98" s="46"/>
      <c r="RTQ98" s="46"/>
      <c r="RTR98" s="46"/>
      <c r="RTS98" s="46"/>
      <c r="RTT98" s="46"/>
      <c r="RTU98" s="46"/>
      <c r="RTV98" s="46"/>
      <c r="RTW98" s="46"/>
      <c r="RTX98" s="46"/>
      <c r="RTY98" s="46"/>
      <c r="RTZ98" s="46"/>
      <c r="RUA98" s="46"/>
      <c r="RUB98" s="46"/>
      <c r="RUC98" s="46"/>
      <c r="RUD98" s="46"/>
      <c r="RUE98" s="46"/>
      <c r="RUF98" s="46"/>
      <c r="RUG98" s="46"/>
      <c r="RUH98" s="46"/>
      <c r="RUI98" s="46"/>
      <c r="RUJ98" s="46"/>
      <c r="RUK98" s="46"/>
      <c r="RUL98" s="46"/>
      <c r="RUM98" s="46"/>
      <c r="RUN98" s="46"/>
      <c r="RUO98" s="46"/>
      <c r="RUP98" s="46"/>
      <c r="RUQ98" s="46"/>
      <c r="RUR98" s="46"/>
      <c r="RUS98" s="46"/>
      <c r="RUT98" s="46"/>
      <c r="RUU98" s="46"/>
      <c r="RUV98" s="46"/>
      <c r="RUW98" s="46"/>
      <c r="RUX98" s="46"/>
      <c r="RUY98" s="46"/>
      <c r="RUZ98" s="46"/>
      <c r="RVA98" s="46"/>
      <c r="RVB98" s="46"/>
      <c r="RVC98" s="46"/>
      <c r="RVD98" s="46"/>
      <c r="RVE98" s="46"/>
      <c r="RVF98" s="46"/>
      <c r="RVG98" s="46"/>
      <c r="RVH98" s="46"/>
      <c r="RVI98" s="46"/>
      <c r="RVJ98" s="46"/>
      <c r="RVK98" s="46"/>
      <c r="RVL98" s="46"/>
      <c r="RVM98" s="46"/>
      <c r="RVN98" s="46"/>
      <c r="RVO98" s="46"/>
      <c r="RVP98" s="46"/>
      <c r="RVQ98" s="46"/>
      <c r="RVR98" s="46"/>
      <c r="RVS98" s="46"/>
      <c r="RVT98" s="46"/>
      <c r="RVU98" s="46"/>
      <c r="RVV98" s="46"/>
      <c r="RVW98" s="46"/>
      <c r="RVX98" s="46"/>
      <c r="RVY98" s="46"/>
      <c r="RVZ98" s="46"/>
      <c r="RWA98" s="46"/>
      <c r="RWB98" s="46"/>
      <c r="RWC98" s="46"/>
      <c r="RWD98" s="46"/>
      <c r="RWE98" s="46"/>
      <c r="RWF98" s="46"/>
      <c r="RWG98" s="46"/>
      <c r="RWH98" s="46"/>
      <c r="RWI98" s="46"/>
      <c r="RWJ98" s="46"/>
      <c r="RWK98" s="46"/>
      <c r="RWL98" s="46"/>
      <c r="RWM98" s="46"/>
      <c r="RWN98" s="46"/>
      <c r="RWO98" s="46"/>
      <c r="RWP98" s="46"/>
      <c r="RWQ98" s="46"/>
      <c r="RWR98" s="46"/>
      <c r="RWS98" s="46"/>
      <c r="RWT98" s="46"/>
      <c r="RWU98" s="46"/>
      <c r="RWV98" s="46"/>
      <c r="RWW98" s="46"/>
      <c r="RWX98" s="46"/>
      <c r="RWY98" s="46"/>
      <c r="RWZ98" s="46"/>
      <c r="RXA98" s="46"/>
      <c r="RXB98" s="46"/>
      <c r="RXC98" s="46"/>
      <c r="RXD98" s="46"/>
      <c r="RXE98" s="46"/>
      <c r="RXF98" s="46"/>
      <c r="RXG98" s="46"/>
      <c r="RXH98" s="46"/>
      <c r="RXI98" s="46"/>
      <c r="RXJ98" s="46"/>
      <c r="RXK98" s="46"/>
      <c r="RXL98" s="46"/>
      <c r="RXM98" s="46"/>
      <c r="RXN98" s="46"/>
      <c r="RXO98" s="46"/>
      <c r="RXP98" s="46"/>
      <c r="RXQ98" s="46"/>
      <c r="RXR98" s="46"/>
      <c r="RXS98" s="46"/>
      <c r="RXT98" s="46"/>
      <c r="RXU98" s="46"/>
      <c r="RXV98" s="46"/>
      <c r="RXW98" s="46"/>
      <c r="RXX98" s="46"/>
      <c r="RXY98" s="46"/>
      <c r="RXZ98" s="46"/>
      <c r="RYA98" s="46"/>
      <c r="RYB98" s="46"/>
      <c r="RYC98" s="46"/>
      <c r="RYD98" s="46"/>
      <c r="RYE98" s="46"/>
      <c r="RYF98" s="46"/>
      <c r="RYG98" s="46"/>
      <c r="RYH98" s="46"/>
      <c r="RYI98" s="46"/>
      <c r="RYJ98" s="46"/>
      <c r="RYK98" s="46"/>
      <c r="RYL98" s="46"/>
      <c r="RYM98" s="46"/>
      <c r="RYN98" s="46"/>
      <c r="RYO98" s="46"/>
      <c r="RYP98" s="46"/>
      <c r="RYQ98" s="46"/>
      <c r="RYR98" s="46"/>
      <c r="RYS98" s="46"/>
      <c r="RYT98" s="46"/>
      <c r="RYU98" s="46"/>
      <c r="RYV98" s="46"/>
      <c r="RYW98" s="46"/>
      <c r="RYX98" s="46"/>
      <c r="RYY98" s="46"/>
      <c r="RYZ98" s="46"/>
      <c r="RZA98" s="46"/>
      <c r="RZB98" s="46"/>
      <c r="RZC98" s="46"/>
      <c r="RZD98" s="46"/>
      <c r="RZE98" s="46"/>
      <c r="RZF98" s="46"/>
      <c r="RZG98" s="46"/>
      <c r="RZH98" s="46"/>
      <c r="RZI98" s="46"/>
      <c r="RZJ98" s="46"/>
      <c r="RZK98" s="46"/>
      <c r="RZL98" s="46"/>
      <c r="RZM98" s="46"/>
      <c r="RZN98" s="46"/>
      <c r="RZO98" s="46"/>
      <c r="RZP98" s="46"/>
      <c r="RZQ98" s="46"/>
      <c r="RZR98" s="46"/>
      <c r="RZS98" s="46"/>
      <c r="RZT98" s="46"/>
      <c r="RZU98" s="46"/>
      <c r="RZV98" s="46"/>
      <c r="RZW98" s="46"/>
      <c r="RZX98" s="46"/>
      <c r="RZY98" s="46"/>
      <c r="RZZ98" s="46"/>
      <c r="SAA98" s="46"/>
      <c r="SAB98" s="46"/>
      <c r="SAC98" s="46"/>
      <c r="SAD98" s="46"/>
      <c r="SAE98" s="46"/>
      <c r="SAF98" s="46"/>
      <c r="SAG98" s="46"/>
      <c r="SAH98" s="46"/>
      <c r="SAI98" s="46"/>
      <c r="SAJ98" s="46"/>
      <c r="SAK98" s="46"/>
      <c r="SAL98" s="46"/>
      <c r="SAM98" s="46"/>
      <c r="SAN98" s="46"/>
      <c r="SAO98" s="46"/>
      <c r="SAP98" s="46"/>
      <c r="SAQ98" s="46"/>
      <c r="SAR98" s="46"/>
      <c r="SAS98" s="46"/>
      <c r="SAT98" s="46"/>
      <c r="SAU98" s="46"/>
      <c r="SAV98" s="46"/>
      <c r="SAW98" s="46"/>
      <c r="SAX98" s="46"/>
      <c r="SAY98" s="46"/>
      <c r="SAZ98" s="46"/>
      <c r="SBA98" s="46"/>
      <c r="SBB98" s="46"/>
      <c r="SBC98" s="46"/>
      <c r="SBD98" s="46"/>
      <c r="SBE98" s="46"/>
      <c r="SBF98" s="46"/>
      <c r="SBG98" s="46"/>
      <c r="SBH98" s="46"/>
      <c r="SBI98" s="46"/>
      <c r="SBJ98" s="46"/>
      <c r="SBK98" s="46"/>
      <c r="SBL98" s="46"/>
      <c r="SBM98" s="46"/>
      <c r="SBN98" s="46"/>
      <c r="SBO98" s="46"/>
      <c r="SBP98" s="46"/>
      <c r="SBQ98" s="46"/>
      <c r="SBR98" s="46"/>
      <c r="SBS98" s="46"/>
      <c r="SBT98" s="46"/>
      <c r="SBU98" s="46"/>
      <c r="SBV98" s="46"/>
      <c r="SBW98" s="46"/>
      <c r="SBX98" s="46"/>
      <c r="SBY98" s="46"/>
      <c r="SBZ98" s="46"/>
      <c r="SCA98" s="46"/>
      <c r="SCB98" s="46"/>
      <c r="SCC98" s="46"/>
      <c r="SCD98" s="46"/>
      <c r="SCE98" s="46"/>
      <c r="SCF98" s="46"/>
      <c r="SCG98" s="46"/>
      <c r="SCH98" s="46"/>
      <c r="SCI98" s="46"/>
      <c r="SCJ98" s="46"/>
      <c r="SCK98" s="46"/>
      <c r="SCL98" s="46"/>
      <c r="SCM98" s="46"/>
      <c r="SCN98" s="46"/>
      <c r="SCO98" s="46"/>
      <c r="SCP98" s="46"/>
      <c r="SCQ98" s="46"/>
      <c r="SCR98" s="46"/>
      <c r="SCS98" s="46"/>
      <c r="SCT98" s="46"/>
      <c r="SCU98" s="46"/>
      <c r="SCV98" s="46"/>
      <c r="SCW98" s="46"/>
      <c r="SCX98" s="46"/>
      <c r="SCY98" s="46"/>
      <c r="SCZ98" s="46"/>
      <c r="SDA98" s="46"/>
      <c r="SDB98" s="46"/>
      <c r="SDC98" s="46"/>
      <c r="SDD98" s="46"/>
      <c r="SDE98" s="46"/>
      <c r="SDF98" s="46"/>
      <c r="SDG98" s="46"/>
      <c r="SDH98" s="46"/>
      <c r="SDI98" s="46"/>
      <c r="SDJ98" s="46"/>
      <c r="SDK98" s="46"/>
      <c r="SDL98" s="46"/>
      <c r="SDM98" s="46"/>
      <c r="SDN98" s="46"/>
      <c r="SDO98" s="46"/>
      <c r="SDP98" s="46"/>
      <c r="SDQ98" s="46"/>
      <c r="SDR98" s="46"/>
      <c r="SDS98" s="46"/>
      <c r="SDT98" s="46"/>
      <c r="SDU98" s="46"/>
      <c r="SDV98" s="46"/>
      <c r="SDW98" s="46"/>
      <c r="SDX98" s="46"/>
      <c r="SDY98" s="46"/>
      <c r="SDZ98" s="46"/>
      <c r="SEA98" s="46"/>
      <c r="SEB98" s="46"/>
      <c r="SEC98" s="46"/>
      <c r="SED98" s="46"/>
      <c r="SEE98" s="46"/>
      <c r="SEF98" s="46"/>
      <c r="SEG98" s="46"/>
      <c r="SEH98" s="46"/>
      <c r="SEI98" s="46"/>
      <c r="SEJ98" s="46"/>
      <c r="SEK98" s="46"/>
      <c r="SEL98" s="46"/>
      <c r="SEM98" s="46"/>
      <c r="SEN98" s="46"/>
      <c r="SEO98" s="46"/>
      <c r="SEP98" s="46"/>
      <c r="SEQ98" s="46"/>
      <c r="SER98" s="46"/>
      <c r="SES98" s="46"/>
      <c r="SET98" s="46"/>
      <c r="SEU98" s="46"/>
      <c r="SEV98" s="46"/>
      <c r="SEW98" s="46"/>
      <c r="SEX98" s="46"/>
      <c r="SEY98" s="46"/>
      <c r="SEZ98" s="46"/>
      <c r="SFA98" s="46"/>
      <c r="SFB98" s="46"/>
      <c r="SFC98" s="46"/>
      <c r="SFD98" s="46"/>
      <c r="SFE98" s="46"/>
      <c r="SFF98" s="46"/>
      <c r="SFG98" s="46"/>
      <c r="SFH98" s="46"/>
      <c r="SFI98" s="46"/>
      <c r="SFJ98" s="46"/>
      <c r="SFK98" s="46"/>
      <c r="SFL98" s="46"/>
      <c r="SFM98" s="46"/>
      <c r="SFN98" s="46"/>
      <c r="SFO98" s="46"/>
      <c r="SFP98" s="46"/>
      <c r="SFQ98" s="46"/>
      <c r="SFR98" s="46"/>
      <c r="SFS98" s="46"/>
      <c r="SFT98" s="46"/>
      <c r="SFU98" s="46"/>
      <c r="SFV98" s="46"/>
      <c r="SFW98" s="46"/>
      <c r="SFX98" s="46"/>
      <c r="SFY98" s="46"/>
      <c r="SFZ98" s="46"/>
      <c r="SGA98" s="46"/>
      <c r="SGB98" s="46"/>
      <c r="SGC98" s="46"/>
      <c r="SGD98" s="46"/>
      <c r="SGE98" s="46"/>
      <c r="SGF98" s="46"/>
      <c r="SGG98" s="46"/>
      <c r="SGH98" s="46"/>
      <c r="SGI98" s="46"/>
      <c r="SGJ98" s="46"/>
      <c r="SGK98" s="46"/>
      <c r="SGL98" s="46"/>
      <c r="SGM98" s="46"/>
      <c r="SGN98" s="46"/>
      <c r="SGO98" s="46"/>
      <c r="SGP98" s="46"/>
      <c r="SGQ98" s="46"/>
      <c r="SGR98" s="46"/>
      <c r="SGS98" s="46"/>
      <c r="SGT98" s="46"/>
      <c r="SGU98" s="46"/>
      <c r="SGV98" s="46"/>
      <c r="SGW98" s="46"/>
      <c r="SGX98" s="46"/>
      <c r="SGY98" s="46"/>
      <c r="SGZ98" s="46"/>
      <c r="SHA98" s="46"/>
      <c r="SHB98" s="46"/>
      <c r="SHC98" s="46"/>
      <c r="SHD98" s="46"/>
      <c r="SHE98" s="46"/>
      <c r="SHF98" s="46"/>
      <c r="SHG98" s="46"/>
      <c r="SHH98" s="46"/>
      <c r="SHI98" s="46"/>
      <c r="SHJ98" s="46"/>
      <c r="SHK98" s="46"/>
      <c r="SHL98" s="46"/>
      <c r="SHM98" s="46"/>
      <c r="SHN98" s="46"/>
      <c r="SHO98" s="46"/>
      <c r="SHP98" s="46"/>
      <c r="SHQ98" s="46"/>
      <c r="SHR98" s="46"/>
      <c r="SHS98" s="46"/>
      <c r="SHT98" s="46"/>
      <c r="SHU98" s="46"/>
      <c r="SHV98" s="46"/>
      <c r="SHW98" s="46"/>
      <c r="SHX98" s="46"/>
      <c r="SHY98" s="46"/>
      <c r="SHZ98" s="46"/>
      <c r="SIA98" s="46"/>
      <c r="SIB98" s="46"/>
      <c r="SIC98" s="46"/>
      <c r="SID98" s="46"/>
      <c r="SIE98" s="46"/>
      <c r="SIF98" s="46"/>
      <c r="SIG98" s="46"/>
      <c r="SIH98" s="46"/>
      <c r="SII98" s="46"/>
      <c r="SIJ98" s="46"/>
      <c r="SIK98" s="46"/>
      <c r="SIL98" s="46"/>
      <c r="SIM98" s="46"/>
      <c r="SIN98" s="46"/>
      <c r="SIO98" s="46"/>
      <c r="SIP98" s="46"/>
      <c r="SIQ98" s="46"/>
      <c r="SIR98" s="46"/>
      <c r="SIS98" s="46"/>
      <c r="SIT98" s="46"/>
      <c r="SIU98" s="46"/>
      <c r="SIV98" s="46"/>
      <c r="SIW98" s="46"/>
      <c r="SIX98" s="46"/>
      <c r="SIY98" s="46"/>
      <c r="SIZ98" s="46"/>
      <c r="SJA98" s="46"/>
      <c r="SJB98" s="46"/>
      <c r="SJC98" s="46"/>
      <c r="SJD98" s="46"/>
      <c r="SJE98" s="46"/>
      <c r="SJF98" s="46"/>
      <c r="SJG98" s="46"/>
      <c r="SJH98" s="46"/>
      <c r="SJI98" s="46"/>
      <c r="SJJ98" s="46"/>
      <c r="SJK98" s="46"/>
      <c r="SJL98" s="46"/>
      <c r="SJM98" s="46"/>
      <c r="SJN98" s="46"/>
      <c r="SJO98" s="46"/>
      <c r="SJP98" s="46"/>
      <c r="SJQ98" s="46"/>
      <c r="SJR98" s="46"/>
      <c r="SJS98" s="46"/>
      <c r="SJT98" s="46"/>
      <c r="SJU98" s="46"/>
      <c r="SJV98" s="46"/>
      <c r="SJW98" s="46"/>
      <c r="SJX98" s="46"/>
      <c r="SJY98" s="46"/>
      <c r="SJZ98" s="46"/>
      <c r="SKA98" s="46"/>
      <c r="SKB98" s="46"/>
      <c r="SKC98" s="46"/>
      <c r="SKD98" s="46"/>
      <c r="SKE98" s="46"/>
      <c r="SKF98" s="46"/>
      <c r="SKG98" s="46"/>
      <c r="SKH98" s="46"/>
      <c r="SKI98" s="46"/>
      <c r="SKJ98" s="46"/>
      <c r="SKK98" s="46"/>
      <c r="SKL98" s="46"/>
      <c r="SKM98" s="46"/>
      <c r="SKN98" s="46"/>
      <c r="SKO98" s="46"/>
      <c r="SKP98" s="46"/>
      <c r="SKQ98" s="46"/>
      <c r="SKR98" s="46"/>
      <c r="SKS98" s="46"/>
      <c r="SKT98" s="46"/>
      <c r="SKU98" s="46"/>
      <c r="SKV98" s="46"/>
      <c r="SKW98" s="46"/>
      <c r="SKX98" s="46"/>
      <c r="SKY98" s="46"/>
      <c r="SKZ98" s="46"/>
      <c r="SLA98" s="46"/>
      <c r="SLB98" s="46"/>
      <c r="SLC98" s="46"/>
      <c r="SLD98" s="46"/>
      <c r="SLE98" s="46"/>
      <c r="SLF98" s="46"/>
      <c r="SLG98" s="46"/>
      <c r="SLH98" s="46"/>
      <c r="SLI98" s="46"/>
      <c r="SLJ98" s="46"/>
      <c r="SLK98" s="46"/>
      <c r="SLL98" s="46"/>
      <c r="SLM98" s="46"/>
      <c r="SLN98" s="46"/>
      <c r="SLO98" s="46"/>
      <c r="SLP98" s="46"/>
      <c r="SLQ98" s="46"/>
      <c r="SLR98" s="46"/>
      <c r="SLS98" s="46"/>
      <c r="SLT98" s="46"/>
      <c r="SLU98" s="46"/>
      <c r="SLV98" s="46"/>
      <c r="SLW98" s="46"/>
      <c r="SLX98" s="46"/>
      <c r="SLY98" s="46"/>
      <c r="SLZ98" s="46"/>
      <c r="SMA98" s="46"/>
      <c r="SMB98" s="46"/>
      <c r="SMC98" s="46"/>
      <c r="SMD98" s="46"/>
      <c r="SME98" s="46"/>
      <c r="SMF98" s="46"/>
      <c r="SMG98" s="46"/>
      <c r="SMH98" s="46"/>
      <c r="SMI98" s="46"/>
      <c r="SMJ98" s="46"/>
      <c r="SMK98" s="46"/>
      <c r="SML98" s="46"/>
      <c r="SMM98" s="46"/>
      <c r="SMN98" s="46"/>
      <c r="SMO98" s="46"/>
      <c r="SMP98" s="46"/>
      <c r="SMQ98" s="46"/>
      <c r="SMR98" s="46"/>
      <c r="SMS98" s="46"/>
      <c r="SMT98" s="46"/>
      <c r="SMU98" s="46"/>
      <c r="SMV98" s="46"/>
      <c r="SMW98" s="46"/>
      <c r="SMX98" s="46"/>
      <c r="SMY98" s="46"/>
      <c r="SMZ98" s="46"/>
      <c r="SNA98" s="46"/>
      <c r="SNB98" s="46"/>
      <c r="SNC98" s="46"/>
      <c r="SND98" s="46"/>
      <c r="SNE98" s="46"/>
      <c r="SNF98" s="46"/>
      <c r="SNG98" s="46"/>
      <c r="SNH98" s="46"/>
      <c r="SNI98" s="46"/>
      <c r="SNJ98" s="46"/>
      <c r="SNK98" s="46"/>
      <c r="SNL98" s="46"/>
      <c r="SNM98" s="46"/>
      <c r="SNN98" s="46"/>
      <c r="SNO98" s="46"/>
      <c r="SNP98" s="46"/>
      <c r="SNQ98" s="46"/>
      <c r="SNR98" s="46"/>
      <c r="SNS98" s="46"/>
      <c r="SNT98" s="46"/>
      <c r="SNU98" s="46"/>
      <c r="SNV98" s="46"/>
      <c r="SNW98" s="46"/>
      <c r="SNX98" s="46"/>
      <c r="SNY98" s="46"/>
      <c r="SNZ98" s="46"/>
      <c r="SOA98" s="46"/>
      <c r="SOB98" s="46"/>
      <c r="SOC98" s="46"/>
      <c r="SOD98" s="46"/>
      <c r="SOE98" s="46"/>
      <c r="SOF98" s="46"/>
      <c r="SOG98" s="46"/>
      <c r="SOH98" s="46"/>
      <c r="SOI98" s="46"/>
      <c r="SOJ98" s="46"/>
      <c r="SOK98" s="46"/>
      <c r="SOL98" s="46"/>
      <c r="SOM98" s="46"/>
      <c r="SON98" s="46"/>
      <c r="SOO98" s="46"/>
      <c r="SOP98" s="46"/>
      <c r="SOQ98" s="46"/>
      <c r="SOR98" s="46"/>
      <c r="SOS98" s="46"/>
      <c r="SOT98" s="46"/>
      <c r="SOU98" s="46"/>
      <c r="SOV98" s="46"/>
      <c r="SOW98" s="46"/>
      <c r="SOX98" s="46"/>
      <c r="SOY98" s="46"/>
      <c r="SOZ98" s="46"/>
      <c r="SPA98" s="46"/>
      <c r="SPB98" s="46"/>
      <c r="SPC98" s="46"/>
      <c r="SPD98" s="46"/>
      <c r="SPE98" s="46"/>
      <c r="SPF98" s="46"/>
      <c r="SPG98" s="46"/>
      <c r="SPH98" s="46"/>
      <c r="SPI98" s="46"/>
      <c r="SPJ98" s="46"/>
      <c r="SPK98" s="46"/>
      <c r="SPL98" s="46"/>
      <c r="SPM98" s="46"/>
      <c r="SPN98" s="46"/>
      <c r="SPO98" s="46"/>
      <c r="SPP98" s="46"/>
      <c r="SPQ98" s="46"/>
      <c r="SPR98" s="46"/>
      <c r="SPS98" s="46"/>
      <c r="SPT98" s="46"/>
      <c r="SPU98" s="46"/>
      <c r="SPV98" s="46"/>
      <c r="SPW98" s="46"/>
      <c r="SPX98" s="46"/>
      <c r="SPY98" s="46"/>
      <c r="SPZ98" s="46"/>
      <c r="SQA98" s="46"/>
      <c r="SQB98" s="46"/>
      <c r="SQC98" s="46"/>
      <c r="SQD98" s="46"/>
      <c r="SQE98" s="46"/>
      <c r="SQF98" s="46"/>
      <c r="SQG98" s="46"/>
      <c r="SQH98" s="46"/>
      <c r="SQI98" s="46"/>
      <c r="SQJ98" s="46"/>
      <c r="SQK98" s="46"/>
      <c r="SQL98" s="46"/>
      <c r="SQM98" s="46"/>
      <c r="SQN98" s="46"/>
      <c r="SQO98" s="46"/>
      <c r="SQP98" s="46"/>
      <c r="SQQ98" s="46"/>
      <c r="SQR98" s="46"/>
      <c r="SQS98" s="46"/>
      <c r="SQT98" s="46"/>
      <c r="SQU98" s="46"/>
      <c r="SQV98" s="46"/>
      <c r="SQW98" s="46"/>
      <c r="SQX98" s="46"/>
      <c r="SQY98" s="46"/>
      <c r="SQZ98" s="46"/>
      <c r="SRA98" s="46"/>
      <c r="SRB98" s="46"/>
      <c r="SRC98" s="46"/>
      <c r="SRD98" s="46"/>
      <c r="SRE98" s="46"/>
      <c r="SRF98" s="46"/>
      <c r="SRG98" s="46"/>
      <c r="SRH98" s="46"/>
      <c r="SRI98" s="46"/>
      <c r="SRJ98" s="46"/>
      <c r="SRK98" s="46"/>
      <c r="SRL98" s="46"/>
      <c r="SRM98" s="46"/>
      <c r="SRN98" s="46"/>
      <c r="SRO98" s="46"/>
      <c r="SRP98" s="46"/>
      <c r="SRQ98" s="46"/>
      <c r="SRR98" s="46"/>
      <c r="SRS98" s="46"/>
      <c r="SRT98" s="46"/>
      <c r="SRU98" s="46"/>
      <c r="SRV98" s="46"/>
      <c r="SRW98" s="46"/>
      <c r="SRX98" s="46"/>
      <c r="SRY98" s="46"/>
      <c r="SRZ98" s="46"/>
      <c r="SSA98" s="46"/>
      <c r="SSB98" s="46"/>
      <c r="SSC98" s="46"/>
      <c r="SSD98" s="46"/>
      <c r="SSE98" s="46"/>
      <c r="SSF98" s="46"/>
      <c r="SSG98" s="46"/>
      <c r="SSH98" s="46"/>
      <c r="SSI98" s="46"/>
      <c r="SSJ98" s="46"/>
      <c r="SSK98" s="46"/>
      <c r="SSL98" s="46"/>
      <c r="SSM98" s="46"/>
      <c r="SSN98" s="46"/>
      <c r="SSO98" s="46"/>
      <c r="SSP98" s="46"/>
      <c r="SSQ98" s="46"/>
      <c r="SSR98" s="46"/>
      <c r="SSS98" s="46"/>
      <c r="SST98" s="46"/>
      <c r="SSU98" s="46"/>
      <c r="SSV98" s="46"/>
      <c r="SSW98" s="46"/>
      <c r="SSX98" s="46"/>
      <c r="SSY98" s="46"/>
      <c r="SSZ98" s="46"/>
      <c r="STA98" s="46"/>
      <c r="STB98" s="46"/>
      <c r="STC98" s="46"/>
      <c r="STD98" s="46"/>
      <c r="STE98" s="46"/>
      <c r="STF98" s="46"/>
      <c r="STG98" s="46"/>
      <c r="STH98" s="46"/>
      <c r="STI98" s="46"/>
      <c r="STJ98" s="46"/>
      <c r="STK98" s="46"/>
      <c r="STL98" s="46"/>
      <c r="STM98" s="46"/>
      <c r="STN98" s="46"/>
      <c r="STO98" s="46"/>
      <c r="STP98" s="46"/>
      <c r="STQ98" s="46"/>
      <c r="STR98" s="46"/>
      <c r="STS98" s="46"/>
      <c r="STT98" s="46"/>
      <c r="STU98" s="46"/>
      <c r="STV98" s="46"/>
      <c r="STW98" s="46"/>
      <c r="STX98" s="46"/>
      <c r="STY98" s="46"/>
      <c r="STZ98" s="46"/>
      <c r="SUA98" s="46"/>
      <c r="SUB98" s="46"/>
      <c r="SUC98" s="46"/>
      <c r="SUD98" s="46"/>
      <c r="SUE98" s="46"/>
      <c r="SUF98" s="46"/>
      <c r="SUG98" s="46"/>
      <c r="SUH98" s="46"/>
      <c r="SUI98" s="46"/>
      <c r="SUJ98" s="46"/>
      <c r="SUK98" s="46"/>
      <c r="SUL98" s="46"/>
      <c r="SUM98" s="46"/>
      <c r="SUN98" s="46"/>
      <c r="SUO98" s="46"/>
      <c r="SUP98" s="46"/>
      <c r="SUQ98" s="46"/>
      <c r="SUR98" s="46"/>
      <c r="SUS98" s="46"/>
      <c r="SUT98" s="46"/>
      <c r="SUU98" s="46"/>
      <c r="SUV98" s="46"/>
      <c r="SUW98" s="46"/>
      <c r="SUX98" s="46"/>
      <c r="SUY98" s="46"/>
      <c r="SUZ98" s="46"/>
      <c r="SVA98" s="46"/>
      <c r="SVB98" s="46"/>
      <c r="SVC98" s="46"/>
      <c r="SVD98" s="46"/>
      <c r="SVE98" s="46"/>
      <c r="SVF98" s="46"/>
      <c r="SVG98" s="46"/>
      <c r="SVH98" s="46"/>
      <c r="SVI98" s="46"/>
      <c r="SVJ98" s="46"/>
      <c r="SVK98" s="46"/>
      <c r="SVL98" s="46"/>
      <c r="SVM98" s="46"/>
      <c r="SVN98" s="46"/>
      <c r="SVO98" s="46"/>
      <c r="SVP98" s="46"/>
      <c r="SVQ98" s="46"/>
      <c r="SVR98" s="46"/>
      <c r="SVS98" s="46"/>
      <c r="SVT98" s="46"/>
      <c r="SVU98" s="46"/>
      <c r="SVV98" s="46"/>
      <c r="SVW98" s="46"/>
      <c r="SVX98" s="46"/>
      <c r="SVY98" s="46"/>
      <c r="SVZ98" s="46"/>
      <c r="SWA98" s="46"/>
      <c r="SWB98" s="46"/>
      <c r="SWC98" s="46"/>
      <c r="SWD98" s="46"/>
      <c r="SWE98" s="46"/>
      <c r="SWF98" s="46"/>
      <c r="SWG98" s="46"/>
      <c r="SWH98" s="46"/>
      <c r="SWI98" s="46"/>
      <c r="SWJ98" s="46"/>
      <c r="SWK98" s="46"/>
      <c r="SWL98" s="46"/>
      <c r="SWM98" s="46"/>
      <c r="SWN98" s="46"/>
      <c r="SWO98" s="46"/>
      <c r="SWP98" s="46"/>
      <c r="SWQ98" s="46"/>
      <c r="SWR98" s="46"/>
      <c r="SWS98" s="46"/>
      <c r="SWT98" s="46"/>
      <c r="SWU98" s="46"/>
      <c r="SWV98" s="46"/>
      <c r="SWW98" s="46"/>
      <c r="SWX98" s="46"/>
      <c r="SWY98" s="46"/>
      <c r="SWZ98" s="46"/>
      <c r="SXA98" s="46"/>
      <c r="SXB98" s="46"/>
      <c r="SXC98" s="46"/>
      <c r="SXD98" s="46"/>
      <c r="SXE98" s="46"/>
      <c r="SXF98" s="46"/>
      <c r="SXG98" s="46"/>
      <c r="SXH98" s="46"/>
      <c r="SXI98" s="46"/>
      <c r="SXJ98" s="46"/>
      <c r="SXK98" s="46"/>
      <c r="SXL98" s="46"/>
      <c r="SXM98" s="46"/>
      <c r="SXN98" s="46"/>
      <c r="SXO98" s="46"/>
      <c r="SXP98" s="46"/>
      <c r="SXQ98" s="46"/>
      <c r="SXR98" s="46"/>
      <c r="SXS98" s="46"/>
      <c r="SXT98" s="46"/>
      <c r="SXU98" s="46"/>
      <c r="SXV98" s="46"/>
      <c r="SXW98" s="46"/>
      <c r="SXX98" s="46"/>
      <c r="SXY98" s="46"/>
      <c r="SXZ98" s="46"/>
      <c r="SYA98" s="46"/>
      <c r="SYB98" s="46"/>
      <c r="SYC98" s="46"/>
      <c r="SYD98" s="46"/>
      <c r="SYE98" s="46"/>
      <c r="SYF98" s="46"/>
      <c r="SYG98" s="46"/>
      <c r="SYH98" s="46"/>
      <c r="SYI98" s="46"/>
      <c r="SYJ98" s="46"/>
      <c r="SYK98" s="46"/>
      <c r="SYL98" s="46"/>
      <c r="SYM98" s="46"/>
      <c r="SYN98" s="46"/>
      <c r="SYO98" s="46"/>
      <c r="SYP98" s="46"/>
      <c r="SYQ98" s="46"/>
      <c r="SYR98" s="46"/>
      <c r="SYS98" s="46"/>
      <c r="SYT98" s="46"/>
      <c r="SYU98" s="46"/>
      <c r="SYV98" s="46"/>
      <c r="SYW98" s="46"/>
      <c r="SYX98" s="46"/>
      <c r="SYY98" s="46"/>
      <c r="SYZ98" s="46"/>
      <c r="SZA98" s="46"/>
      <c r="SZB98" s="46"/>
      <c r="SZC98" s="46"/>
      <c r="SZD98" s="46"/>
      <c r="SZE98" s="46"/>
      <c r="SZF98" s="46"/>
      <c r="SZG98" s="46"/>
      <c r="SZH98" s="46"/>
      <c r="SZI98" s="46"/>
      <c r="SZJ98" s="46"/>
      <c r="SZK98" s="46"/>
      <c r="SZL98" s="46"/>
      <c r="SZM98" s="46"/>
      <c r="SZN98" s="46"/>
      <c r="SZO98" s="46"/>
      <c r="SZP98" s="46"/>
      <c r="SZQ98" s="46"/>
      <c r="SZR98" s="46"/>
      <c r="SZS98" s="46"/>
      <c r="SZT98" s="46"/>
      <c r="SZU98" s="46"/>
      <c r="SZV98" s="46"/>
      <c r="SZW98" s="46"/>
      <c r="SZX98" s="46"/>
      <c r="SZY98" s="46"/>
      <c r="SZZ98" s="46"/>
      <c r="TAA98" s="46"/>
      <c r="TAB98" s="46"/>
      <c r="TAC98" s="46"/>
      <c r="TAD98" s="46"/>
      <c r="TAE98" s="46"/>
      <c r="TAF98" s="46"/>
      <c r="TAG98" s="46"/>
      <c r="TAH98" s="46"/>
      <c r="TAI98" s="46"/>
      <c r="TAJ98" s="46"/>
      <c r="TAK98" s="46"/>
      <c r="TAL98" s="46"/>
      <c r="TAM98" s="46"/>
      <c r="TAN98" s="46"/>
      <c r="TAO98" s="46"/>
      <c r="TAP98" s="46"/>
      <c r="TAQ98" s="46"/>
      <c r="TAR98" s="46"/>
      <c r="TAS98" s="46"/>
      <c r="TAT98" s="46"/>
      <c r="TAU98" s="46"/>
      <c r="TAV98" s="46"/>
      <c r="TAW98" s="46"/>
      <c r="TAX98" s="46"/>
      <c r="TAY98" s="46"/>
      <c r="TAZ98" s="46"/>
      <c r="TBA98" s="46"/>
      <c r="TBB98" s="46"/>
      <c r="TBC98" s="46"/>
      <c r="TBD98" s="46"/>
      <c r="TBE98" s="46"/>
      <c r="TBF98" s="46"/>
      <c r="TBG98" s="46"/>
      <c r="TBH98" s="46"/>
      <c r="TBI98" s="46"/>
      <c r="TBJ98" s="46"/>
      <c r="TBK98" s="46"/>
      <c r="TBL98" s="46"/>
      <c r="TBM98" s="46"/>
      <c r="TBN98" s="46"/>
      <c r="TBO98" s="46"/>
      <c r="TBP98" s="46"/>
      <c r="TBQ98" s="46"/>
      <c r="TBR98" s="46"/>
      <c r="TBS98" s="46"/>
      <c r="TBT98" s="46"/>
      <c r="TBU98" s="46"/>
      <c r="TBV98" s="46"/>
      <c r="TBW98" s="46"/>
      <c r="TBX98" s="46"/>
      <c r="TBY98" s="46"/>
      <c r="TBZ98" s="46"/>
      <c r="TCA98" s="46"/>
      <c r="TCB98" s="46"/>
      <c r="TCC98" s="46"/>
      <c r="TCD98" s="46"/>
      <c r="TCE98" s="46"/>
      <c r="TCF98" s="46"/>
      <c r="TCG98" s="46"/>
      <c r="TCH98" s="46"/>
      <c r="TCI98" s="46"/>
      <c r="TCJ98" s="46"/>
      <c r="TCK98" s="46"/>
      <c r="TCL98" s="46"/>
      <c r="TCM98" s="46"/>
      <c r="TCN98" s="46"/>
      <c r="TCO98" s="46"/>
      <c r="TCP98" s="46"/>
      <c r="TCQ98" s="46"/>
      <c r="TCR98" s="46"/>
      <c r="TCS98" s="46"/>
      <c r="TCT98" s="46"/>
      <c r="TCU98" s="46"/>
      <c r="TCV98" s="46"/>
      <c r="TCW98" s="46"/>
      <c r="TCX98" s="46"/>
      <c r="TCY98" s="46"/>
      <c r="TCZ98" s="46"/>
      <c r="TDA98" s="46"/>
      <c r="TDB98" s="46"/>
      <c r="TDC98" s="46"/>
      <c r="TDD98" s="46"/>
      <c r="TDE98" s="46"/>
      <c r="TDF98" s="46"/>
      <c r="TDG98" s="46"/>
      <c r="TDH98" s="46"/>
      <c r="TDI98" s="46"/>
      <c r="TDJ98" s="46"/>
      <c r="TDK98" s="46"/>
      <c r="TDL98" s="46"/>
      <c r="TDM98" s="46"/>
      <c r="TDN98" s="46"/>
      <c r="TDO98" s="46"/>
      <c r="TDP98" s="46"/>
      <c r="TDQ98" s="46"/>
      <c r="TDR98" s="46"/>
      <c r="TDS98" s="46"/>
      <c r="TDT98" s="46"/>
      <c r="TDU98" s="46"/>
      <c r="TDV98" s="46"/>
      <c r="TDW98" s="46"/>
      <c r="TDX98" s="46"/>
      <c r="TDY98" s="46"/>
      <c r="TDZ98" s="46"/>
      <c r="TEA98" s="46"/>
      <c r="TEB98" s="46"/>
      <c r="TEC98" s="46"/>
      <c r="TED98" s="46"/>
      <c r="TEE98" s="46"/>
      <c r="TEF98" s="46"/>
      <c r="TEG98" s="46"/>
      <c r="TEH98" s="46"/>
      <c r="TEI98" s="46"/>
      <c r="TEJ98" s="46"/>
      <c r="TEK98" s="46"/>
      <c r="TEL98" s="46"/>
      <c r="TEM98" s="46"/>
      <c r="TEN98" s="46"/>
      <c r="TEO98" s="46"/>
      <c r="TEP98" s="46"/>
      <c r="TEQ98" s="46"/>
      <c r="TER98" s="46"/>
      <c r="TES98" s="46"/>
      <c r="TET98" s="46"/>
      <c r="TEU98" s="46"/>
      <c r="TEV98" s="46"/>
      <c r="TEW98" s="46"/>
      <c r="TEX98" s="46"/>
      <c r="TEY98" s="46"/>
      <c r="TEZ98" s="46"/>
      <c r="TFA98" s="46"/>
      <c r="TFB98" s="46"/>
      <c r="TFC98" s="46"/>
      <c r="TFD98" s="46"/>
      <c r="TFE98" s="46"/>
      <c r="TFF98" s="46"/>
      <c r="TFG98" s="46"/>
      <c r="TFH98" s="46"/>
      <c r="TFI98" s="46"/>
      <c r="TFJ98" s="46"/>
      <c r="TFK98" s="46"/>
      <c r="TFL98" s="46"/>
      <c r="TFM98" s="46"/>
      <c r="TFN98" s="46"/>
      <c r="TFO98" s="46"/>
      <c r="TFP98" s="46"/>
      <c r="TFQ98" s="46"/>
      <c r="TFR98" s="46"/>
      <c r="TFS98" s="46"/>
      <c r="TFT98" s="46"/>
      <c r="TFU98" s="46"/>
      <c r="TFV98" s="46"/>
      <c r="TFW98" s="46"/>
      <c r="TFX98" s="46"/>
      <c r="TFY98" s="46"/>
      <c r="TFZ98" s="46"/>
      <c r="TGA98" s="46"/>
      <c r="TGB98" s="46"/>
      <c r="TGC98" s="46"/>
      <c r="TGD98" s="46"/>
      <c r="TGE98" s="46"/>
      <c r="TGF98" s="46"/>
      <c r="TGG98" s="46"/>
      <c r="TGH98" s="46"/>
      <c r="TGI98" s="46"/>
      <c r="TGJ98" s="46"/>
      <c r="TGK98" s="46"/>
      <c r="TGL98" s="46"/>
      <c r="TGM98" s="46"/>
      <c r="TGN98" s="46"/>
      <c r="TGO98" s="46"/>
      <c r="TGP98" s="46"/>
      <c r="TGQ98" s="46"/>
      <c r="TGR98" s="46"/>
      <c r="TGS98" s="46"/>
      <c r="TGT98" s="46"/>
      <c r="TGU98" s="46"/>
      <c r="TGV98" s="46"/>
      <c r="TGW98" s="46"/>
      <c r="TGX98" s="46"/>
      <c r="TGY98" s="46"/>
      <c r="TGZ98" s="46"/>
      <c r="THA98" s="46"/>
      <c r="THB98" s="46"/>
      <c r="THC98" s="46"/>
      <c r="THD98" s="46"/>
      <c r="THE98" s="46"/>
      <c r="THF98" s="46"/>
      <c r="THG98" s="46"/>
      <c r="THH98" s="46"/>
      <c r="THI98" s="46"/>
      <c r="THJ98" s="46"/>
      <c r="THK98" s="46"/>
      <c r="THL98" s="46"/>
      <c r="THM98" s="46"/>
      <c r="THN98" s="46"/>
      <c r="THO98" s="46"/>
      <c r="THP98" s="46"/>
      <c r="THQ98" s="46"/>
      <c r="THR98" s="46"/>
      <c r="THS98" s="46"/>
      <c r="THT98" s="46"/>
      <c r="THU98" s="46"/>
      <c r="THV98" s="46"/>
      <c r="THW98" s="46"/>
      <c r="THX98" s="46"/>
      <c r="THY98" s="46"/>
      <c r="THZ98" s="46"/>
      <c r="TIA98" s="46"/>
      <c r="TIB98" s="46"/>
      <c r="TIC98" s="46"/>
      <c r="TID98" s="46"/>
      <c r="TIE98" s="46"/>
      <c r="TIF98" s="46"/>
      <c r="TIG98" s="46"/>
      <c r="TIH98" s="46"/>
      <c r="TII98" s="46"/>
      <c r="TIJ98" s="46"/>
      <c r="TIK98" s="46"/>
      <c r="TIL98" s="46"/>
      <c r="TIM98" s="46"/>
      <c r="TIN98" s="46"/>
      <c r="TIO98" s="46"/>
      <c r="TIP98" s="46"/>
      <c r="TIQ98" s="46"/>
      <c r="TIR98" s="46"/>
      <c r="TIS98" s="46"/>
      <c r="TIT98" s="46"/>
      <c r="TIU98" s="46"/>
      <c r="TIV98" s="46"/>
      <c r="TIW98" s="46"/>
      <c r="TIX98" s="46"/>
      <c r="TIY98" s="46"/>
      <c r="TIZ98" s="46"/>
      <c r="TJA98" s="46"/>
      <c r="TJB98" s="46"/>
      <c r="TJC98" s="46"/>
      <c r="TJD98" s="46"/>
      <c r="TJE98" s="46"/>
      <c r="TJF98" s="46"/>
      <c r="TJG98" s="46"/>
      <c r="TJH98" s="46"/>
      <c r="TJI98" s="46"/>
      <c r="TJJ98" s="46"/>
      <c r="TJK98" s="46"/>
      <c r="TJL98" s="46"/>
      <c r="TJM98" s="46"/>
      <c r="TJN98" s="46"/>
      <c r="TJO98" s="46"/>
      <c r="TJP98" s="46"/>
      <c r="TJQ98" s="46"/>
      <c r="TJR98" s="46"/>
      <c r="TJS98" s="46"/>
      <c r="TJT98" s="46"/>
      <c r="TJU98" s="46"/>
      <c r="TJV98" s="46"/>
      <c r="TJW98" s="46"/>
      <c r="TJX98" s="46"/>
      <c r="TJY98" s="46"/>
      <c r="TJZ98" s="46"/>
      <c r="TKA98" s="46"/>
      <c r="TKB98" s="46"/>
      <c r="TKC98" s="46"/>
      <c r="TKD98" s="46"/>
      <c r="TKE98" s="46"/>
      <c r="TKF98" s="46"/>
      <c r="TKG98" s="46"/>
      <c r="TKH98" s="46"/>
      <c r="TKI98" s="46"/>
      <c r="TKJ98" s="46"/>
      <c r="TKK98" s="46"/>
      <c r="TKL98" s="46"/>
      <c r="TKM98" s="46"/>
      <c r="TKN98" s="46"/>
      <c r="TKO98" s="46"/>
      <c r="TKP98" s="46"/>
      <c r="TKQ98" s="46"/>
      <c r="TKR98" s="46"/>
      <c r="TKS98" s="46"/>
      <c r="TKT98" s="46"/>
      <c r="TKU98" s="46"/>
      <c r="TKV98" s="46"/>
      <c r="TKW98" s="46"/>
      <c r="TKX98" s="46"/>
      <c r="TKY98" s="46"/>
      <c r="TKZ98" s="46"/>
      <c r="TLA98" s="46"/>
      <c r="TLB98" s="46"/>
      <c r="TLC98" s="46"/>
      <c r="TLD98" s="46"/>
      <c r="TLE98" s="46"/>
      <c r="TLF98" s="46"/>
      <c r="TLG98" s="46"/>
      <c r="TLH98" s="46"/>
      <c r="TLI98" s="46"/>
      <c r="TLJ98" s="46"/>
      <c r="TLK98" s="46"/>
      <c r="TLL98" s="46"/>
      <c r="TLM98" s="46"/>
      <c r="TLN98" s="46"/>
      <c r="TLO98" s="46"/>
      <c r="TLP98" s="46"/>
      <c r="TLQ98" s="46"/>
      <c r="TLR98" s="46"/>
      <c r="TLS98" s="46"/>
      <c r="TLT98" s="46"/>
      <c r="TLU98" s="46"/>
      <c r="TLV98" s="46"/>
      <c r="TLW98" s="46"/>
      <c r="TLX98" s="46"/>
      <c r="TLY98" s="46"/>
      <c r="TLZ98" s="46"/>
      <c r="TMA98" s="46"/>
      <c r="TMB98" s="46"/>
      <c r="TMC98" s="46"/>
      <c r="TMD98" s="46"/>
      <c r="TME98" s="46"/>
      <c r="TMF98" s="46"/>
      <c r="TMG98" s="46"/>
      <c r="TMH98" s="46"/>
      <c r="TMI98" s="46"/>
      <c r="TMJ98" s="46"/>
      <c r="TMK98" s="46"/>
      <c r="TML98" s="46"/>
      <c r="TMM98" s="46"/>
      <c r="TMN98" s="46"/>
      <c r="TMO98" s="46"/>
      <c r="TMP98" s="46"/>
      <c r="TMQ98" s="46"/>
      <c r="TMR98" s="46"/>
      <c r="TMS98" s="46"/>
      <c r="TMT98" s="46"/>
      <c r="TMU98" s="46"/>
      <c r="TMV98" s="46"/>
      <c r="TMW98" s="46"/>
      <c r="TMX98" s="46"/>
      <c r="TMY98" s="46"/>
      <c r="TMZ98" s="46"/>
      <c r="TNA98" s="46"/>
      <c r="TNB98" s="46"/>
      <c r="TNC98" s="46"/>
      <c r="TND98" s="46"/>
      <c r="TNE98" s="46"/>
      <c r="TNF98" s="46"/>
      <c r="TNG98" s="46"/>
      <c r="TNH98" s="46"/>
      <c r="TNI98" s="46"/>
      <c r="TNJ98" s="46"/>
      <c r="TNK98" s="46"/>
      <c r="TNL98" s="46"/>
      <c r="TNM98" s="46"/>
      <c r="TNN98" s="46"/>
      <c r="TNO98" s="46"/>
      <c r="TNP98" s="46"/>
      <c r="TNQ98" s="46"/>
      <c r="TNR98" s="46"/>
      <c r="TNS98" s="46"/>
      <c r="TNT98" s="46"/>
      <c r="TNU98" s="46"/>
      <c r="TNV98" s="46"/>
      <c r="TNW98" s="46"/>
      <c r="TNX98" s="46"/>
      <c r="TNY98" s="46"/>
      <c r="TNZ98" s="46"/>
      <c r="TOA98" s="46"/>
      <c r="TOB98" s="46"/>
      <c r="TOC98" s="46"/>
      <c r="TOD98" s="46"/>
      <c r="TOE98" s="46"/>
      <c r="TOF98" s="46"/>
      <c r="TOG98" s="46"/>
      <c r="TOH98" s="46"/>
      <c r="TOI98" s="46"/>
      <c r="TOJ98" s="46"/>
      <c r="TOK98" s="46"/>
      <c r="TOL98" s="46"/>
      <c r="TOM98" s="46"/>
      <c r="TON98" s="46"/>
      <c r="TOO98" s="46"/>
      <c r="TOP98" s="46"/>
      <c r="TOQ98" s="46"/>
      <c r="TOR98" s="46"/>
      <c r="TOS98" s="46"/>
      <c r="TOT98" s="46"/>
      <c r="TOU98" s="46"/>
      <c r="TOV98" s="46"/>
      <c r="TOW98" s="46"/>
      <c r="TOX98" s="46"/>
      <c r="TOY98" s="46"/>
      <c r="TOZ98" s="46"/>
      <c r="TPA98" s="46"/>
      <c r="TPB98" s="46"/>
      <c r="TPC98" s="46"/>
      <c r="TPD98" s="46"/>
      <c r="TPE98" s="46"/>
      <c r="TPF98" s="46"/>
      <c r="TPG98" s="46"/>
      <c r="TPH98" s="46"/>
      <c r="TPI98" s="46"/>
      <c r="TPJ98" s="46"/>
      <c r="TPK98" s="46"/>
      <c r="TPL98" s="46"/>
      <c r="TPM98" s="46"/>
      <c r="TPN98" s="46"/>
      <c r="TPO98" s="46"/>
      <c r="TPP98" s="46"/>
      <c r="TPQ98" s="46"/>
      <c r="TPR98" s="46"/>
      <c r="TPS98" s="46"/>
      <c r="TPT98" s="46"/>
      <c r="TPU98" s="46"/>
      <c r="TPV98" s="46"/>
      <c r="TPW98" s="46"/>
      <c r="TPX98" s="46"/>
      <c r="TPY98" s="46"/>
      <c r="TPZ98" s="46"/>
      <c r="TQA98" s="46"/>
      <c r="TQB98" s="46"/>
      <c r="TQC98" s="46"/>
      <c r="TQD98" s="46"/>
      <c r="TQE98" s="46"/>
      <c r="TQF98" s="46"/>
      <c r="TQG98" s="46"/>
      <c r="TQH98" s="46"/>
      <c r="TQI98" s="46"/>
      <c r="TQJ98" s="46"/>
      <c r="TQK98" s="46"/>
      <c r="TQL98" s="46"/>
      <c r="TQM98" s="46"/>
      <c r="TQN98" s="46"/>
      <c r="TQO98" s="46"/>
      <c r="TQP98" s="46"/>
      <c r="TQQ98" s="46"/>
      <c r="TQR98" s="46"/>
      <c r="TQS98" s="46"/>
      <c r="TQT98" s="46"/>
      <c r="TQU98" s="46"/>
      <c r="TQV98" s="46"/>
      <c r="TQW98" s="46"/>
      <c r="TQX98" s="46"/>
      <c r="TQY98" s="46"/>
      <c r="TQZ98" s="46"/>
      <c r="TRA98" s="46"/>
      <c r="TRB98" s="46"/>
      <c r="TRC98" s="46"/>
      <c r="TRD98" s="46"/>
      <c r="TRE98" s="46"/>
      <c r="TRF98" s="46"/>
      <c r="TRG98" s="46"/>
      <c r="TRH98" s="46"/>
      <c r="TRI98" s="46"/>
      <c r="TRJ98" s="46"/>
      <c r="TRK98" s="46"/>
      <c r="TRL98" s="46"/>
      <c r="TRM98" s="46"/>
      <c r="TRN98" s="46"/>
      <c r="TRO98" s="46"/>
      <c r="TRP98" s="46"/>
      <c r="TRQ98" s="46"/>
      <c r="TRR98" s="46"/>
      <c r="TRS98" s="46"/>
      <c r="TRT98" s="46"/>
      <c r="TRU98" s="46"/>
      <c r="TRV98" s="46"/>
      <c r="TRW98" s="46"/>
      <c r="TRX98" s="46"/>
      <c r="TRY98" s="46"/>
      <c r="TRZ98" s="46"/>
      <c r="TSA98" s="46"/>
      <c r="TSB98" s="46"/>
      <c r="TSC98" s="46"/>
      <c r="TSD98" s="46"/>
      <c r="TSE98" s="46"/>
      <c r="TSF98" s="46"/>
      <c r="TSG98" s="46"/>
      <c r="TSH98" s="46"/>
      <c r="TSI98" s="46"/>
      <c r="TSJ98" s="46"/>
      <c r="TSK98" s="46"/>
      <c r="TSL98" s="46"/>
      <c r="TSM98" s="46"/>
      <c r="TSN98" s="46"/>
      <c r="TSO98" s="46"/>
      <c r="TSP98" s="46"/>
      <c r="TSQ98" s="46"/>
      <c r="TSR98" s="46"/>
      <c r="TSS98" s="46"/>
      <c r="TST98" s="46"/>
      <c r="TSU98" s="46"/>
      <c r="TSV98" s="46"/>
      <c r="TSW98" s="46"/>
      <c r="TSX98" s="46"/>
      <c r="TSY98" s="46"/>
      <c r="TSZ98" s="46"/>
      <c r="TTA98" s="46"/>
      <c r="TTB98" s="46"/>
      <c r="TTC98" s="46"/>
      <c r="TTD98" s="46"/>
      <c r="TTE98" s="46"/>
      <c r="TTF98" s="46"/>
      <c r="TTG98" s="46"/>
      <c r="TTH98" s="46"/>
      <c r="TTI98" s="46"/>
      <c r="TTJ98" s="46"/>
      <c r="TTK98" s="46"/>
      <c r="TTL98" s="46"/>
      <c r="TTM98" s="46"/>
      <c r="TTN98" s="46"/>
      <c r="TTO98" s="46"/>
      <c r="TTP98" s="46"/>
      <c r="TTQ98" s="46"/>
      <c r="TTR98" s="46"/>
      <c r="TTS98" s="46"/>
      <c r="TTT98" s="46"/>
      <c r="TTU98" s="46"/>
      <c r="TTV98" s="46"/>
      <c r="TTW98" s="46"/>
      <c r="TTX98" s="46"/>
      <c r="TTY98" s="46"/>
      <c r="TTZ98" s="46"/>
      <c r="TUA98" s="46"/>
      <c r="TUB98" s="46"/>
      <c r="TUC98" s="46"/>
      <c r="TUD98" s="46"/>
      <c r="TUE98" s="46"/>
      <c r="TUF98" s="46"/>
      <c r="TUG98" s="46"/>
      <c r="TUH98" s="46"/>
      <c r="TUI98" s="46"/>
      <c r="TUJ98" s="46"/>
      <c r="TUK98" s="46"/>
      <c r="TUL98" s="46"/>
      <c r="TUM98" s="46"/>
      <c r="TUN98" s="46"/>
      <c r="TUO98" s="46"/>
      <c r="TUP98" s="46"/>
      <c r="TUQ98" s="46"/>
      <c r="TUR98" s="46"/>
      <c r="TUS98" s="46"/>
      <c r="TUT98" s="46"/>
      <c r="TUU98" s="46"/>
      <c r="TUV98" s="46"/>
      <c r="TUW98" s="46"/>
      <c r="TUX98" s="46"/>
      <c r="TUY98" s="46"/>
      <c r="TUZ98" s="46"/>
      <c r="TVA98" s="46"/>
      <c r="TVB98" s="46"/>
      <c r="TVC98" s="46"/>
      <c r="TVD98" s="46"/>
      <c r="TVE98" s="46"/>
      <c r="TVF98" s="46"/>
      <c r="TVG98" s="46"/>
      <c r="TVH98" s="46"/>
      <c r="TVI98" s="46"/>
      <c r="TVJ98" s="46"/>
      <c r="TVK98" s="46"/>
      <c r="TVL98" s="46"/>
      <c r="TVM98" s="46"/>
      <c r="TVN98" s="46"/>
      <c r="TVO98" s="46"/>
      <c r="TVP98" s="46"/>
      <c r="TVQ98" s="46"/>
      <c r="TVR98" s="46"/>
      <c r="TVS98" s="46"/>
      <c r="TVT98" s="46"/>
      <c r="TVU98" s="46"/>
      <c r="TVV98" s="46"/>
      <c r="TVW98" s="46"/>
      <c r="TVX98" s="46"/>
      <c r="TVY98" s="46"/>
      <c r="TVZ98" s="46"/>
      <c r="TWA98" s="46"/>
      <c r="TWB98" s="46"/>
      <c r="TWC98" s="46"/>
      <c r="TWD98" s="46"/>
      <c r="TWE98" s="46"/>
      <c r="TWF98" s="46"/>
      <c r="TWG98" s="46"/>
      <c r="TWH98" s="46"/>
      <c r="TWI98" s="46"/>
      <c r="TWJ98" s="46"/>
      <c r="TWK98" s="46"/>
      <c r="TWL98" s="46"/>
      <c r="TWM98" s="46"/>
      <c r="TWN98" s="46"/>
      <c r="TWO98" s="46"/>
      <c r="TWP98" s="46"/>
      <c r="TWQ98" s="46"/>
      <c r="TWR98" s="46"/>
      <c r="TWS98" s="46"/>
      <c r="TWT98" s="46"/>
      <c r="TWU98" s="46"/>
      <c r="TWV98" s="46"/>
      <c r="TWW98" s="46"/>
      <c r="TWX98" s="46"/>
      <c r="TWY98" s="46"/>
      <c r="TWZ98" s="46"/>
      <c r="TXA98" s="46"/>
      <c r="TXB98" s="46"/>
      <c r="TXC98" s="46"/>
      <c r="TXD98" s="46"/>
      <c r="TXE98" s="46"/>
      <c r="TXF98" s="46"/>
      <c r="TXG98" s="46"/>
      <c r="TXH98" s="46"/>
      <c r="TXI98" s="46"/>
      <c r="TXJ98" s="46"/>
      <c r="TXK98" s="46"/>
      <c r="TXL98" s="46"/>
      <c r="TXM98" s="46"/>
      <c r="TXN98" s="46"/>
      <c r="TXO98" s="46"/>
      <c r="TXP98" s="46"/>
      <c r="TXQ98" s="46"/>
      <c r="TXR98" s="46"/>
      <c r="TXS98" s="46"/>
      <c r="TXT98" s="46"/>
      <c r="TXU98" s="46"/>
      <c r="TXV98" s="46"/>
      <c r="TXW98" s="46"/>
      <c r="TXX98" s="46"/>
      <c r="TXY98" s="46"/>
      <c r="TXZ98" s="46"/>
      <c r="TYA98" s="46"/>
      <c r="TYB98" s="46"/>
      <c r="TYC98" s="46"/>
      <c r="TYD98" s="46"/>
      <c r="TYE98" s="46"/>
      <c r="TYF98" s="46"/>
      <c r="TYG98" s="46"/>
      <c r="TYH98" s="46"/>
      <c r="TYI98" s="46"/>
      <c r="TYJ98" s="46"/>
      <c r="TYK98" s="46"/>
      <c r="TYL98" s="46"/>
      <c r="TYM98" s="46"/>
      <c r="TYN98" s="46"/>
      <c r="TYO98" s="46"/>
      <c r="TYP98" s="46"/>
      <c r="TYQ98" s="46"/>
      <c r="TYR98" s="46"/>
      <c r="TYS98" s="46"/>
      <c r="TYT98" s="46"/>
      <c r="TYU98" s="46"/>
      <c r="TYV98" s="46"/>
      <c r="TYW98" s="46"/>
      <c r="TYX98" s="46"/>
      <c r="TYY98" s="46"/>
      <c r="TYZ98" s="46"/>
      <c r="TZA98" s="46"/>
      <c r="TZB98" s="46"/>
      <c r="TZC98" s="46"/>
      <c r="TZD98" s="46"/>
      <c r="TZE98" s="46"/>
      <c r="TZF98" s="46"/>
      <c r="TZG98" s="46"/>
      <c r="TZH98" s="46"/>
      <c r="TZI98" s="46"/>
      <c r="TZJ98" s="46"/>
      <c r="TZK98" s="46"/>
      <c r="TZL98" s="46"/>
      <c r="TZM98" s="46"/>
      <c r="TZN98" s="46"/>
      <c r="TZO98" s="46"/>
      <c r="TZP98" s="46"/>
      <c r="TZQ98" s="46"/>
      <c r="TZR98" s="46"/>
      <c r="TZS98" s="46"/>
      <c r="TZT98" s="46"/>
      <c r="TZU98" s="46"/>
      <c r="TZV98" s="46"/>
      <c r="TZW98" s="46"/>
      <c r="TZX98" s="46"/>
      <c r="TZY98" s="46"/>
      <c r="TZZ98" s="46"/>
      <c r="UAA98" s="46"/>
      <c r="UAB98" s="46"/>
      <c r="UAC98" s="46"/>
      <c r="UAD98" s="46"/>
      <c r="UAE98" s="46"/>
      <c r="UAF98" s="46"/>
      <c r="UAG98" s="46"/>
      <c r="UAH98" s="46"/>
      <c r="UAI98" s="46"/>
      <c r="UAJ98" s="46"/>
      <c r="UAK98" s="46"/>
      <c r="UAL98" s="46"/>
      <c r="UAM98" s="46"/>
      <c r="UAN98" s="46"/>
      <c r="UAO98" s="46"/>
      <c r="UAP98" s="46"/>
      <c r="UAQ98" s="46"/>
      <c r="UAR98" s="46"/>
      <c r="UAS98" s="46"/>
      <c r="UAT98" s="46"/>
      <c r="UAU98" s="46"/>
      <c r="UAV98" s="46"/>
      <c r="UAW98" s="46"/>
      <c r="UAX98" s="46"/>
      <c r="UAY98" s="46"/>
      <c r="UAZ98" s="46"/>
      <c r="UBA98" s="46"/>
      <c r="UBB98" s="46"/>
      <c r="UBC98" s="46"/>
      <c r="UBD98" s="46"/>
      <c r="UBE98" s="46"/>
      <c r="UBF98" s="46"/>
      <c r="UBG98" s="46"/>
      <c r="UBH98" s="46"/>
      <c r="UBI98" s="46"/>
      <c r="UBJ98" s="46"/>
      <c r="UBK98" s="46"/>
      <c r="UBL98" s="46"/>
      <c r="UBM98" s="46"/>
      <c r="UBN98" s="46"/>
      <c r="UBO98" s="46"/>
      <c r="UBP98" s="46"/>
      <c r="UBQ98" s="46"/>
      <c r="UBR98" s="46"/>
      <c r="UBS98" s="46"/>
      <c r="UBT98" s="46"/>
      <c r="UBU98" s="46"/>
      <c r="UBV98" s="46"/>
      <c r="UBW98" s="46"/>
      <c r="UBX98" s="46"/>
      <c r="UBY98" s="46"/>
      <c r="UBZ98" s="46"/>
      <c r="UCA98" s="46"/>
      <c r="UCB98" s="46"/>
      <c r="UCC98" s="46"/>
      <c r="UCD98" s="46"/>
      <c r="UCE98" s="46"/>
      <c r="UCF98" s="46"/>
      <c r="UCG98" s="46"/>
      <c r="UCH98" s="46"/>
      <c r="UCI98" s="46"/>
      <c r="UCJ98" s="46"/>
      <c r="UCK98" s="46"/>
      <c r="UCL98" s="46"/>
      <c r="UCM98" s="46"/>
      <c r="UCN98" s="46"/>
      <c r="UCO98" s="46"/>
      <c r="UCP98" s="46"/>
      <c r="UCQ98" s="46"/>
      <c r="UCR98" s="46"/>
      <c r="UCS98" s="46"/>
      <c r="UCT98" s="46"/>
      <c r="UCU98" s="46"/>
      <c r="UCV98" s="46"/>
      <c r="UCW98" s="46"/>
      <c r="UCX98" s="46"/>
      <c r="UCY98" s="46"/>
      <c r="UCZ98" s="46"/>
      <c r="UDA98" s="46"/>
      <c r="UDB98" s="46"/>
      <c r="UDC98" s="46"/>
      <c r="UDD98" s="46"/>
      <c r="UDE98" s="46"/>
      <c r="UDF98" s="46"/>
      <c r="UDG98" s="46"/>
      <c r="UDH98" s="46"/>
      <c r="UDI98" s="46"/>
      <c r="UDJ98" s="46"/>
      <c r="UDK98" s="46"/>
      <c r="UDL98" s="46"/>
      <c r="UDM98" s="46"/>
      <c r="UDN98" s="46"/>
      <c r="UDO98" s="46"/>
      <c r="UDP98" s="46"/>
      <c r="UDQ98" s="46"/>
      <c r="UDR98" s="46"/>
      <c r="UDS98" s="46"/>
      <c r="UDT98" s="46"/>
      <c r="UDU98" s="46"/>
      <c r="UDV98" s="46"/>
      <c r="UDW98" s="46"/>
      <c r="UDX98" s="46"/>
      <c r="UDY98" s="46"/>
      <c r="UDZ98" s="46"/>
      <c r="UEA98" s="46"/>
      <c r="UEB98" s="46"/>
      <c r="UEC98" s="46"/>
      <c r="UED98" s="46"/>
      <c r="UEE98" s="46"/>
      <c r="UEF98" s="46"/>
      <c r="UEG98" s="46"/>
      <c r="UEH98" s="46"/>
      <c r="UEI98" s="46"/>
      <c r="UEJ98" s="46"/>
      <c r="UEK98" s="46"/>
      <c r="UEL98" s="46"/>
      <c r="UEM98" s="46"/>
      <c r="UEN98" s="46"/>
      <c r="UEO98" s="46"/>
      <c r="UEP98" s="46"/>
      <c r="UEQ98" s="46"/>
      <c r="UER98" s="46"/>
      <c r="UES98" s="46"/>
      <c r="UET98" s="46"/>
      <c r="UEU98" s="46"/>
      <c r="UEV98" s="46"/>
      <c r="UEW98" s="46"/>
      <c r="UEX98" s="46"/>
      <c r="UEY98" s="46"/>
      <c r="UEZ98" s="46"/>
      <c r="UFA98" s="46"/>
      <c r="UFB98" s="46"/>
      <c r="UFC98" s="46"/>
      <c r="UFD98" s="46"/>
      <c r="UFE98" s="46"/>
      <c r="UFF98" s="46"/>
      <c r="UFG98" s="46"/>
      <c r="UFH98" s="46"/>
      <c r="UFI98" s="46"/>
      <c r="UFJ98" s="46"/>
      <c r="UFK98" s="46"/>
      <c r="UFL98" s="46"/>
      <c r="UFM98" s="46"/>
      <c r="UFN98" s="46"/>
      <c r="UFO98" s="46"/>
      <c r="UFP98" s="46"/>
      <c r="UFQ98" s="46"/>
      <c r="UFR98" s="46"/>
      <c r="UFS98" s="46"/>
      <c r="UFT98" s="46"/>
      <c r="UFU98" s="46"/>
      <c r="UFV98" s="46"/>
      <c r="UFW98" s="46"/>
      <c r="UFX98" s="46"/>
      <c r="UFY98" s="46"/>
      <c r="UFZ98" s="46"/>
      <c r="UGA98" s="46"/>
      <c r="UGB98" s="46"/>
      <c r="UGC98" s="46"/>
      <c r="UGD98" s="46"/>
      <c r="UGE98" s="46"/>
      <c r="UGF98" s="46"/>
      <c r="UGG98" s="46"/>
      <c r="UGH98" s="46"/>
      <c r="UGI98" s="46"/>
      <c r="UGJ98" s="46"/>
      <c r="UGK98" s="46"/>
      <c r="UGL98" s="46"/>
      <c r="UGM98" s="46"/>
      <c r="UGN98" s="46"/>
      <c r="UGO98" s="46"/>
      <c r="UGP98" s="46"/>
      <c r="UGQ98" s="46"/>
      <c r="UGR98" s="46"/>
      <c r="UGS98" s="46"/>
      <c r="UGT98" s="46"/>
      <c r="UGU98" s="46"/>
      <c r="UGV98" s="46"/>
      <c r="UGW98" s="46"/>
      <c r="UGX98" s="46"/>
      <c r="UGY98" s="46"/>
      <c r="UGZ98" s="46"/>
      <c r="UHA98" s="46"/>
      <c r="UHB98" s="46"/>
      <c r="UHC98" s="46"/>
      <c r="UHD98" s="46"/>
      <c r="UHE98" s="46"/>
      <c r="UHF98" s="46"/>
      <c r="UHG98" s="46"/>
      <c r="UHH98" s="46"/>
      <c r="UHI98" s="46"/>
      <c r="UHJ98" s="46"/>
      <c r="UHK98" s="46"/>
      <c r="UHL98" s="46"/>
      <c r="UHM98" s="46"/>
      <c r="UHN98" s="46"/>
      <c r="UHO98" s="46"/>
      <c r="UHP98" s="46"/>
      <c r="UHQ98" s="46"/>
      <c r="UHR98" s="46"/>
      <c r="UHS98" s="46"/>
      <c r="UHT98" s="46"/>
      <c r="UHU98" s="46"/>
      <c r="UHV98" s="46"/>
      <c r="UHW98" s="46"/>
      <c r="UHX98" s="46"/>
      <c r="UHY98" s="46"/>
      <c r="UHZ98" s="46"/>
      <c r="UIA98" s="46"/>
      <c r="UIB98" s="46"/>
      <c r="UIC98" s="46"/>
      <c r="UID98" s="46"/>
      <c r="UIE98" s="46"/>
      <c r="UIF98" s="46"/>
      <c r="UIG98" s="46"/>
      <c r="UIH98" s="46"/>
      <c r="UII98" s="46"/>
      <c r="UIJ98" s="46"/>
      <c r="UIK98" s="46"/>
      <c r="UIL98" s="46"/>
      <c r="UIM98" s="46"/>
      <c r="UIN98" s="46"/>
      <c r="UIO98" s="46"/>
      <c r="UIP98" s="46"/>
      <c r="UIQ98" s="46"/>
      <c r="UIR98" s="46"/>
      <c r="UIS98" s="46"/>
      <c r="UIT98" s="46"/>
      <c r="UIU98" s="46"/>
      <c r="UIV98" s="46"/>
      <c r="UIW98" s="46"/>
      <c r="UIX98" s="46"/>
      <c r="UIY98" s="46"/>
      <c r="UIZ98" s="46"/>
      <c r="UJA98" s="46"/>
      <c r="UJB98" s="46"/>
      <c r="UJC98" s="46"/>
      <c r="UJD98" s="46"/>
      <c r="UJE98" s="46"/>
      <c r="UJF98" s="46"/>
      <c r="UJG98" s="46"/>
      <c r="UJH98" s="46"/>
      <c r="UJI98" s="46"/>
      <c r="UJJ98" s="46"/>
      <c r="UJK98" s="46"/>
      <c r="UJL98" s="46"/>
      <c r="UJM98" s="46"/>
      <c r="UJN98" s="46"/>
      <c r="UJO98" s="46"/>
      <c r="UJP98" s="46"/>
      <c r="UJQ98" s="46"/>
      <c r="UJR98" s="46"/>
      <c r="UJS98" s="46"/>
      <c r="UJT98" s="46"/>
      <c r="UJU98" s="46"/>
      <c r="UJV98" s="46"/>
      <c r="UJW98" s="46"/>
      <c r="UJX98" s="46"/>
      <c r="UJY98" s="46"/>
      <c r="UJZ98" s="46"/>
      <c r="UKA98" s="46"/>
      <c r="UKB98" s="46"/>
      <c r="UKC98" s="46"/>
      <c r="UKD98" s="46"/>
      <c r="UKE98" s="46"/>
      <c r="UKF98" s="46"/>
      <c r="UKG98" s="46"/>
      <c r="UKH98" s="46"/>
      <c r="UKI98" s="46"/>
      <c r="UKJ98" s="46"/>
      <c r="UKK98" s="46"/>
      <c r="UKL98" s="46"/>
      <c r="UKM98" s="46"/>
      <c r="UKN98" s="46"/>
      <c r="UKO98" s="46"/>
      <c r="UKP98" s="46"/>
      <c r="UKQ98" s="46"/>
      <c r="UKR98" s="46"/>
      <c r="UKS98" s="46"/>
      <c r="UKT98" s="46"/>
      <c r="UKU98" s="46"/>
      <c r="UKV98" s="46"/>
      <c r="UKW98" s="46"/>
      <c r="UKX98" s="46"/>
      <c r="UKY98" s="46"/>
      <c r="UKZ98" s="46"/>
      <c r="ULA98" s="46"/>
      <c r="ULB98" s="46"/>
      <c r="ULC98" s="46"/>
      <c r="ULD98" s="46"/>
      <c r="ULE98" s="46"/>
      <c r="ULF98" s="46"/>
      <c r="ULG98" s="46"/>
      <c r="ULH98" s="46"/>
      <c r="ULI98" s="46"/>
      <c r="ULJ98" s="46"/>
      <c r="ULK98" s="46"/>
      <c r="ULL98" s="46"/>
      <c r="ULM98" s="46"/>
      <c r="ULN98" s="46"/>
      <c r="ULO98" s="46"/>
      <c r="ULP98" s="46"/>
      <c r="ULQ98" s="46"/>
      <c r="ULR98" s="46"/>
      <c r="ULS98" s="46"/>
      <c r="ULT98" s="46"/>
      <c r="ULU98" s="46"/>
      <c r="ULV98" s="46"/>
      <c r="ULW98" s="46"/>
      <c r="ULX98" s="46"/>
      <c r="ULY98" s="46"/>
      <c r="ULZ98" s="46"/>
      <c r="UMA98" s="46"/>
      <c r="UMB98" s="46"/>
      <c r="UMC98" s="46"/>
      <c r="UMD98" s="46"/>
      <c r="UME98" s="46"/>
      <c r="UMF98" s="46"/>
      <c r="UMG98" s="46"/>
      <c r="UMH98" s="46"/>
      <c r="UMI98" s="46"/>
      <c r="UMJ98" s="46"/>
      <c r="UMK98" s="46"/>
      <c r="UML98" s="46"/>
      <c r="UMM98" s="46"/>
      <c r="UMN98" s="46"/>
      <c r="UMO98" s="46"/>
      <c r="UMP98" s="46"/>
      <c r="UMQ98" s="46"/>
      <c r="UMR98" s="46"/>
      <c r="UMS98" s="46"/>
      <c r="UMT98" s="46"/>
      <c r="UMU98" s="46"/>
      <c r="UMV98" s="46"/>
      <c r="UMW98" s="46"/>
      <c r="UMX98" s="46"/>
      <c r="UMY98" s="46"/>
      <c r="UMZ98" s="46"/>
      <c r="UNA98" s="46"/>
      <c r="UNB98" s="46"/>
      <c r="UNC98" s="46"/>
      <c r="UND98" s="46"/>
      <c r="UNE98" s="46"/>
      <c r="UNF98" s="46"/>
      <c r="UNG98" s="46"/>
      <c r="UNH98" s="46"/>
      <c r="UNI98" s="46"/>
      <c r="UNJ98" s="46"/>
      <c r="UNK98" s="46"/>
      <c r="UNL98" s="46"/>
      <c r="UNM98" s="46"/>
      <c r="UNN98" s="46"/>
      <c r="UNO98" s="46"/>
      <c r="UNP98" s="46"/>
      <c r="UNQ98" s="46"/>
      <c r="UNR98" s="46"/>
      <c r="UNS98" s="46"/>
      <c r="UNT98" s="46"/>
      <c r="UNU98" s="46"/>
      <c r="UNV98" s="46"/>
      <c r="UNW98" s="46"/>
      <c r="UNX98" s="46"/>
      <c r="UNY98" s="46"/>
      <c r="UNZ98" s="46"/>
      <c r="UOA98" s="46"/>
      <c r="UOB98" s="46"/>
      <c r="UOC98" s="46"/>
      <c r="UOD98" s="46"/>
      <c r="UOE98" s="46"/>
      <c r="UOF98" s="46"/>
      <c r="UOG98" s="46"/>
      <c r="UOH98" s="46"/>
      <c r="UOI98" s="46"/>
      <c r="UOJ98" s="46"/>
      <c r="UOK98" s="46"/>
      <c r="UOL98" s="46"/>
      <c r="UOM98" s="46"/>
      <c r="UON98" s="46"/>
      <c r="UOO98" s="46"/>
      <c r="UOP98" s="46"/>
      <c r="UOQ98" s="46"/>
      <c r="UOR98" s="46"/>
      <c r="UOS98" s="46"/>
      <c r="UOT98" s="46"/>
      <c r="UOU98" s="46"/>
      <c r="UOV98" s="46"/>
      <c r="UOW98" s="46"/>
      <c r="UOX98" s="46"/>
      <c r="UOY98" s="46"/>
      <c r="UOZ98" s="46"/>
      <c r="UPA98" s="46"/>
      <c r="UPB98" s="46"/>
      <c r="UPC98" s="46"/>
      <c r="UPD98" s="46"/>
      <c r="UPE98" s="46"/>
      <c r="UPF98" s="46"/>
      <c r="UPG98" s="46"/>
      <c r="UPH98" s="46"/>
      <c r="UPI98" s="46"/>
      <c r="UPJ98" s="46"/>
      <c r="UPK98" s="46"/>
      <c r="UPL98" s="46"/>
      <c r="UPM98" s="46"/>
      <c r="UPN98" s="46"/>
      <c r="UPO98" s="46"/>
      <c r="UPP98" s="46"/>
      <c r="UPQ98" s="46"/>
      <c r="UPR98" s="46"/>
      <c r="UPS98" s="46"/>
      <c r="UPT98" s="46"/>
      <c r="UPU98" s="46"/>
      <c r="UPV98" s="46"/>
      <c r="UPW98" s="46"/>
      <c r="UPX98" s="46"/>
      <c r="UPY98" s="46"/>
      <c r="UPZ98" s="46"/>
      <c r="UQA98" s="46"/>
      <c r="UQB98" s="46"/>
      <c r="UQC98" s="46"/>
      <c r="UQD98" s="46"/>
      <c r="UQE98" s="46"/>
      <c r="UQF98" s="46"/>
      <c r="UQG98" s="46"/>
      <c r="UQH98" s="46"/>
      <c r="UQI98" s="46"/>
      <c r="UQJ98" s="46"/>
      <c r="UQK98" s="46"/>
      <c r="UQL98" s="46"/>
      <c r="UQM98" s="46"/>
      <c r="UQN98" s="46"/>
      <c r="UQO98" s="46"/>
      <c r="UQP98" s="46"/>
      <c r="UQQ98" s="46"/>
      <c r="UQR98" s="46"/>
      <c r="UQS98" s="46"/>
      <c r="UQT98" s="46"/>
      <c r="UQU98" s="46"/>
      <c r="UQV98" s="46"/>
      <c r="UQW98" s="46"/>
      <c r="UQX98" s="46"/>
      <c r="UQY98" s="46"/>
      <c r="UQZ98" s="46"/>
      <c r="URA98" s="46"/>
      <c r="URB98" s="46"/>
      <c r="URC98" s="46"/>
      <c r="URD98" s="46"/>
      <c r="URE98" s="46"/>
      <c r="URF98" s="46"/>
      <c r="URG98" s="46"/>
      <c r="URH98" s="46"/>
      <c r="URI98" s="46"/>
      <c r="URJ98" s="46"/>
      <c r="URK98" s="46"/>
      <c r="URL98" s="46"/>
      <c r="URM98" s="46"/>
      <c r="URN98" s="46"/>
      <c r="URO98" s="46"/>
      <c r="URP98" s="46"/>
      <c r="URQ98" s="46"/>
      <c r="URR98" s="46"/>
      <c r="URS98" s="46"/>
      <c r="URT98" s="46"/>
      <c r="URU98" s="46"/>
      <c r="URV98" s="46"/>
      <c r="URW98" s="46"/>
      <c r="URX98" s="46"/>
      <c r="URY98" s="46"/>
      <c r="URZ98" s="46"/>
      <c r="USA98" s="46"/>
      <c r="USB98" s="46"/>
      <c r="USC98" s="46"/>
      <c r="USD98" s="46"/>
      <c r="USE98" s="46"/>
      <c r="USF98" s="46"/>
      <c r="USG98" s="46"/>
      <c r="USH98" s="46"/>
      <c r="USI98" s="46"/>
      <c r="USJ98" s="46"/>
      <c r="USK98" s="46"/>
      <c r="USL98" s="46"/>
      <c r="USM98" s="46"/>
      <c r="USN98" s="46"/>
      <c r="USO98" s="46"/>
      <c r="USP98" s="46"/>
      <c r="USQ98" s="46"/>
      <c r="USR98" s="46"/>
      <c r="USS98" s="46"/>
      <c r="UST98" s="46"/>
      <c r="USU98" s="46"/>
      <c r="USV98" s="46"/>
      <c r="USW98" s="46"/>
      <c r="USX98" s="46"/>
      <c r="USY98" s="46"/>
      <c r="USZ98" s="46"/>
      <c r="UTA98" s="46"/>
      <c r="UTB98" s="46"/>
      <c r="UTC98" s="46"/>
      <c r="UTD98" s="46"/>
      <c r="UTE98" s="46"/>
      <c r="UTF98" s="46"/>
      <c r="UTG98" s="46"/>
      <c r="UTH98" s="46"/>
      <c r="UTI98" s="46"/>
      <c r="UTJ98" s="46"/>
      <c r="UTK98" s="46"/>
      <c r="UTL98" s="46"/>
      <c r="UTM98" s="46"/>
      <c r="UTN98" s="46"/>
      <c r="UTO98" s="46"/>
      <c r="UTP98" s="46"/>
      <c r="UTQ98" s="46"/>
      <c r="UTR98" s="46"/>
      <c r="UTS98" s="46"/>
      <c r="UTT98" s="46"/>
      <c r="UTU98" s="46"/>
      <c r="UTV98" s="46"/>
      <c r="UTW98" s="46"/>
      <c r="UTX98" s="46"/>
      <c r="UTY98" s="46"/>
      <c r="UTZ98" s="46"/>
      <c r="UUA98" s="46"/>
      <c r="UUB98" s="46"/>
      <c r="UUC98" s="46"/>
      <c r="UUD98" s="46"/>
      <c r="UUE98" s="46"/>
      <c r="UUF98" s="46"/>
      <c r="UUG98" s="46"/>
      <c r="UUH98" s="46"/>
      <c r="UUI98" s="46"/>
      <c r="UUJ98" s="46"/>
      <c r="UUK98" s="46"/>
      <c r="UUL98" s="46"/>
      <c r="UUM98" s="46"/>
      <c r="UUN98" s="46"/>
      <c r="UUO98" s="46"/>
      <c r="UUP98" s="46"/>
      <c r="UUQ98" s="46"/>
      <c r="UUR98" s="46"/>
      <c r="UUS98" s="46"/>
      <c r="UUT98" s="46"/>
      <c r="UUU98" s="46"/>
      <c r="UUV98" s="46"/>
      <c r="UUW98" s="46"/>
      <c r="UUX98" s="46"/>
      <c r="UUY98" s="46"/>
      <c r="UUZ98" s="46"/>
      <c r="UVA98" s="46"/>
      <c r="UVB98" s="46"/>
      <c r="UVC98" s="46"/>
      <c r="UVD98" s="46"/>
      <c r="UVE98" s="46"/>
      <c r="UVF98" s="46"/>
      <c r="UVG98" s="46"/>
      <c r="UVH98" s="46"/>
      <c r="UVI98" s="46"/>
      <c r="UVJ98" s="46"/>
      <c r="UVK98" s="46"/>
      <c r="UVL98" s="46"/>
      <c r="UVM98" s="46"/>
      <c r="UVN98" s="46"/>
      <c r="UVO98" s="46"/>
      <c r="UVP98" s="46"/>
      <c r="UVQ98" s="46"/>
      <c r="UVR98" s="46"/>
      <c r="UVS98" s="46"/>
      <c r="UVT98" s="46"/>
      <c r="UVU98" s="46"/>
      <c r="UVV98" s="46"/>
      <c r="UVW98" s="46"/>
      <c r="UVX98" s="46"/>
      <c r="UVY98" s="46"/>
      <c r="UVZ98" s="46"/>
      <c r="UWA98" s="46"/>
      <c r="UWB98" s="46"/>
      <c r="UWC98" s="46"/>
      <c r="UWD98" s="46"/>
      <c r="UWE98" s="46"/>
      <c r="UWF98" s="46"/>
      <c r="UWG98" s="46"/>
      <c r="UWH98" s="46"/>
      <c r="UWI98" s="46"/>
      <c r="UWJ98" s="46"/>
      <c r="UWK98" s="46"/>
      <c r="UWL98" s="46"/>
      <c r="UWM98" s="46"/>
      <c r="UWN98" s="46"/>
      <c r="UWO98" s="46"/>
      <c r="UWP98" s="46"/>
      <c r="UWQ98" s="46"/>
      <c r="UWR98" s="46"/>
      <c r="UWS98" s="46"/>
      <c r="UWT98" s="46"/>
      <c r="UWU98" s="46"/>
      <c r="UWV98" s="46"/>
      <c r="UWW98" s="46"/>
      <c r="UWX98" s="46"/>
      <c r="UWY98" s="46"/>
      <c r="UWZ98" s="46"/>
      <c r="UXA98" s="46"/>
      <c r="UXB98" s="46"/>
      <c r="UXC98" s="46"/>
      <c r="UXD98" s="46"/>
      <c r="UXE98" s="46"/>
      <c r="UXF98" s="46"/>
      <c r="UXG98" s="46"/>
      <c r="UXH98" s="46"/>
      <c r="UXI98" s="46"/>
      <c r="UXJ98" s="46"/>
      <c r="UXK98" s="46"/>
      <c r="UXL98" s="46"/>
      <c r="UXM98" s="46"/>
      <c r="UXN98" s="46"/>
      <c r="UXO98" s="46"/>
      <c r="UXP98" s="46"/>
      <c r="UXQ98" s="46"/>
      <c r="UXR98" s="46"/>
      <c r="UXS98" s="46"/>
      <c r="UXT98" s="46"/>
      <c r="UXU98" s="46"/>
      <c r="UXV98" s="46"/>
      <c r="UXW98" s="46"/>
      <c r="UXX98" s="46"/>
      <c r="UXY98" s="46"/>
      <c r="UXZ98" s="46"/>
      <c r="UYA98" s="46"/>
      <c r="UYB98" s="46"/>
      <c r="UYC98" s="46"/>
      <c r="UYD98" s="46"/>
      <c r="UYE98" s="46"/>
      <c r="UYF98" s="46"/>
      <c r="UYG98" s="46"/>
      <c r="UYH98" s="46"/>
      <c r="UYI98" s="46"/>
      <c r="UYJ98" s="46"/>
      <c r="UYK98" s="46"/>
      <c r="UYL98" s="46"/>
      <c r="UYM98" s="46"/>
      <c r="UYN98" s="46"/>
      <c r="UYO98" s="46"/>
      <c r="UYP98" s="46"/>
      <c r="UYQ98" s="46"/>
      <c r="UYR98" s="46"/>
      <c r="UYS98" s="46"/>
      <c r="UYT98" s="46"/>
      <c r="UYU98" s="46"/>
      <c r="UYV98" s="46"/>
      <c r="UYW98" s="46"/>
      <c r="UYX98" s="46"/>
      <c r="UYY98" s="46"/>
      <c r="UYZ98" s="46"/>
      <c r="UZA98" s="46"/>
      <c r="UZB98" s="46"/>
      <c r="UZC98" s="46"/>
      <c r="UZD98" s="46"/>
      <c r="UZE98" s="46"/>
      <c r="UZF98" s="46"/>
      <c r="UZG98" s="46"/>
      <c r="UZH98" s="46"/>
      <c r="UZI98" s="46"/>
      <c r="UZJ98" s="46"/>
      <c r="UZK98" s="46"/>
      <c r="UZL98" s="46"/>
      <c r="UZM98" s="46"/>
      <c r="UZN98" s="46"/>
      <c r="UZO98" s="46"/>
      <c r="UZP98" s="46"/>
      <c r="UZQ98" s="46"/>
      <c r="UZR98" s="46"/>
      <c r="UZS98" s="46"/>
      <c r="UZT98" s="46"/>
      <c r="UZU98" s="46"/>
      <c r="UZV98" s="46"/>
      <c r="UZW98" s="46"/>
      <c r="UZX98" s="46"/>
      <c r="UZY98" s="46"/>
      <c r="UZZ98" s="46"/>
      <c r="VAA98" s="46"/>
      <c r="VAB98" s="46"/>
      <c r="VAC98" s="46"/>
      <c r="VAD98" s="46"/>
      <c r="VAE98" s="46"/>
      <c r="VAF98" s="46"/>
      <c r="VAG98" s="46"/>
      <c r="VAH98" s="46"/>
      <c r="VAI98" s="46"/>
      <c r="VAJ98" s="46"/>
      <c r="VAK98" s="46"/>
      <c r="VAL98" s="46"/>
      <c r="VAM98" s="46"/>
      <c r="VAN98" s="46"/>
      <c r="VAO98" s="46"/>
      <c r="VAP98" s="46"/>
      <c r="VAQ98" s="46"/>
      <c r="VAR98" s="46"/>
      <c r="VAS98" s="46"/>
      <c r="VAT98" s="46"/>
      <c r="VAU98" s="46"/>
      <c r="VAV98" s="46"/>
      <c r="VAW98" s="46"/>
      <c r="VAX98" s="46"/>
      <c r="VAY98" s="46"/>
      <c r="VAZ98" s="46"/>
      <c r="VBA98" s="46"/>
      <c r="VBB98" s="46"/>
      <c r="VBC98" s="46"/>
      <c r="VBD98" s="46"/>
      <c r="VBE98" s="46"/>
      <c r="VBF98" s="46"/>
      <c r="VBG98" s="46"/>
      <c r="VBH98" s="46"/>
      <c r="VBI98" s="46"/>
      <c r="VBJ98" s="46"/>
      <c r="VBK98" s="46"/>
      <c r="VBL98" s="46"/>
      <c r="VBM98" s="46"/>
      <c r="VBN98" s="46"/>
      <c r="VBO98" s="46"/>
      <c r="VBP98" s="46"/>
      <c r="VBQ98" s="46"/>
      <c r="VBR98" s="46"/>
      <c r="VBS98" s="46"/>
      <c r="VBT98" s="46"/>
      <c r="VBU98" s="46"/>
      <c r="VBV98" s="46"/>
      <c r="VBW98" s="46"/>
      <c r="VBX98" s="46"/>
      <c r="VBY98" s="46"/>
      <c r="VBZ98" s="46"/>
      <c r="VCA98" s="46"/>
      <c r="VCB98" s="46"/>
      <c r="VCC98" s="46"/>
      <c r="VCD98" s="46"/>
      <c r="VCE98" s="46"/>
      <c r="VCF98" s="46"/>
      <c r="VCG98" s="46"/>
      <c r="VCH98" s="46"/>
      <c r="VCI98" s="46"/>
      <c r="VCJ98" s="46"/>
      <c r="VCK98" s="46"/>
      <c r="VCL98" s="46"/>
      <c r="VCM98" s="46"/>
      <c r="VCN98" s="46"/>
      <c r="VCO98" s="46"/>
      <c r="VCP98" s="46"/>
      <c r="VCQ98" s="46"/>
      <c r="VCR98" s="46"/>
      <c r="VCS98" s="46"/>
      <c r="VCT98" s="46"/>
      <c r="VCU98" s="46"/>
      <c r="VCV98" s="46"/>
      <c r="VCW98" s="46"/>
      <c r="VCX98" s="46"/>
      <c r="VCY98" s="46"/>
      <c r="VCZ98" s="46"/>
      <c r="VDA98" s="46"/>
      <c r="VDB98" s="46"/>
      <c r="VDC98" s="46"/>
      <c r="VDD98" s="46"/>
      <c r="VDE98" s="46"/>
      <c r="VDF98" s="46"/>
      <c r="VDG98" s="46"/>
      <c r="VDH98" s="46"/>
      <c r="VDI98" s="46"/>
      <c r="VDJ98" s="46"/>
      <c r="VDK98" s="46"/>
      <c r="VDL98" s="46"/>
      <c r="VDM98" s="46"/>
      <c r="VDN98" s="46"/>
      <c r="VDO98" s="46"/>
      <c r="VDP98" s="46"/>
      <c r="VDQ98" s="46"/>
      <c r="VDR98" s="46"/>
      <c r="VDS98" s="46"/>
      <c r="VDT98" s="46"/>
      <c r="VDU98" s="46"/>
      <c r="VDV98" s="46"/>
      <c r="VDW98" s="46"/>
      <c r="VDX98" s="46"/>
      <c r="VDY98" s="46"/>
      <c r="VDZ98" s="46"/>
      <c r="VEA98" s="46"/>
      <c r="VEB98" s="46"/>
      <c r="VEC98" s="46"/>
      <c r="VED98" s="46"/>
      <c r="VEE98" s="46"/>
      <c r="VEF98" s="46"/>
      <c r="VEG98" s="46"/>
      <c r="VEH98" s="46"/>
      <c r="VEI98" s="46"/>
      <c r="VEJ98" s="46"/>
      <c r="VEK98" s="46"/>
      <c r="VEL98" s="46"/>
      <c r="VEM98" s="46"/>
      <c r="VEN98" s="46"/>
      <c r="VEO98" s="46"/>
      <c r="VEP98" s="46"/>
      <c r="VEQ98" s="46"/>
      <c r="VER98" s="46"/>
      <c r="VES98" s="46"/>
      <c r="VET98" s="46"/>
      <c r="VEU98" s="46"/>
      <c r="VEV98" s="46"/>
      <c r="VEW98" s="46"/>
      <c r="VEX98" s="46"/>
      <c r="VEY98" s="46"/>
      <c r="VEZ98" s="46"/>
      <c r="VFA98" s="46"/>
      <c r="VFB98" s="46"/>
      <c r="VFC98" s="46"/>
      <c r="VFD98" s="46"/>
      <c r="VFE98" s="46"/>
      <c r="VFF98" s="46"/>
      <c r="VFG98" s="46"/>
      <c r="VFH98" s="46"/>
      <c r="VFI98" s="46"/>
      <c r="VFJ98" s="46"/>
      <c r="VFK98" s="46"/>
      <c r="VFL98" s="46"/>
      <c r="VFM98" s="46"/>
      <c r="VFN98" s="46"/>
      <c r="VFO98" s="46"/>
      <c r="VFP98" s="46"/>
      <c r="VFQ98" s="46"/>
      <c r="VFR98" s="46"/>
      <c r="VFS98" s="46"/>
      <c r="VFT98" s="46"/>
      <c r="VFU98" s="46"/>
      <c r="VFV98" s="46"/>
      <c r="VFW98" s="46"/>
      <c r="VFX98" s="46"/>
      <c r="VFY98" s="46"/>
      <c r="VFZ98" s="46"/>
      <c r="VGA98" s="46"/>
      <c r="VGB98" s="46"/>
      <c r="VGC98" s="46"/>
      <c r="VGD98" s="46"/>
      <c r="VGE98" s="46"/>
      <c r="VGF98" s="46"/>
      <c r="VGG98" s="46"/>
      <c r="VGH98" s="46"/>
      <c r="VGI98" s="46"/>
      <c r="VGJ98" s="46"/>
      <c r="VGK98" s="46"/>
      <c r="VGL98" s="46"/>
      <c r="VGM98" s="46"/>
      <c r="VGN98" s="46"/>
      <c r="VGO98" s="46"/>
      <c r="VGP98" s="46"/>
      <c r="VGQ98" s="46"/>
      <c r="VGR98" s="46"/>
      <c r="VGS98" s="46"/>
      <c r="VGT98" s="46"/>
      <c r="VGU98" s="46"/>
      <c r="VGV98" s="46"/>
      <c r="VGW98" s="46"/>
      <c r="VGX98" s="46"/>
      <c r="VGY98" s="46"/>
      <c r="VGZ98" s="46"/>
      <c r="VHA98" s="46"/>
      <c r="VHB98" s="46"/>
      <c r="VHC98" s="46"/>
      <c r="VHD98" s="46"/>
      <c r="VHE98" s="46"/>
      <c r="VHF98" s="46"/>
      <c r="VHG98" s="46"/>
      <c r="VHH98" s="46"/>
      <c r="VHI98" s="46"/>
      <c r="VHJ98" s="46"/>
      <c r="VHK98" s="46"/>
      <c r="VHL98" s="46"/>
      <c r="VHM98" s="46"/>
      <c r="VHN98" s="46"/>
      <c r="VHO98" s="46"/>
      <c r="VHP98" s="46"/>
      <c r="VHQ98" s="46"/>
      <c r="VHR98" s="46"/>
      <c r="VHS98" s="46"/>
      <c r="VHT98" s="46"/>
      <c r="VHU98" s="46"/>
      <c r="VHV98" s="46"/>
      <c r="VHW98" s="46"/>
      <c r="VHX98" s="46"/>
      <c r="VHY98" s="46"/>
      <c r="VHZ98" s="46"/>
      <c r="VIA98" s="46"/>
      <c r="VIB98" s="46"/>
      <c r="VIC98" s="46"/>
      <c r="VID98" s="46"/>
      <c r="VIE98" s="46"/>
      <c r="VIF98" s="46"/>
      <c r="VIG98" s="46"/>
      <c r="VIH98" s="46"/>
      <c r="VII98" s="46"/>
      <c r="VIJ98" s="46"/>
      <c r="VIK98" s="46"/>
      <c r="VIL98" s="46"/>
      <c r="VIM98" s="46"/>
      <c r="VIN98" s="46"/>
      <c r="VIO98" s="46"/>
      <c r="VIP98" s="46"/>
      <c r="VIQ98" s="46"/>
      <c r="VIR98" s="46"/>
      <c r="VIS98" s="46"/>
      <c r="VIT98" s="46"/>
      <c r="VIU98" s="46"/>
      <c r="VIV98" s="46"/>
      <c r="VIW98" s="46"/>
      <c r="VIX98" s="46"/>
      <c r="VIY98" s="46"/>
      <c r="VIZ98" s="46"/>
      <c r="VJA98" s="46"/>
      <c r="VJB98" s="46"/>
      <c r="VJC98" s="46"/>
      <c r="VJD98" s="46"/>
      <c r="VJE98" s="46"/>
      <c r="VJF98" s="46"/>
      <c r="VJG98" s="46"/>
      <c r="VJH98" s="46"/>
      <c r="VJI98" s="46"/>
      <c r="VJJ98" s="46"/>
      <c r="VJK98" s="46"/>
      <c r="VJL98" s="46"/>
      <c r="VJM98" s="46"/>
      <c r="VJN98" s="46"/>
      <c r="VJO98" s="46"/>
      <c r="VJP98" s="46"/>
      <c r="VJQ98" s="46"/>
      <c r="VJR98" s="46"/>
      <c r="VJS98" s="46"/>
      <c r="VJT98" s="46"/>
      <c r="VJU98" s="46"/>
      <c r="VJV98" s="46"/>
      <c r="VJW98" s="46"/>
      <c r="VJX98" s="46"/>
      <c r="VJY98" s="46"/>
      <c r="VJZ98" s="46"/>
      <c r="VKA98" s="46"/>
      <c r="VKB98" s="46"/>
      <c r="VKC98" s="46"/>
      <c r="VKD98" s="46"/>
      <c r="VKE98" s="46"/>
      <c r="VKF98" s="46"/>
      <c r="VKG98" s="46"/>
      <c r="VKH98" s="46"/>
      <c r="VKI98" s="46"/>
      <c r="VKJ98" s="46"/>
      <c r="VKK98" s="46"/>
      <c r="VKL98" s="46"/>
      <c r="VKM98" s="46"/>
      <c r="VKN98" s="46"/>
      <c r="VKO98" s="46"/>
      <c r="VKP98" s="46"/>
      <c r="VKQ98" s="46"/>
      <c r="VKR98" s="46"/>
      <c r="VKS98" s="46"/>
      <c r="VKT98" s="46"/>
      <c r="VKU98" s="46"/>
      <c r="VKV98" s="46"/>
      <c r="VKW98" s="46"/>
      <c r="VKX98" s="46"/>
      <c r="VKY98" s="46"/>
      <c r="VKZ98" s="46"/>
      <c r="VLA98" s="46"/>
      <c r="VLB98" s="46"/>
      <c r="VLC98" s="46"/>
      <c r="VLD98" s="46"/>
      <c r="VLE98" s="46"/>
      <c r="VLF98" s="46"/>
      <c r="VLG98" s="46"/>
      <c r="VLH98" s="46"/>
      <c r="VLI98" s="46"/>
      <c r="VLJ98" s="46"/>
      <c r="VLK98" s="46"/>
      <c r="VLL98" s="46"/>
      <c r="VLM98" s="46"/>
      <c r="VLN98" s="46"/>
      <c r="VLO98" s="46"/>
      <c r="VLP98" s="46"/>
      <c r="VLQ98" s="46"/>
      <c r="VLR98" s="46"/>
      <c r="VLS98" s="46"/>
      <c r="VLT98" s="46"/>
      <c r="VLU98" s="46"/>
      <c r="VLV98" s="46"/>
      <c r="VLW98" s="46"/>
      <c r="VLX98" s="46"/>
      <c r="VLY98" s="46"/>
      <c r="VLZ98" s="46"/>
      <c r="VMA98" s="46"/>
      <c r="VMB98" s="46"/>
      <c r="VMC98" s="46"/>
      <c r="VMD98" s="46"/>
      <c r="VME98" s="46"/>
      <c r="VMF98" s="46"/>
      <c r="VMG98" s="46"/>
      <c r="VMH98" s="46"/>
      <c r="VMI98" s="46"/>
      <c r="VMJ98" s="46"/>
      <c r="VMK98" s="46"/>
      <c r="VML98" s="46"/>
      <c r="VMM98" s="46"/>
      <c r="VMN98" s="46"/>
      <c r="VMO98" s="46"/>
      <c r="VMP98" s="46"/>
      <c r="VMQ98" s="46"/>
      <c r="VMR98" s="46"/>
      <c r="VMS98" s="46"/>
      <c r="VMT98" s="46"/>
      <c r="VMU98" s="46"/>
      <c r="VMV98" s="46"/>
      <c r="VMW98" s="46"/>
      <c r="VMX98" s="46"/>
      <c r="VMY98" s="46"/>
      <c r="VMZ98" s="46"/>
      <c r="VNA98" s="46"/>
      <c r="VNB98" s="46"/>
      <c r="VNC98" s="46"/>
      <c r="VND98" s="46"/>
      <c r="VNE98" s="46"/>
      <c r="VNF98" s="46"/>
      <c r="VNG98" s="46"/>
      <c r="VNH98" s="46"/>
      <c r="VNI98" s="46"/>
      <c r="VNJ98" s="46"/>
      <c r="VNK98" s="46"/>
      <c r="VNL98" s="46"/>
      <c r="VNM98" s="46"/>
      <c r="VNN98" s="46"/>
      <c r="VNO98" s="46"/>
      <c r="VNP98" s="46"/>
      <c r="VNQ98" s="46"/>
      <c r="VNR98" s="46"/>
      <c r="VNS98" s="46"/>
      <c r="VNT98" s="46"/>
      <c r="VNU98" s="46"/>
      <c r="VNV98" s="46"/>
      <c r="VNW98" s="46"/>
      <c r="VNX98" s="46"/>
      <c r="VNY98" s="46"/>
      <c r="VNZ98" s="46"/>
      <c r="VOA98" s="46"/>
      <c r="VOB98" s="46"/>
      <c r="VOC98" s="46"/>
      <c r="VOD98" s="46"/>
      <c r="VOE98" s="46"/>
      <c r="VOF98" s="46"/>
      <c r="VOG98" s="46"/>
      <c r="VOH98" s="46"/>
      <c r="VOI98" s="46"/>
      <c r="VOJ98" s="46"/>
      <c r="VOK98" s="46"/>
      <c r="VOL98" s="46"/>
      <c r="VOM98" s="46"/>
      <c r="VON98" s="46"/>
      <c r="VOO98" s="46"/>
      <c r="VOP98" s="46"/>
      <c r="VOQ98" s="46"/>
      <c r="VOR98" s="46"/>
      <c r="VOS98" s="46"/>
      <c r="VOT98" s="46"/>
      <c r="VOU98" s="46"/>
      <c r="VOV98" s="46"/>
      <c r="VOW98" s="46"/>
      <c r="VOX98" s="46"/>
      <c r="VOY98" s="46"/>
      <c r="VOZ98" s="46"/>
      <c r="VPA98" s="46"/>
      <c r="VPB98" s="46"/>
      <c r="VPC98" s="46"/>
      <c r="VPD98" s="46"/>
      <c r="VPE98" s="46"/>
      <c r="VPF98" s="46"/>
      <c r="VPG98" s="46"/>
      <c r="VPH98" s="46"/>
      <c r="VPI98" s="46"/>
      <c r="VPJ98" s="46"/>
      <c r="VPK98" s="46"/>
      <c r="VPL98" s="46"/>
      <c r="VPM98" s="46"/>
      <c r="VPN98" s="46"/>
      <c r="VPO98" s="46"/>
      <c r="VPP98" s="46"/>
      <c r="VPQ98" s="46"/>
      <c r="VPR98" s="46"/>
      <c r="VPS98" s="46"/>
      <c r="VPT98" s="46"/>
      <c r="VPU98" s="46"/>
      <c r="VPV98" s="46"/>
      <c r="VPW98" s="46"/>
      <c r="VPX98" s="46"/>
      <c r="VPY98" s="46"/>
      <c r="VPZ98" s="46"/>
      <c r="VQA98" s="46"/>
      <c r="VQB98" s="46"/>
      <c r="VQC98" s="46"/>
      <c r="VQD98" s="46"/>
      <c r="VQE98" s="46"/>
      <c r="VQF98" s="46"/>
      <c r="VQG98" s="46"/>
      <c r="VQH98" s="46"/>
      <c r="VQI98" s="46"/>
      <c r="VQJ98" s="46"/>
      <c r="VQK98" s="46"/>
      <c r="VQL98" s="46"/>
      <c r="VQM98" s="46"/>
      <c r="VQN98" s="46"/>
      <c r="VQO98" s="46"/>
      <c r="VQP98" s="46"/>
      <c r="VQQ98" s="46"/>
      <c r="VQR98" s="46"/>
      <c r="VQS98" s="46"/>
      <c r="VQT98" s="46"/>
      <c r="VQU98" s="46"/>
      <c r="VQV98" s="46"/>
      <c r="VQW98" s="46"/>
      <c r="VQX98" s="46"/>
      <c r="VQY98" s="46"/>
      <c r="VQZ98" s="46"/>
      <c r="VRA98" s="46"/>
      <c r="VRB98" s="46"/>
      <c r="VRC98" s="46"/>
      <c r="VRD98" s="46"/>
      <c r="VRE98" s="46"/>
      <c r="VRF98" s="46"/>
      <c r="VRG98" s="46"/>
      <c r="VRH98" s="46"/>
      <c r="VRI98" s="46"/>
      <c r="VRJ98" s="46"/>
      <c r="VRK98" s="46"/>
      <c r="VRL98" s="46"/>
      <c r="VRM98" s="46"/>
      <c r="VRN98" s="46"/>
      <c r="VRO98" s="46"/>
      <c r="VRP98" s="46"/>
      <c r="VRQ98" s="46"/>
      <c r="VRR98" s="46"/>
      <c r="VRS98" s="46"/>
      <c r="VRT98" s="46"/>
      <c r="VRU98" s="46"/>
      <c r="VRV98" s="46"/>
      <c r="VRW98" s="46"/>
      <c r="VRX98" s="46"/>
      <c r="VRY98" s="46"/>
      <c r="VRZ98" s="46"/>
      <c r="VSA98" s="46"/>
      <c r="VSB98" s="46"/>
      <c r="VSC98" s="46"/>
      <c r="VSD98" s="46"/>
      <c r="VSE98" s="46"/>
      <c r="VSF98" s="46"/>
      <c r="VSG98" s="46"/>
      <c r="VSH98" s="46"/>
      <c r="VSI98" s="46"/>
      <c r="VSJ98" s="46"/>
      <c r="VSK98" s="46"/>
      <c r="VSL98" s="46"/>
      <c r="VSM98" s="46"/>
      <c r="VSN98" s="46"/>
      <c r="VSO98" s="46"/>
      <c r="VSP98" s="46"/>
      <c r="VSQ98" s="46"/>
      <c r="VSR98" s="46"/>
      <c r="VSS98" s="46"/>
      <c r="VST98" s="46"/>
      <c r="VSU98" s="46"/>
      <c r="VSV98" s="46"/>
      <c r="VSW98" s="46"/>
      <c r="VSX98" s="46"/>
      <c r="VSY98" s="46"/>
      <c r="VSZ98" s="46"/>
      <c r="VTA98" s="46"/>
      <c r="VTB98" s="46"/>
      <c r="VTC98" s="46"/>
      <c r="VTD98" s="46"/>
      <c r="VTE98" s="46"/>
      <c r="VTF98" s="46"/>
      <c r="VTG98" s="46"/>
      <c r="VTH98" s="46"/>
      <c r="VTI98" s="46"/>
      <c r="VTJ98" s="46"/>
      <c r="VTK98" s="46"/>
      <c r="VTL98" s="46"/>
      <c r="VTM98" s="46"/>
      <c r="VTN98" s="46"/>
      <c r="VTO98" s="46"/>
      <c r="VTP98" s="46"/>
      <c r="VTQ98" s="46"/>
      <c r="VTR98" s="46"/>
      <c r="VTS98" s="46"/>
      <c r="VTT98" s="46"/>
      <c r="VTU98" s="46"/>
      <c r="VTV98" s="46"/>
      <c r="VTW98" s="46"/>
      <c r="VTX98" s="46"/>
      <c r="VTY98" s="46"/>
      <c r="VTZ98" s="46"/>
      <c r="VUA98" s="46"/>
      <c r="VUB98" s="46"/>
      <c r="VUC98" s="46"/>
      <c r="VUD98" s="46"/>
      <c r="VUE98" s="46"/>
      <c r="VUF98" s="46"/>
      <c r="VUG98" s="46"/>
      <c r="VUH98" s="46"/>
      <c r="VUI98" s="46"/>
      <c r="VUJ98" s="46"/>
      <c r="VUK98" s="46"/>
      <c r="VUL98" s="46"/>
      <c r="VUM98" s="46"/>
      <c r="VUN98" s="46"/>
      <c r="VUO98" s="46"/>
      <c r="VUP98" s="46"/>
      <c r="VUQ98" s="46"/>
      <c r="VUR98" s="46"/>
      <c r="VUS98" s="46"/>
      <c r="VUT98" s="46"/>
      <c r="VUU98" s="46"/>
      <c r="VUV98" s="46"/>
      <c r="VUW98" s="46"/>
      <c r="VUX98" s="46"/>
      <c r="VUY98" s="46"/>
      <c r="VUZ98" s="46"/>
      <c r="VVA98" s="46"/>
      <c r="VVB98" s="46"/>
      <c r="VVC98" s="46"/>
      <c r="VVD98" s="46"/>
      <c r="VVE98" s="46"/>
      <c r="VVF98" s="46"/>
      <c r="VVG98" s="46"/>
      <c r="VVH98" s="46"/>
      <c r="VVI98" s="46"/>
      <c r="VVJ98" s="46"/>
      <c r="VVK98" s="46"/>
      <c r="VVL98" s="46"/>
      <c r="VVM98" s="46"/>
      <c r="VVN98" s="46"/>
      <c r="VVO98" s="46"/>
      <c r="VVP98" s="46"/>
      <c r="VVQ98" s="46"/>
      <c r="VVR98" s="46"/>
      <c r="VVS98" s="46"/>
      <c r="VVT98" s="46"/>
      <c r="VVU98" s="46"/>
      <c r="VVV98" s="46"/>
      <c r="VVW98" s="46"/>
      <c r="VVX98" s="46"/>
      <c r="VVY98" s="46"/>
      <c r="VVZ98" s="46"/>
      <c r="VWA98" s="46"/>
      <c r="VWB98" s="46"/>
      <c r="VWC98" s="46"/>
      <c r="VWD98" s="46"/>
      <c r="VWE98" s="46"/>
      <c r="VWF98" s="46"/>
      <c r="VWG98" s="46"/>
      <c r="VWH98" s="46"/>
      <c r="VWI98" s="46"/>
      <c r="VWJ98" s="46"/>
      <c r="VWK98" s="46"/>
      <c r="VWL98" s="46"/>
      <c r="VWM98" s="46"/>
      <c r="VWN98" s="46"/>
      <c r="VWO98" s="46"/>
      <c r="VWP98" s="46"/>
      <c r="VWQ98" s="46"/>
      <c r="VWR98" s="46"/>
      <c r="VWS98" s="46"/>
      <c r="VWT98" s="46"/>
      <c r="VWU98" s="46"/>
      <c r="VWV98" s="46"/>
      <c r="VWW98" s="46"/>
      <c r="VWX98" s="46"/>
      <c r="VWY98" s="46"/>
      <c r="VWZ98" s="46"/>
      <c r="VXA98" s="46"/>
      <c r="VXB98" s="46"/>
      <c r="VXC98" s="46"/>
      <c r="VXD98" s="46"/>
      <c r="VXE98" s="46"/>
      <c r="VXF98" s="46"/>
      <c r="VXG98" s="46"/>
      <c r="VXH98" s="46"/>
      <c r="VXI98" s="46"/>
      <c r="VXJ98" s="46"/>
      <c r="VXK98" s="46"/>
      <c r="VXL98" s="46"/>
      <c r="VXM98" s="46"/>
      <c r="VXN98" s="46"/>
      <c r="VXO98" s="46"/>
      <c r="VXP98" s="46"/>
      <c r="VXQ98" s="46"/>
      <c r="VXR98" s="46"/>
      <c r="VXS98" s="46"/>
      <c r="VXT98" s="46"/>
      <c r="VXU98" s="46"/>
      <c r="VXV98" s="46"/>
      <c r="VXW98" s="46"/>
      <c r="VXX98" s="46"/>
      <c r="VXY98" s="46"/>
      <c r="VXZ98" s="46"/>
      <c r="VYA98" s="46"/>
      <c r="VYB98" s="46"/>
      <c r="VYC98" s="46"/>
      <c r="VYD98" s="46"/>
      <c r="VYE98" s="46"/>
      <c r="VYF98" s="46"/>
      <c r="VYG98" s="46"/>
      <c r="VYH98" s="46"/>
      <c r="VYI98" s="46"/>
      <c r="VYJ98" s="46"/>
      <c r="VYK98" s="46"/>
      <c r="VYL98" s="46"/>
      <c r="VYM98" s="46"/>
      <c r="VYN98" s="46"/>
      <c r="VYO98" s="46"/>
      <c r="VYP98" s="46"/>
      <c r="VYQ98" s="46"/>
      <c r="VYR98" s="46"/>
      <c r="VYS98" s="46"/>
      <c r="VYT98" s="46"/>
      <c r="VYU98" s="46"/>
      <c r="VYV98" s="46"/>
      <c r="VYW98" s="46"/>
      <c r="VYX98" s="46"/>
      <c r="VYY98" s="46"/>
      <c r="VYZ98" s="46"/>
      <c r="VZA98" s="46"/>
      <c r="VZB98" s="46"/>
      <c r="VZC98" s="46"/>
      <c r="VZD98" s="46"/>
      <c r="VZE98" s="46"/>
      <c r="VZF98" s="46"/>
      <c r="VZG98" s="46"/>
      <c r="VZH98" s="46"/>
      <c r="VZI98" s="46"/>
      <c r="VZJ98" s="46"/>
      <c r="VZK98" s="46"/>
      <c r="VZL98" s="46"/>
      <c r="VZM98" s="46"/>
      <c r="VZN98" s="46"/>
      <c r="VZO98" s="46"/>
      <c r="VZP98" s="46"/>
      <c r="VZQ98" s="46"/>
      <c r="VZR98" s="46"/>
      <c r="VZS98" s="46"/>
      <c r="VZT98" s="46"/>
      <c r="VZU98" s="46"/>
      <c r="VZV98" s="46"/>
      <c r="VZW98" s="46"/>
      <c r="VZX98" s="46"/>
      <c r="VZY98" s="46"/>
      <c r="VZZ98" s="46"/>
      <c r="WAA98" s="46"/>
      <c r="WAB98" s="46"/>
      <c r="WAC98" s="46"/>
      <c r="WAD98" s="46"/>
      <c r="WAE98" s="46"/>
      <c r="WAF98" s="46"/>
      <c r="WAG98" s="46"/>
      <c r="WAH98" s="46"/>
      <c r="WAI98" s="46"/>
      <c r="WAJ98" s="46"/>
      <c r="WAK98" s="46"/>
      <c r="WAL98" s="46"/>
      <c r="WAM98" s="46"/>
      <c r="WAN98" s="46"/>
      <c r="WAO98" s="46"/>
      <c r="WAP98" s="46"/>
      <c r="WAQ98" s="46"/>
      <c r="WAR98" s="46"/>
      <c r="WAS98" s="46"/>
      <c r="WAT98" s="46"/>
      <c r="WAU98" s="46"/>
      <c r="WAV98" s="46"/>
      <c r="WAW98" s="46"/>
      <c r="WAX98" s="46"/>
      <c r="WAY98" s="46"/>
      <c r="WAZ98" s="46"/>
      <c r="WBA98" s="46"/>
      <c r="WBB98" s="46"/>
      <c r="WBC98" s="46"/>
      <c r="WBD98" s="46"/>
      <c r="WBE98" s="46"/>
      <c r="WBF98" s="46"/>
      <c r="WBG98" s="46"/>
      <c r="WBH98" s="46"/>
      <c r="WBI98" s="46"/>
      <c r="WBJ98" s="46"/>
      <c r="WBK98" s="46"/>
      <c r="WBL98" s="46"/>
      <c r="WBM98" s="46"/>
      <c r="WBN98" s="46"/>
      <c r="WBO98" s="46"/>
      <c r="WBP98" s="46"/>
      <c r="WBQ98" s="46"/>
      <c r="WBR98" s="46"/>
      <c r="WBS98" s="46"/>
      <c r="WBT98" s="46"/>
      <c r="WBU98" s="46"/>
      <c r="WBV98" s="46"/>
      <c r="WBW98" s="46"/>
      <c r="WBX98" s="46"/>
      <c r="WBY98" s="46"/>
      <c r="WBZ98" s="46"/>
      <c r="WCA98" s="46"/>
      <c r="WCB98" s="46"/>
      <c r="WCC98" s="46"/>
      <c r="WCD98" s="46"/>
      <c r="WCE98" s="46"/>
      <c r="WCF98" s="46"/>
      <c r="WCG98" s="46"/>
      <c r="WCH98" s="46"/>
      <c r="WCI98" s="46"/>
      <c r="WCJ98" s="46"/>
      <c r="WCK98" s="46"/>
      <c r="WCL98" s="46"/>
      <c r="WCM98" s="46"/>
      <c r="WCN98" s="46"/>
      <c r="WCO98" s="46"/>
      <c r="WCP98" s="46"/>
      <c r="WCQ98" s="46"/>
      <c r="WCR98" s="46"/>
      <c r="WCS98" s="46"/>
      <c r="WCT98" s="46"/>
      <c r="WCU98" s="46"/>
      <c r="WCV98" s="46"/>
      <c r="WCW98" s="46"/>
      <c r="WCX98" s="46"/>
      <c r="WCY98" s="46"/>
      <c r="WCZ98" s="46"/>
      <c r="WDA98" s="46"/>
      <c r="WDB98" s="46"/>
      <c r="WDC98" s="46"/>
      <c r="WDD98" s="46"/>
      <c r="WDE98" s="46"/>
      <c r="WDF98" s="46"/>
      <c r="WDG98" s="46"/>
      <c r="WDH98" s="46"/>
      <c r="WDI98" s="46"/>
      <c r="WDJ98" s="46"/>
      <c r="WDK98" s="46"/>
      <c r="WDL98" s="46"/>
      <c r="WDM98" s="46"/>
      <c r="WDN98" s="46"/>
      <c r="WDO98" s="46"/>
      <c r="WDP98" s="46"/>
      <c r="WDQ98" s="46"/>
      <c r="WDR98" s="46"/>
      <c r="WDS98" s="46"/>
      <c r="WDT98" s="46"/>
      <c r="WDU98" s="46"/>
      <c r="WDV98" s="46"/>
      <c r="WDW98" s="46"/>
      <c r="WDX98" s="46"/>
      <c r="WDY98" s="46"/>
      <c r="WDZ98" s="46"/>
      <c r="WEA98" s="46"/>
      <c r="WEB98" s="46"/>
      <c r="WEC98" s="46"/>
      <c r="WED98" s="46"/>
      <c r="WEE98" s="46"/>
      <c r="WEF98" s="46"/>
      <c r="WEG98" s="46"/>
      <c r="WEH98" s="46"/>
      <c r="WEI98" s="46"/>
      <c r="WEJ98" s="46"/>
      <c r="WEK98" s="46"/>
      <c r="WEL98" s="46"/>
      <c r="WEM98" s="46"/>
      <c r="WEN98" s="46"/>
      <c r="WEO98" s="46"/>
      <c r="WEP98" s="46"/>
      <c r="WEQ98" s="46"/>
      <c r="WER98" s="46"/>
      <c r="WES98" s="46"/>
      <c r="WET98" s="46"/>
      <c r="WEU98" s="46"/>
      <c r="WEV98" s="46"/>
      <c r="WEW98" s="46"/>
      <c r="WEX98" s="46"/>
      <c r="WEY98" s="46"/>
      <c r="WEZ98" s="46"/>
      <c r="WFA98" s="46"/>
      <c r="WFB98" s="46"/>
      <c r="WFC98" s="46"/>
      <c r="WFD98" s="46"/>
      <c r="WFE98" s="46"/>
      <c r="WFF98" s="46"/>
      <c r="WFG98" s="46"/>
      <c r="WFH98" s="46"/>
      <c r="WFI98" s="46"/>
      <c r="WFJ98" s="46"/>
      <c r="WFK98" s="46"/>
      <c r="WFL98" s="46"/>
      <c r="WFM98" s="46"/>
      <c r="WFN98" s="46"/>
      <c r="WFO98" s="46"/>
      <c r="WFP98" s="46"/>
      <c r="WFQ98" s="46"/>
      <c r="WFR98" s="46"/>
      <c r="WFS98" s="46"/>
      <c r="WFT98" s="46"/>
      <c r="WFU98" s="46"/>
      <c r="WFV98" s="46"/>
      <c r="WFW98" s="46"/>
      <c r="WFX98" s="46"/>
      <c r="WFY98" s="46"/>
      <c r="WFZ98" s="46"/>
      <c r="WGA98" s="46"/>
      <c r="WGB98" s="46"/>
      <c r="WGC98" s="46"/>
      <c r="WGD98" s="46"/>
      <c r="WGE98" s="46"/>
      <c r="WGF98" s="46"/>
      <c r="WGG98" s="46"/>
      <c r="WGH98" s="46"/>
      <c r="WGI98" s="46"/>
      <c r="WGJ98" s="46"/>
      <c r="WGK98" s="46"/>
      <c r="WGL98" s="46"/>
      <c r="WGM98" s="46"/>
      <c r="WGN98" s="46"/>
      <c r="WGO98" s="46"/>
      <c r="WGP98" s="46"/>
      <c r="WGQ98" s="46"/>
      <c r="WGR98" s="46"/>
      <c r="WGS98" s="46"/>
      <c r="WGT98" s="46"/>
      <c r="WGU98" s="46"/>
      <c r="WGV98" s="46"/>
      <c r="WGW98" s="46"/>
      <c r="WGX98" s="46"/>
      <c r="WGY98" s="46"/>
      <c r="WGZ98" s="46"/>
      <c r="WHA98" s="46"/>
      <c r="WHB98" s="46"/>
      <c r="WHC98" s="46"/>
      <c r="WHD98" s="46"/>
      <c r="WHE98" s="46"/>
      <c r="WHF98" s="46"/>
      <c r="WHG98" s="46"/>
      <c r="WHH98" s="46"/>
      <c r="WHI98" s="46"/>
      <c r="WHJ98" s="46"/>
      <c r="WHK98" s="46"/>
      <c r="WHL98" s="46"/>
      <c r="WHM98" s="46"/>
      <c r="WHN98" s="46"/>
      <c r="WHO98" s="46"/>
      <c r="WHP98" s="46"/>
      <c r="WHQ98" s="46"/>
      <c r="WHR98" s="46"/>
      <c r="WHS98" s="46"/>
      <c r="WHT98" s="46"/>
      <c r="WHU98" s="46"/>
      <c r="WHV98" s="46"/>
      <c r="WHW98" s="46"/>
      <c r="WHX98" s="46"/>
      <c r="WHY98" s="46"/>
      <c r="WHZ98" s="46"/>
      <c r="WIA98" s="46"/>
      <c r="WIB98" s="46"/>
      <c r="WIC98" s="46"/>
      <c r="WID98" s="46"/>
      <c r="WIE98" s="46"/>
      <c r="WIF98" s="46"/>
      <c r="WIG98" s="46"/>
      <c r="WIH98" s="46"/>
      <c r="WII98" s="46"/>
      <c r="WIJ98" s="46"/>
      <c r="WIK98" s="46"/>
      <c r="WIL98" s="46"/>
      <c r="WIM98" s="46"/>
      <c r="WIN98" s="46"/>
      <c r="WIO98" s="46"/>
      <c r="WIP98" s="46"/>
      <c r="WIQ98" s="46"/>
      <c r="WIR98" s="46"/>
      <c r="WIS98" s="46"/>
      <c r="WIT98" s="46"/>
      <c r="WIU98" s="46"/>
      <c r="WIV98" s="46"/>
      <c r="WIW98" s="46"/>
      <c r="WIX98" s="46"/>
      <c r="WIY98" s="46"/>
      <c r="WIZ98" s="46"/>
      <c r="WJA98" s="46"/>
      <c r="WJB98" s="46"/>
      <c r="WJC98" s="46"/>
      <c r="WJD98" s="46"/>
      <c r="WJE98" s="46"/>
      <c r="WJF98" s="46"/>
      <c r="WJG98" s="46"/>
      <c r="WJH98" s="46"/>
      <c r="WJI98" s="46"/>
      <c r="WJJ98" s="46"/>
      <c r="WJK98" s="46"/>
      <c r="WJL98" s="46"/>
      <c r="WJM98" s="46"/>
      <c r="WJN98" s="46"/>
      <c r="WJO98" s="46"/>
      <c r="WJP98" s="46"/>
      <c r="WJQ98" s="46"/>
      <c r="WJR98" s="46"/>
      <c r="WJS98" s="46"/>
      <c r="WJT98" s="46"/>
      <c r="WJU98" s="46"/>
      <c r="WJV98" s="46"/>
      <c r="WJW98" s="46"/>
      <c r="WJX98" s="46"/>
      <c r="WJY98" s="46"/>
      <c r="WJZ98" s="46"/>
      <c r="WKA98" s="46"/>
      <c r="WKB98" s="46"/>
      <c r="WKC98" s="46"/>
      <c r="WKD98" s="46"/>
      <c r="WKE98" s="46"/>
      <c r="WKF98" s="46"/>
      <c r="WKG98" s="46"/>
      <c r="WKH98" s="46"/>
      <c r="WKI98" s="46"/>
      <c r="WKJ98" s="46"/>
      <c r="WKK98" s="46"/>
      <c r="WKL98" s="46"/>
      <c r="WKM98" s="46"/>
      <c r="WKN98" s="46"/>
      <c r="WKO98" s="46"/>
      <c r="WKP98" s="46"/>
      <c r="WKQ98" s="46"/>
      <c r="WKR98" s="46"/>
      <c r="WKS98" s="46"/>
      <c r="WKT98" s="46"/>
      <c r="WKU98" s="46"/>
      <c r="WKV98" s="46"/>
      <c r="WKW98" s="46"/>
      <c r="WKX98" s="46"/>
      <c r="WKY98" s="46"/>
      <c r="WKZ98" s="46"/>
      <c r="WLA98" s="46"/>
      <c r="WLB98" s="46"/>
      <c r="WLC98" s="46"/>
      <c r="WLD98" s="46"/>
      <c r="WLE98" s="46"/>
      <c r="WLF98" s="46"/>
      <c r="WLG98" s="46"/>
      <c r="WLH98" s="46"/>
      <c r="WLI98" s="46"/>
      <c r="WLJ98" s="46"/>
      <c r="WLK98" s="46"/>
      <c r="WLL98" s="46"/>
      <c r="WLM98" s="46"/>
      <c r="WLN98" s="46"/>
      <c r="WLO98" s="46"/>
      <c r="WLP98" s="46"/>
      <c r="WLQ98" s="46"/>
      <c r="WLR98" s="46"/>
      <c r="WLS98" s="46"/>
      <c r="WLT98" s="46"/>
      <c r="WLU98" s="46"/>
      <c r="WLV98" s="46"/>
      <c r="WLW98" s="46"/>
      <c r="WLX98" s="46"/>
      <c r="WLY98" s="46"/>
      <c r="WLZ98" s="46"/>
      <c r="WMA98" s="46"/>
      <c r="WMB98" s="46"/>
      <c r="WMC98" s="46"/>
      <c r="WMD98" s="46"/>
      <c r="WME98" s="46"/>
      <c r="WMF98" s="46"/>
      <c r="WMG98" s="46"/>
      <c r="WMH98" s="46"/>
      <c r="WMI98" s="46"/>
      <c r="WMJ98" s="46"/>
      <c r="WMK98" s="46"/>
      <c r="WML98" s="46"/>
      <c r="WMM98" s="46"/>
      <c r="WMN98" s="46"/>
      <c r="WMO98" s="46"/>
      <c r="WMP98" s="46"/>
      <c r="WMQ98" s="46"/>
      <c r="WMR98" s="46"/>
      <c r="WMS98" s="46"/>
      <c r="WMT98" s="46"/>
      <c r="WMU98" s="46"/>
      <c r="WMV98" s="46"/>
      <c r="WMW98" s="46"/>
      <c r="WMX98" s="46"/>
      <c r="WMY98" s="46"/>
      <c r="WMZ98" s="46"/>
      <c r="WNA98" s="46"/>
      <c r="WNB98" s="46"/>
      <c r="WNC98" s="46"/>
      <c r="WND98" s="46"/>
      <c r="WNE98" s="46"/>
      <c r="WNF98" s="46"/>
      <c r="WNG98" s="46"/>
      <c r="WNH98" s="46"/>
      <c r="WNI98" s="46"/>
      <c r="WNJ98" s="46"/>
      <c r="WNK98" s="46"/>
      <c r="WNL98" s="46"/>
      <c r="WNM98" s="46"/>
      <c r="WNN98" s="46"/>
      <c r="WNO98" s="46"/>
      <c r="WNP98" s="46"/>
      <c r="WNQ98" s="46"/>
      <c r="WNR98" s="46"/>
      <c r="WNS98" s="46"/>
      <c r="WNT98" s="46"/>
      <c r="WNU98" s="46"/>
      <c r="WNV98" s="46"/>
      <c r="WNW98" s="46"/>
      <c r="WNX98" s="46"/>
      <c r="WNY98" s="46"/>
      <c r="WNZ98" s="46"/>
      <c r="WOA98" s="46"/>
      <c r="WOB98" s="46"/>
      <c r="WOC98" s="46"/>
      <c r="WOD98" s="46"/>
      <c r="WOE98" s="46"/>
      <c r="WOF98" s="46"/>
      <c r="WOG98" s="46"/>
      <c r="WOH98" s="46"/>
      <c r="WOI98" s="46"/>
      <c r="WOJ98" s="46"/>
      <c r="WOK98" s="46"/>
      <c r="WOL98" s="46"/>
      <c r="WOM98" s="46"/>
      <c r="WON98" s="46"/>
      <c r="WOO98" s="46"/>
      <c r="WOP98" s="46"/>
      <c r="WOQ98" s="46"/>
      <c r="WOR98" s="46"/>
      <c r="WOS98" s="46"/>
      <c r="WOT98" s="46"/>
      <c r="WOU98" s="46"/>
      <c r="WOV98" s="46"/>
      <c r="WOW98" s="46"/>
      <c r="WOX98" s="46"/>
      <c r="WOY98" s="46"/>
      <c r="WOZ98" s="46"/>
      <c r="WPA98" s="46"/>
      <c r="WPB98" s="46"/>
      <c r="WPC98" s="46"/>
      <c r="WPD98" s="46"/>
      <c r="WPE98" s="46"/>
      <c r="WPF98" s="46"/>
      <c r="WPG98" s="46"/>
      <c r="WPH98" s="46"/>
      <c r="WPI98" s="46"/>
      <c r="WPJ98" s="46"/>
      <c r="WPK98" s="46"/>
      <c r="WPL98" s="46"/>
      <c r="WPM98" s="46"/>
      <c r="WPN98" s="46"/>
      <c r="WPO98" s="46"/>
      <c r="WPP98" s="46"/>
      <c r="WPQ98" s="46"/>
      <c r="WPR98" s="46"/>
      <c r="WPS98" s="46"/>
      <c r="WPT98" s="46"/>
      <c r="WPU98" s="46"/>
      <c r="WPV98" s="46"/>
      <c r="WPW98" s="46"/>
      <c r="WPX98" s="46"/>
      <c r="WPY98" s="46"/>
      <c r="WPZ98" s="46"/>
      <c r="WQA98" s="46"/>
      <c r="WQB98" s="46"/>
      <c r="WQC98" s="46"/>
      <c r="WQD98" s="46"/>
      <c r="WQE98" s="46"/>
      <c r="WQF98" s="46"/>
      <c r="WQG98" s="46"/>
      <c r="WQH98" s="46"/>
      <c r="WQI98" s="46"/>
      <c r="WQJ98" s="46"/>
      <c r="WQK98" s="46"/>
      <c r="WQL98" s="46"/>
      <c r="WQM98" s="46"/>
      <c r="WQN98" s="46"/>
      <c r="WQO98" s="46"/>
      <c r="WQP98" s="46"/>
      <c r="WQQ98" s="46"/>
      <c r="WQR98" s="46"/>
      <c r="WQS98" s="46"/>
      <c r="WQT98" s="46"/>
      <c r="WQU98" s="46"/>
      <c r="WQV98" s="46"/>
      <c r="WQW98" s="46"/>
      <c r="WQX98" s="46"/>
      <c r="WQY98" s="46"/>
      <c r="WQZ98" s="46"/>
      <c r="WRA98" s="46"/>
      <c r="WRB98" s="46"/>
      <c r="WRC98" s="46"/>
      <c r="WRD98" s="46"/>
      <c r="WRE98" s="46"/>
      <c r="WRF98" s="46"/>
      <c r="WRG98" s="46"/>
      <c r="WRH98" s="46"/>
      <c r="WRI98" s="46"/>
      <c r="WRJ98" s="46"/>
      <c r="WRK98" s="46"/>
      <c r="WRL98" s="46"/>
      <c r="WRM98" s="46"/>
      <c r="WRN98" s="46"/>
      <c r="WRO98" s="46"/>
      <c r="WRP98" s="46"/>
      <c r="WRQ98" s="46"/>
      <c r="WRR98" s="46"/>
      <c r="WRS98" s="46"/>
      <c r="WRT98" s="46"/>
      <c r="WRU98" s="46"/>
      <c r="WRV98" s="46"/>
      <c r="WRW98" s="46"/>
      <c r="WRX98" s="46"/>
      <c r="WRY98" s="46"/>
      <c r="WRZ98" s="46"/>
      <c r="WSA98" s="46"/>
      <c r="WSB98" s="46"/>
      <c r="WSC98" s="46"/>
      <c r="WSD98" s="46"/>
      <c r="WSE98" s="46"/>
      <c r="WSF98" s="46"/>
      <c r="WSG98" s="46"/>
      <c r="WSH98" s="46"/>
      <c r="WSI98" s="46"/>
      <c r="WSJ98" s="46"/>
      <c r="WSK98" s="46"/>
      <c r="WSL98" s="46"/>
      <c r="WSM98" s="46"/>
      <c r="WSN98" s="46"/>
      <c r="WSO98" s="46"/>
      <c r="WSP98" s="46"/>
      <c r="WSQ98" s="46"/>
      <c r="WSR98" s="46"/>
      <c r="WSS98" s="46"/>
      <c r="WST98" s="46"/>
      <c r="WSU98" s="46"/>
      <c r="WSV98" s="46"/>
      <c r="WSW98" s="46"/>
      <c r="WSX98" s="46"/>
      <c r="WSY98" s="46"/>
      <c r="WSZ98" s="46"/>
      <c r="WTA98" s="46"/>
      <c r="WTB98" s="46"/>
      <c r="WTC98" s="46"/>
      <c r="WTD98" s="46"/>
      <c r="WTE98" s="46"/>
      <c r="WTF98" s="46"/>
      <c r="WTG98" s="46"/>
      <c r="WTH98" s="46"/>
      <c r="WTI98" s="46"/>
      <c r="WTJ98" s="46"/>
      <c r="WTK98" s="46"/>
      <c r="WTL98" s="46"/>
      <c r="WTM98" s="46"/>
      <c r="WTN98" s="46"/>
      <c r="WTO98" s="46"/>
      <c r="WTP98" s="46"/>
      <c r="WTQ98" s="46"/>
      <c r="WTR98" s="46"/>
      <c r="WTS98" s="46"/>
      <c r="WTT98" s="46"/>
      <c r="WTU98" s="46"/>
      <c r="WTV98" s="46"/>
      <c r="WTW98" s="46"/>
      <c r="WTX98" s="46"/>
      <c r="WTY98" s="46"/>
      <c r="WTZ98" s="46"/>
      <c r="WUA98" s="46"/>
      <c r="WUB98" s="46"/>
      <c r="WUC98" s="46"/>
      <c r="WUD98" s="46"/>
      <c r="WUE98" s="46"/>
      <c r="WUF98" s="46"/>
      <c r="WUG98" s="46"/>
      <c r="WUH98" s="46"/>
      <c r="WUI98" s="46"/>
      <c r="WUJ98" s="46"/>
      <c r="WUK98" s="46"/>
      <c r="WUL98" s="46"/>
      <c r="WUM98" s="46"/>
      <c r="WUN98" s="46"/>
      <c r="WUO98" s="46"/>
      <c r="WUP98" s="46"/>
      <c r="WUQ98" s="46"/>
      <c r="WUR98" s="46"/>
      <c r="WUS98" s="46"/>
      <c r="WUT98" s="46"/>
      <c r="WUU98" s="46"/>
      <c r="WUV98" s="46"/>
      <c r="WUW98" s="46"/>
      <c r="WUX98" s="46"/>
      <c r="WUY98" s="46"/>
      <c r="WUZ98" s="46"/>
      <c r="WVA98" s="46"/>
      <c r="WVB98" s="46"/>
      <c r="WVC98" s="46"/>
      <c r="WVD98" s="46"/>
      <c r="WVE98" s="46"/>
      <c r="WVF98" s="46"/>
      <c r="WVG98" s="46"/>
      <c r="WVH98" s="46"/>
      <c r="WVI98" s="46"/>
      <c r="WVJ98" s="46"/>
      <c r="WVK98" s="46"/>
      <c r="WVL98" s="46"/>
      <c r="WVM98" s="46"/>
      <c r="WVN98" s="46"/>
      <c r="WVO98" s="46"/>
      <c r="WVP98" s="46"/>
      <c r="WVQ98" s="46"/>
      <c r="WVR98" s="46"/>
      <c r="WVS98" s="46"/>
      <c r="WVT98" s="46"/>
      <c r="WVU98" s="46"/>
      <c r="WVV98" s="46"/>
      <c r="WVW98" s="46"/>
      <c r="WVX98" s="46"/>
      <c r="WVY98" s="46"/>
      <c r="WVZ98" s="46"/>
      <c r="WWA98" s="46"/>
      <c r="WWB98" s="46"/>
      <c r="WWC98" s="46"/>
      <c r="WWD98" s="46"/>
      <c r="WWE98" s="46"/>
      <c r="WWF98" s="46"/>
      <c r="WWG98" s="46"/>
      <c r="WWH98" s="46"/>
      <c r="WWI98" s="46"/>
      <c r="WWJ98" s="46"/>
      <c r="WWK98" s="46"/>
      <c r="WWL98" s="46"/>
      <c r="WWM98" s="46"/>
      <c r="WWN98" s="46"/>
      <c r="WWO98" s="46"/>
      <c r="WWP98" s="46"/>
      <c r="WWQ98" s="46"/>
      <c r="WWR98" s="46"/>
      <c r="WWS98" s="46"/>
      <c r="WWT98" s="46"/>
      <c r="WWU98" s="46"/>
      <c r="WWV98" s="46"/>
      <c r="WWW98" s="46"/>
      <c r="WWX98" s="46"/>
      <c r="WWY98" s="46"/>
      <c r="WWZ98" s="46"/>
      <c r="WXA98" s="46"/>
      <c r="WXB98" s="46"/>
      <c r="WXC98" s="46"/>
      <c r="WXD98" s="46"/>
      <c r="WXE98" s="46"/>
      <c r="WXF98" s="46"/>
      <c r="WXG98" s="46"/>
      <c r="WXH98" s="46"/>
      <c r="WXI98" s="46"/>
      <c r="WXJ98" s="46"/>
      <c r="WXK98" s="46"/>
      <c r="WXL98" s="46"/>
      <c r="WXM98" s="46"/>
      <c r="WXN98" s="46"/>
      <c r="WXO98" s="46"/>
      <c r="WXP98" s="46"/>
      <c r="WXQ98" s="46"/>
      <c r="WXR98" s="46"/>
      <c r="WXS98" s="46"/>
      <c r="WXT98" s="46"/>
      <c r="WXU98" s="46"/>
      <c r="WXV98" s="46"/>
      <c r="WXW98" s="46"/>
      <c r="WXX98" s="46"/>
      <c r="WXY98" s="46"/>
      <c r="WXZ98" s="46"/>
      <c r="WYA98" s="46"/>
      <c r="WYB98" s="46"/>
      <c r="WYC98" s="46"/>
      <c r="WYD98" s="46"/>
      <c r="WYE98" s="46"/>
      <c r="WYF98" s="46"/>
      <c r="WYG98" s="46"/>
      <c r="WYH98" s="46"/>
      <c r="WYI98" s="46"/>
      <c r="WYJ98" s="46"/>
      <c r="WYK98" s="46"/>
      <c r="WYL98" s="46"/>
      <c r="WYM98" s="46"/>
      <c r="WYN98" s="46"/>
      <c r="WYO98" s="46"/>
      <c r="WYP98" s="46"/>
      <c r="WYQ98" s="46"/>
      <c r="WYR98" s="46"/>
      <c r="WYS98" s="46"/>
      <c r="WYT98" s="46"/>
      <c r="WYU98" s="46"/>
      <c r="WYV98" s="46"/>
      <c r="WYW98" s="46"/>
      <c r="WYX98" s="46"/>
      <c r="WYY98" s="46"/>
      <c r="WYZ98" s="46"/>
      <c r="WZA98" s="46"/>
      <c r="WZB98" s="46"/>
      <c r="WZC98" s="46"/>
      <c r="WZD98" s="46"/>
      <c r="WZE98" s="46"/>
      <c r="WZF98" s="46"/>
      <c r="WZG98" s="46"/>
      <c r="WZH98" s="46"/>
      <c r="WZI98" s="46"/>
      <c r="WZJ98" s="46"/>
      <c r="WZK98" s="46"/>
      <c r="WZL98" s="46"/>
      <c r="WZM98" s="46"/>
      <c r="WZN98" s="46"/>
      <c r="WZO98" s="46"/>
      <c r="WZP98" s="46"/>
      <c r="WZQ98" s="46"/>
      <c r="WZR98" s="46"/>
      <c r="WZS98" s="46"/>
      <c r="WZT98" s="46"/>
      <c r="WZU98" s="46"/>
      <c r="WZV98" s="46"/>
      <c r="WZW98" s="46"/>
      <c r="WZX98" s="46"/>
      <c r="WZY98" s="46"/>
      <c r="WZZ98" s="46"/>
      <c r="XAA98" s="46"/>
      <c r="XAB98" s="46"/>
      <c r="XAC98" s="46"/>
      <c r="XAD98" s="46"/>
      <c r="XAE98" s="46"/>
      <c r="XAF98" s="46"/>
      <c r="XAG98" s="46"/>
      <c r="XAH98" s="46"/>
      <c r="XAI98" s="46"/>
      <c r="XAJ98" s="46"/>
      <c r="XAK98" s="46"/>
      <c r="XAL98" s="46"/>
      <c r="XAM98" s="46"/>
      <c r="XAN98" s="46"/>
      <c r="XAO98" s="46"/>
      <c r="XAP98" s="46"/>
      <c r="XAQ98" s="46"/>
      <c r="XAR98" s="46"/>
      <c r="XAS98" s="46"/>
      <c r="XAT98" s="46"/>
      <c r="XAU98" s="46"/>
      <c r="XAV98" s="46"/>
      <c r="XAW98" s="46"/>
      <c r="XAX98" s="46"/>
      <c r="XAY98" s="46"/>
      <c r="XAZ98" s="46"/>
      <c r="XBA98" s="46"/>
      <c r="XBB98" s="46"/>
      <c r="XBC98" s="46"/>
      <c r="XBD98" s="46"/>
      <c r="XBE98" s="46"/>
      <c r="XBF98" s="46"/>
      <c r="XBG98" s="46"/>
      <c r="XBH98" s="46"/>
      <c r="XBI98" s="46"/>
      <c r="XBJ98" s="46"/>
      <c r="XBK98" s="46"/>
      <c r="XBL98" s="46"/>
      <c r="XBM98" s="46"/>
      <c r="XBN98" s="46"/>
      <c r="XBO98" s="46"/>
      <c r="XBP98" s="46"/>
      <c r="XBQ98" s="46"/>
      <c r="XBR98" s="46"/>
      <c r="XBS98" s="46"/>
      <c r="XBT98" s="46"/>
      <c r="XBU98" s="46"/>
      <c r="XBV98" s="46"/>
      <c r="XBW98" s="46"/>
      <c r="XBX98" s="46"/>
      <c r="XBY98" s="46"/>
      <c r="XBZ98" s="46"/>
      <c r="XCA98" s="46"/>
      <c r="XCB98" s="46"/>
      <c r="XCC98" s="46"/>
      <c r="XCD98" s="46"/>
      <c r="XCE98" s="46"/>
      <c r="XCF98" s="46"/>
      <c r="XCG98" s="46"/>
      <c r="XCH98" s="46"/>
      <c r="XCI98" s="46"/>
      <c r="XCJ98" s="46"/>
      <c r="XCK98" s="46"/>
      <c r="XCL98" s="46"/>
      <c r="XCM98" s="46"/>
      <c r="XCN98" s="46"/>
      <c r="XCO98" s="46"/>
      <c r="XCP98" s="46"/>
      <c r="XCQ98" s="46"/>
      <c r="XCR98" s="46"/>
      <c r="XCS98" s="46"/>
      <c r="XCT98" s="46"/>
      <c r="XCU98" s="46"/>
      <c r="XCV98" s="46"/>
      <c r="XCW98" s="46"/>
      <c r="XCX98" s="46"/>
      <c r="XCY98" s="46"/>
      <c r="XCZ98" s="46"/>
      <c r="XDA98" s="46"/>
      <c r="XDB98" s="46"/>
      <c r="XDC98" s="46"/>
      <c r="XDD98" s="46"/>
      <c r="XDE98" s="46"/>
      <c r="XDF98" s="46"/>
      <c r="XDG98" s="46"/>
      <c r="XDH98" s="46"/>
      <c r="XDI98" s="46"/>
      <c r="XDJ98" s="46"/>
      <c r="XDK98" s="46"/>
      <c r="XDL98" s="46"/>
      <c r="XDM98" s="46"/>
      <c r="XDN98" s="46"/>
      <c r="XDO98" s="46"/>
      <c r="XDP98" s="46"/>
      <c r="XDQ98" s="46"/>
      <c r="XDR98" s="46"/>
      <c r="XDS98" s="46"/>
      <c r="XDT98" s="46"/>
      <c r="XDU98" s="46"/>
      <c r="XDV98" s="46"/>
      <c r="XDW98" s="46"/>
      <c r="XDX98" s="46"/>
      <c r="XDY98" s="46"/>
      <c r="XDZ98" s="46"/>
      <c r="XEA98" s="46"/>
      <c r="XEB98" s="46"/>
      <c r="XEC98" s="46"/>
      <c r="XED98" s="46"/>
      <c r="XEE98" s="46"/>
      <c r="XEF98" s="46"/>
      <c r="XEG98" s="46"/>
      <c r="XEH98" s="46"/>
      <c r="XEI98" s="46"/>
      <c r="XEJ98" s="46"/>
      <c r="XEK98" s="46"/>
      <c r="XEL98" s="46"/>
      <c r="XEM98" s="46"/>
      <c r="XEN98" s="46"/>
      <c r="XEO98" s="46"/>
      <c r="XEP98" s="46"/>
      <c r="XEQ98" s="46"/>
      <c r="XER98" s="46"/>
    </row>
    <row r="99" spans="1:16372" s="47" customFormat="1" x14ac:dyDescent="0.2">
      <c r="A99" s="1" t="s">
        <v>88</v>
      </c>
      <c r="B99" s="5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  <c r="MG99" s="15"/>
      <c r="MH99" s="15"/>
      <c r="MI99" s="15"/>
      <c r="MJ99" s="15"/>
      <c r="MK99" s="15"/>
      <c r="ML99" s="15"/>
      <c r="MM99" s="15"/>
      <c r="MN99" s="15"/>
      <c r="MO99" s="15"/>
      <c r="MP99" s="15"/>
      <c r="MQ99" s="15"/>
      <c r="MR99" s="15"/>
      <c r="MS99" s="15"/>
      <c r="MT99" s="15"/>
      <c r="MU99" s="15"/>
      <c r="MV99" s="15"/>
      <c r="MW99" s="15"/>
      <c r="MX99" s="15"/>
      <c r="MY99" s="15"/>
      <c r="MZ99" s="15"/>
      <c r="NA99" s="15"/>
      <c r="NB99" s="15"/>
      <c r="NC99" s="15"/>
      <c r="ND99" s="15"/>
      <c r="NE99" s="15"/>
      <c r="NF99" s="15"/>
      <c r="NG99" s="15"/>
      <c r="NH99" s="15"/>
      <c r="NI99" s="15"/>
      <c r="NJ99" s="15"/>
      <c r="NK99" s="15"/>
      <c r="NL99" s="15"/>
      <c r="NM99" s="15"/>
      <c r="NN99" s="15"/>
      <c r="NO99" s="15"/>
      <c r="NP99" s="15"/>
      <c r="NQ99" s="15"/>
      <c r="NR99" s="15"/>
      <c r="NS99" s="15"/>
      <c r="NT99" s="15"/>
      <c r="NU99" s="15"/>
      <c r="NV99" s="15"/>
      <c r="NW99" s="15"/>
      <c r="NX99" s="15"/>
      <c r="NY99" s="15"/>
      <c r="NZ99" s="15"/>
      <c r="OA99" s="15"/>
      <c r="OB99" s="15"/>
      <c r="OC99" s="15"/>
      <c r="OD99" s="15"/>
      <c r="OE99" s="15"/>
      <c r="OF99" s="15"/>
      <c r="OG99" s="15"/>
      <c r="OH99" s="15"/>
      <c r="OI99" s="15"/>
      <c r="OJ99" s="15"/>
      <c r="OK99" s="15"/>
      <c r="OL99" s="15"/>
      <c r="OM99" s="15"/>
      <c r="ON99" s="15"/>
      <c r="OO99" s="15"/>
      <c r="OP99" s="15"/>
      <c r="OQ99" s="15"/>
      <c r="OR99" s="15"/>
      <c r="OS99" s="15"/>
      <c r="OT99" s="15"/>
      <c r="OU99" s="15"/>
      <c r="OV99" s="15"/>
      <c r="OW99" s="15"/>
      <c r="OX99" s="15"/>
      <c r="OY99" s="15"/>
      <c r="OZ99" s="15"/>
      <c r="PA99" s="15"/>
      <c r="PB99" s="15"/>
      <c r="PC99" s="15"/>
      <c r="PD99" s="15"/>
      <c r="PE99" s="15"/>
      <c r="PF99" s="15"/>
      <c r="PG99" s="15"/>
      <c r="PH99" s="15"/>
      <c r="PI99" s="15"/>
      <c r="PJ99" s="15"/>
      <c r="PK99" s="15"/>
      <c r="PL99" s="15"/>
      <c r="PM99" s="15"/>
      <c r="PN99" s="15"/>
      <c r="PO99" s="15"/>
      <c r="PP99" s="15"/>
      <c r="PQ99" s="15"/>
      <c r="PR99" s="15"/>
      <c r="PS99" s="15"/>
      <c r="PT99" s="15"/>
      <c r="PU99" s="15"/>
      <c r="PV99" s="15"/>
      <c r="PW99" s="15"/>
      <c r="PX99" s="15"/>
      <c r="PY99" s="15"/>
      <c r="PZ99" s="15"/>
      <c r="QA99" s="15"/>
      <c r="QB99" s="15"/>
      <c r="QC99" s="15"/>
      <c r="QD99" s="15"/>
      <c r="QE99" s="15"/>
      <c r="QF99" s="15"/>
      <c r="QG99" s="15"/>
      <c r="QH99" s="15"/>
      <c r="QI99" s="15"/>
      <c r="QJ99" s="15"/>
      <c r="QK99" s="15"/>
      <c r="QL99" s="15"/>
      <c r="QM99" s="15"/>
      <c r="QN99" s="15"/>
      <c r="QO99" s="15"/>
      <c r="QP99" s="15"/>
      <c r="QQ99" s="15"/>
      <c r="QR99" s="15"/>
      <c r="QS99" s="15"/>
      <c r="QT99" s="15"/>
      <c r="QU99" s="15"/>
      <c r="QV99" s="15"/>
      <c r="QW99" s="15"/>
      <c r="QX99" s="15"/>
      <c r="QY99" s="15"/>
      <c r="QZ99" s="15"/>
      <c r="RA99" s="15"/>
      <c r="RB99" s="15"/>
      <c r="RC99" s="15"/>
      <c r="RD99" s="15"/>
      <c r="RE99" s="15"/>
      <c r="RF99" s="15"/>
      <c r="RG99" s="15"/>
      <c r="RH99" s="15"/>
      <c r="RI99" s="15"/>
      <c r="RJ99" s="15"/>
      <c r="RK99" s="15"/>
      <c r="RL99" s="15"/>
      <c r="RM99" s="15"/>
      <c r="RN99" s="15"/>
      <c r="RO99" s="15"/>
      <c r="RP99" s="15"/>
      <c r="RQ99" s="15"/>
      <c r="RR99" s="15"/>
      <c r="RS99" s="15"/>
      <c r="RT99" s="15"/>
      <c r="RU99" s="15"/>
      <c r="RV99" s="15"/>
      <c r="RW99" s="15"/>
      <c r="RX99" s="15"/>
      <c r="RY99" s="15"/>
      <c r="RZ99" s="15"/>
      <c r="SA99" s="15"/>
      <c r="SB99" s="15"/>
      <c r="SC99" s="15"/>
      <c r="SD99" s="15"/>
      <c r="SE99" s="15"/>
      <c r="SF99" s="15"/>
      <c r="SG99" s="15"/>
      <c r="SH99" s="15"/>
      <c r="SI99" s="15"/>
      <c r="SJ99" s="15"/>
      <c r="SK99" s="15"/>
      <c r="SL99" s="15"/>
      <c r="SM99" s="15"/>
      <c r="SN99" s="15"/>
      <c r="SO99" s="15"/>
      <c r="SP99" s="15"/>
      <c r="SQ99" s="15"/>
      <c r="SR99" s="15"/>
      <c r="SS99" s="15"/>
      <c r="ST99" s="15"/>
      <c r="SU99" s="15"/>
      <c r="SV99" s="15"/>
      <c r="SW99" s="15"/>
      <c r="SX99" s="15"/>
      <c r="SY99" s="15"/>
      <c r="SZ99" s="15"/>
      <c r="TA99" s="15"/>
      <c r="TB99" s="15"/>
      <c r="TC99" s="15"/>
      <c r="TD99" s="15"/>
      <c r="TE99" s="15"/>
      <c r="TF99" s="15"/>
      <c r="TG99" s="15"/>
      <c r="TH99" s="15"/>
      <c r="TI99" s="15"/>
      <c r="TJ99" s="15"/>
      <c r="TK99" s="15"/>
      <c r="TL99" s="15"/>
      <c r="TM99" s="15"/>
      <c r="TN99" s="15"/>
      <c r="TO99" s="15"/>
      <c r="TP99" s="15"/>
      <c r="TQ99" s="15"/>
      <c r="TR99" s="15"/>
      <c r="TS99" s="15"/>
      <c r="TT99" s="15"/>
      <c r="TU99" s="15"/>
      <c r="TV99" s="15"/>
      <c r="TW99" s="15"/>
      <c r="TX99" s="15"/>
      <c r="TY99" s="15"/>
      <c r="TZ99" s="15"/>
      <c r="UA99" s="15"/>
      <c r="UB99" s="15"/>
      <c r="UC99" s="15"/>
      <c r="UD99" s="15"/>
      <c r="UE99" s="15"/>
      <c r="UF99" s="15"/>
      <c r="UG99" s="15"/>
      <c r="UH99" s="15"/>
      <c r="UI99" s="15"/>
      <c r="UJ99" s="15"/>
      <c r="UK99" s="15"/>
      <c r="UL99" s="15"/>
      <c r="UM99" s="15"/>
      <c r="UN99" s="15"/>
      <c r="UO99" s="15"/>
      <c r="UP99" s="15"/>
      <c r="UQ99" s="15"/>
      <c r="UR99" s="15"/>
      <c r="US99" s="15"/>
      <c r="UT99" s="15"/>
      <c r="UU99" s="15"/>
      <c r="UV99" s="15"/>
      <c r="UW99" s="15"/>
      <c r="UX99" s="15"/>
      <c r="UY99" s="15"/>
      <c r="UZ99" s="15"/>
      <c r="VA99" s="15"/>
      <c r="VB99" s="15"/>
      <c r="VC99" s="15"/>
      <c r="VD99" s="15"/>
      <c r="VE99" s="15"/>
      <c r="VF99" s="15"/>
      <c r="VG99" s="15"/>
      <c r="VH99" s="15"/>
      <c r="VI99" s="15"/>
      <c r="VJ99" s="15"/>
      <c r="VK99" s="15"/>
      <c r="VL99" s="15"/>
      <c r="VM99" s="15"/>
      <c r="VN99" s="15"/>
      <c r="VO99" s="15"/>
      <c r="VP99" s="15"/>
      <c r="VQ99" s="15"/>
      <c r="VR99" s="15"/>
      <c r="VS99" s="15"/>
      <c r="VT99" s="15"/>
      <c r="VU99" s="15"/>
      <c r="VV99" s="15"/>
      <c r="VW99" s="15"/>
      <c r="VX99" s="15"/>
      <c r="VY99" s="15"/>
      <c r="VZ99" s="15"/>
      <c r="WA99" s="15"/>
      <c r="WB99" s="15"/>
      <c r="WC99" s="15"/>
      <c r="WD99" s="15"/>
      <c r="WE99" s="15"/>
      <c r="WF99" s="15"/>
      <c r="WG99" s="15"/>
      <c r="WH99" s="15"/>
      <c r="WI99" s="15"/>
      <c r="WJ99" s="15"/>
      <c r="WK99" s="15"/>
      <c r="WL99" s="15"/>
      <c r="WM99" s="15"/>
      <c r="WN99" s="15"/>
      <c r="WO99" s="15"/>
      <c r="WP99" s="15"/>
      <c r="WQ99" s="15"/>
      <c r="WR99" s="15"/>
      <c r="WS99" s="15"/>
      <c r="WT99" s="15"/>
      <c r="WU99" s="15"/>
      <c r="WV99" s="15"/>
      <c r="WW99" s="15"/>
      <c r="WX99" s="15"/>
      <c r="WY99" s="15"/>
      <c r="WZ99" s="15"/>
      <c r="XA99" s="15"/>
      <c r="XB99" s="15"/>
      <c r="XC99" s="15"/>
      <c r="XD99" s="15"/>
      <c r="XE99" s="15"/>
      <c r="XF99" s="15"/>
      <c r="XG99" s="15"/>
      <c r="XH99" s="15"/>
      <c r="XI99" s="15"/>
      <c r="XJ99" s="15"/>
      <c r="XK99" s="15"/>
      <c r="XL99" s="15"/>
      <c r="XM99" s="15"/>
      <c r="XN99" s="15"/>
      <c r="XO99" s="15"/>
      <c r="XP99" s="15"/>
      <c r="XQ99" s="15"/>
      <c r="XR99" s="15"/>
      <c r="XS99" s="15"/>
      <c r="XT99" s="15"/>
      <c r="XU99" s="15"/>
      <c r="XV99" s="15"/>
      <c r="XW99" s="15"/>
      <c r="XX99" s="15"/>
      <c r="XY99" s="15"/>
      <c r="XZ99" s="15"/>
      <c r="YA99" s="15"/>
      <c r="YB99" s="15"/>
      <c r="YC99" s="15"/>
      <c r="YD99" s="15"/>
      <c r="YE99" s="15"/>
      <c r="YF99" s="15"/>
      <c r="YG99" s="15"/>
      <c r="YH99" s="15"/>
      <c r="YI99" s="15"/>
      <c r="YJ99" s="15"/>
      <c r="YK99" s="15"/>
      <c r="YL99" s="15"/>
      <c r="YM99" s="15"/>
      <c r="YN99" s="15"/>
      <c r="YO99" s="15"/>
      <c r="YP99" s="15"/>
      <c r="YQ99" s="15"/>
      <c r="YR99" s="15"/>
      <c r="YS99" s="15"/>
      <c r="YT99" s="15"/>
      <c r="YU99" s="15"/>
      <c r="YV99" s="15"/>
      <c r="YW99" s="15"/>
      <c r="YX99" s="15"/>
      <c r="YY99" s="15"/>
      <c r="YZ99" s="15"/>
      <c r="ZA99" s="15"/>
      <c r="ZB99" s="15"/>
      <c r="ZC99" s="15"/>
      <c r="ZD99" s="15"/>
      <c r="ZE99" s="15"/>
      <c r="ZF99" s="15"/>
      <c r="ZG99" s="15"/>
      <c r="ZH99" s="15"/>
      <c r="ZI99" s="15"/>
      <c r="ZJ99" s="15"/>
      <c r="ZK99" s="15"/>
      <c r="ZL99" s="15"/>
      <c r="ZM99" s="15"/>
      <c r="ZN99" s="15"/>
      <c r="ZO99" s="15"/>
      <c r="ZP99" s="15"/>
      <c r="ZQ99" s="15"/>
      <c r="ZR99" s="15"/>
      <c r="ZS99" s="15"/>
      <c r="ZT99" s="15"/>
      <c r="ZU99" s="15"/>
      <c r="ZV99" s="15"/>
      <c r="ZW99" s="15"/>
      <c r="ZX99" s="15"/>
      <c r="ZY99" s="15"/>
      <c r="ZZ99" s="15"/>
      <c r="AAA99" s="15"/>
      <c r="AAB99" s="15"/>
      <c r="AAC99" s="15"/>
      <c r="AAD99" s="15"/>
      <c r="AAE99" s="15"/>
      <c r="AAF99" s="15"/>
      <c r="AAG99" s="15"/>
      <c r="AAH99" s="15"/>
      <c r="AAI99" s="15"/>
      <c r="AAJ99" s="15"/>
      <c r="AAK99" s="15"/>
      <c r="AAL99" s="15"/>
      <c r="AAM99" s="15"/>
      <c r="AAN99" s="15"/>
      <c r="AAO99" s="15"/>
      <c r="AAP99" s="15"/>
      <c r="AAQ99" s="15"/>
      <c r="AAR99" s="15"/>
      <c r="AAS99" s="15"/>
      <c r="AAT99" s="15"/>
      <c r="AAU99" s="15"/>
      <c r="AAV99" s="15"/>
      <c r="AAW99" s="15"/>
      <c r="AAX99" s="15"/>
      <c r="AAY99" s="15"/>
      <c r="AAZ99" s="15"/>
      <c r="ABA99" s="15"/>
      <c r="ABB99" s="15"/>
      <c r="ABC99" s="15"/>
      <c r="ABD99" s="15"/>
      <c r="ABE99" s="15"/>
      <c r="ABF99" s="15"/>
      <c r="ABG99" s="15"/>
      <c r="ABH99" s="15"/>
      <c r="ABI99" s="15"/>
      <c r="ABJ99" s="15"/>
      <c r="ABK99" s="15"/>
      <c r="ABL99" s="15"/>
      <c r="ABM99" s="15"/>
      <c r="ABN99" s="15"/>
      <c r="ABO99" s="15"/>
      <c r="ABP99" s="15"/>
      <c r="ABQ99" s="15"/>
      <c r="ABR99" s="15"/>
      <c r="ABS99" s="15"/>
      <c r="ABT99" s="15"/>
      <c r="ABU99" s="15"/>
      <c r="ABV99" s="15"/>
      <c r="ABW99" s="15"/>
      <c r="ABX99" s="15"/>
      <c r="ABY99" s="15"/>
      <c r="ABZ99" s="15"/>
      <c r="ACA99" s="15"/>
      <c r="ACB99" s="15"/>
      <c r="ACC99" s="15"/>
      <c r="ACD99" s="15"/>
      <c r="ACE99" s="15"/>
      <c r="ACF99" s="15"/>
      <c r="ACG99" s="15"/>
      <c r="ACH99" s="15"/>
      <c r="ACI99" s="15"/>
      <c r="ACJ99" s="15"/>
      <c r="ACK99" s="15"/>
      <c r="ACL99" s="15"/>
      <c r="ACM99" s="15"/>
      <c r="ACN99" s="15"/>
      <c r="ACO99" s="15"/>
      <c r="ACP99" s="15"/>
      <c r="ACQ99" s="15"/>
      <c r="ACR99" s="15"/>
      <c r="ACS99" s="15"/>
      <c r="ACT99" s="15"/>
      <c r="ACU99" s="15"/>
      <c r="ACV99" s="15"/>
      <c r="ACW99" s="15"/>
      <c r="ACX99" s="15"/>
      <c r="ACY99" s="15"/>
      <c r="ACZ99" s="15"/>
      <c r="ADA99" s="15"/>
      <c r="ADB99" s="15"/>
      <c r="ADC99" s="15"/>
      <c r="ADD99" s="15"/>
      <c r="ADE99" s="15"/>
      <c r="ADF99" s="15"/>
      <c r="ADG99" s="15"/>
      <c r="ADH99" s="15"/>
      <c r="ADI99" s="15"/>
      <c r="ADJ99" s="15"/>
      <c r="ADK99" s="15"/>
      <c r="ADL99" s="15"/>
      <c r="ADM99" s="15"/>
      <c r="ADN99" s="15"/>
      <c r="ADO99" s="15"/>
      <c r="ADP99" s="15"/>
      <c r="ADQ99" s="15"/>
      <c r="ADR99" s="15"/>
      <c r="ADS99" s="15"/>
      <c r="ADT99" s="15"/>
      <c r="ADU99" s="15"/>
      <c r="ADV99" s="15"/>
      <c r="ADW99" s="15"/>
      <c r="ADX99" s="15"/>
      <c r="ADY99" s="15"/>
      <c r="ADZ99" s="15"/>
      <c r="AEA99" s="15"/>
      <c r="AEB99" s="15"/>
      <c r="AEC99" s="15"/>
      <c r="AED99" s="15"/>
      <c r="AEE99" s="15"/>
      <c r="AEF99" s="15"/>
      <c r="AEG99" s="15"/>
      <c r="AEH99" s="15"/>
      <c r="AEI99" s="15"/>
      <c r="AEJ99" s="15"/>
      <c r="AEK99" s="15"/>
      <c r="AEL99" s="15"/>
      <c r="AEM99" s="15"/>
      <c r="AEN99" s="15"/>
      <c r="AEO99" s="15"/>
      <c r="AEP99" s="15"/>
      <c r="AEQ99" s="15"/>
      <c r="AER99" s="15"/>
      <c r="AES99" s="15"/>
      <c r="AET99" s="15"/>
      <c r="AEU99" s="15"/>
      <c r="AEV99" s="15"/>
      <c r="AEW99" s="15"/>
      <c r="AEX99" s="15"/>
      <c r="AEY99" s="15"/>
      <c r="AEZ99" s="15"/>
      <c r="AFA99" s="15"/>
      <c r="AFB99" s="15"/>
      <c r="AFC99" s="15"/>
      <c r="AFD99" s="15"/>
      <c r="AFE99" s="15"/>
      <c r="AFF99" s="15"/>
      <c r="AFG99" s="15"/>
      <c r="AFH99" s="15"/>
      <c r="AFI99" s="15"/>
      <c r="AFJ99" s="15"/>
      <c r="AFK99" s="15"/>
      <c r="AFL99" s="15"/>
      <c r="AFM99" s="15"/>
      <c r="AFN99" s="15"/>
      <c r="AFO99" s="15"/>
      <c r="AFP99" s="15"/>
      <c r="AFQ99" s="15"/>
      <c r="AFR99" s="15"/>
      <c r="AFS99" s="15"/>
      <c r="AFT99" s="15"/>
      <c r="AFU99" s="15"/>
      <c r="AFV99" s="15"/>
      <c r="AFW99" s="15"/>
      <c r="AFX99" s="15"/>
      <c r="AFY99" s="15"/>
      <c r="AFZ99" s="15"/>
      <c r="AGA99" s="15"/>
      <c r="AGB99" s="15"/>
      <c r="AGC99" s="15"/>
      <c r="AGD99" s="15"/>
      <c r="AGE99" s="15"/>
      <c r="AGF99" s="15"/>
      <c r="AGG99" s="15"/>
      <c r="AGH99" s="15"/>
      <c r="AGI99" s="15"/>
      <c r="AGJ99" s="15"/>
      <c r="AGK99" s="15"/>
      <c r="AGL99" s="15"/>
      <c r="AGM99" s="15"/>
      <c r="AGN99" s="15"/>
      <c r="AGO99" s="15"/>
      <c r="AGP99" s="15"/>
      <c r="AGQ99" s="15"/>
      <c r="AGR99" s="15"/>
      <c r="AGS99" s="15"/>
      <c r="AGT99" s="15"/>
      <c r="AGU99" s="15"/>
      <c r="AGV99" s="15"/>
      <c r="AGW99" s="15"/>
      <c r="AGX99" s="15"/>
      <c r="AGY99" s="15"/>
      <c r="AGZ99" s="15"/>
      <c r="AHA99" s="15"/>
      <c r="AHB99" s="15"/>
      <c r="AHC99" s="15"/>
      <c r="AHD99" s="15"/>
      <c r="AHE99" s="15"/>
      <c r="AHF99" s="15"/>
      <c r="AHG99" s="15"/>
      <c r="AHH99" s="15"/>
      <c r="AHI99" s="15"/>
      <c r="AHJ99" s="15"/>
      <c r="AHK99" s="15"/>
      <c r="AHL99" s="15"/>
      <c r="AHM99" s="15"/>
      <c r="AHN99" s="15"/>
      <c r="AHO99" s="15"/>
      <c r="AHP99" s="15"/>
      <c r="AHQ99" s="15"/>
      <c r="AHR99" s="15"/>
      <c r="AHS99" s="15"/>
      <c r="AHT99" s="15"/>
      <c r="AHU99" s="15"/>
      <c r="AHV99" s="15"/>
      <c r="AHW99" s="15"/>
      <c r="AHX99" s="15"/>
      <c r="AHY99" s="15"/>
      <c r="AHZ99" s="15"/>
      <c r="AIA99" s="15"/>
      <c r="AIB99" s="15"/>
      <c r="AIC99" s="15"/>
      <c r="AID99" s="15"/>
      <c r="AIE99" s="15"/>
      <c r="AIF99" s="15"/>
      <c r="AIG99" s="15"/>
      <c r="AIH99" s="15"/>
      <c r="AII99" s="15"/>
      <c r="AIJ99" s="15"/>
      <c r="AIK99" s="15"/>
      <c r="AIL99" s="15"/>
      <c r="AIM99" s="15"/>
      <c r="AIN99" s="15"/>
      <c r="AIO99" s="15"/>
      <c r="AIP99" s="15"/>
      <c r="AIQ99" s="15"/>
      <c r="AIR99" s="15"/>
      <c r="AIS99" s="15"/>
      <c r="AIT99" s="15"/>
      <c r="AIU99" s="15"/>
      <c r="AIV99" s="15"/>
      <c r="AIW99" s="15"/>
      <c r="AIX99" s="15"/>
      <c r="AIY99" s="15"/>
      <c r="AIZ99" s="15"/>
      <c r="AJA99" s="15"/>
      <c r="AJB99" s="15"/>
      <c r="AJC99" s="15"/>
      <c r="AJD99" s="15"/>
      <c r="AJE99" s="15"/>
      <c r="AJF99" s="15"/>
      <c r="AJG99" s="15"/>
      <c r="AJH99" s="15"/>
      <c r="AJI99" s="15"/>
      <c r="AJJ99" s="15"/>
      <c r="AJK99" s="15"/>
      <c r="AJL99" s="15"/>
      <c r="AJM99" s="15"/>
      <c r="AJN99" s="15"/>
      <c r="AJO99" s="15"/>
      <c r="AJP99" s="15"/>
      <c r="AJQ99" s="15"/>
      <c r="AJR99" s="15"/>
      <c r="AJS99" s="15"/>
      <c r="AJT99" s="15"/>
      <c r="AJU99" s="15"/>
      <c r="AJV99" s="15"/>
      <c r="AJW99" s="15"/>
      <c r="AJX99" s="15"/>
      <c r="AJY99" s="15"/>
      <c r="AJZ99" s="15"/>
      <c r="AKA99" s="15"/>
      <c r="AKB99" s="15"/>
      <c r="AKC99" s="15"/>
      <c r="AKD99" s="15"/>
      <c r="AKE99" s="15"/>
      <c r="AKF99" s="15"/>
      <c r="AKG99" s="15"/>
      <c r="AKH99" s="15"/>
      <c r="AKI99" s="15"/>
      <c r="AKJ99" s="15"/>
      <c r="AKK99" s="15"/>
      <c r="AKL99" s="15"/>
      <c r="AKM99" s="15"/>
      <c r="AKN99" s="15"/>
      <c r="AKO99" s="15"/>
      <c r="AKP99" s="15"/>
      <c r="AKQ99" s="15"/>
      <c r="AKR99" s="15"/>
      <c r="AKS99" s="15"/>
      <c r="AKT99" s="15"/>
      <c r="AKU99" s="15"/>
      <c r="AKV99" s="15"/>
      <c r="AKW99" s="15"/>
      <c r="AKX99" s="15"/>
      <c r="AKY99" s="15"/>
      <c r="AKZ99" s="15"/>
      <c r="ALA99" s="15"/>
      <c r="ALB99" s="15"/>
      <c r="ALC99" s="15"/>
      <c r="ALD99" s="15"/>
      <c r="ALE99" s="15"/>
      <c r="ALF99" s="15"/>
      <c r="ALG99" s="15"/>
      <c r="ALH99" s="15"/>
      <c r="ALI99" s="15"/>
      <c r="ALJ99" s="15"/>
      <c r="ALK99" s="15"/>
      <c r="ALL99" s="15"/>
      <c r="ALM99" s="15"/>
      <c r="ALN99" s="15"/>
      <c r="ALO99" s="15"/>
      <c r="ALP99" s="15"/>
      <c r="ALQ99" s="15"/>
      <c r="ALR99" s="15"/>
      <c r="ALS99" s="15"/>
      <c r="ALT99" s="15"/>
      <c r="ALU99" s="15"/>
      <c r="ALV99" s="15"/>
      <c r="ALW99" s="15"/>
      <c r="ALX99" s="15"/>
      <c r="ALY99" s="15"/>
      <c r="ALZ99" s="15"/>
      <c r="AMA99" s="15"/>
      <c r="AMB99" s="15"/>
      <c r="AMC99" s="15"/>
      <c r="AMD99" s="15"/>
      <c r="AME99" s="15"/>
      <c r="AMF99" s="15"/>
      <c r="AMG99" s="15"/>
      <c r="AMH99" s="15"/>
      <c r="AMI99" s="15"/>
      <c r="AMJ99" s="15"/>
      <c r="AMK99" s="15"/>
      <c r="AML99" s="15"/>
      <c r="AMM99" s="15"/>
      <c r="AMN99" s="15"/>
      <c r="AMO99" s="15"/>
      <c r="AMP99" s="15"/>
      <c r="AMQ99" s="15"/>
      <c r="AMR99" s="15"/>
      <c r="AMS99" s="15"/>
      <c r="AMT99" s="15"/>
      <c r="AMU99" s="15"/>
      <c r="AMV99" s="15"/>
      <c r="AMW99" s="15"/>
      <c r="AMX99" s="15"/>
      <c r="AMY99" s="15"/>
      <c r="AMZ99" s="15"/>
      <c r="ANA99" s="15"/>
      <c r="ANB99" s="15"/>
      <c r="ANC99" s="15"/>
      <c r="AND99" s="15"/>
      <c r="ANE99" s="15"/>
      <c r="ANF99" s="15"/>
      <c r="ANG99" s="15"/>
      <c r="ANH99" s="15"/>
      <c r="ANI99" s="15"/>
      <c r="ANJ99" s="15"/>
      <c r="ANK99" s="15"/>
      <c r="ANL99" s="15"/>
      <c r="ANM99" s="15"/>
      <c r="ANN99" s="15"/>
      <c r="ANO99" s="15"/>
      <c r="ANP99" s="15"/>
      <c r="ANQ99" s="15"/>
      <c r="ANR99" s="15"/>
      <c r="ANS99" s="15"/>
      <c r="ANT99" s="15"/>
      <c r="ANU99" s="15"/>
      <c r="ANV99" s="15"/>
      <c r="ANW99" s="15"/>
      <c r="ANX99" s="15"/>
      <c r="ANY99" s="15"/>
      <c r="ANZ99" s="15"/>
      <c r="AOA99" s="15"/>
      <c r="AOB99" s="15"/>
      <c r="AOC99" s="15"/>
      <c r="AOD99" s="15"/>
      <c r="AOE99" s="15"/>
      <c r="AOF99" s="15"/>
      <c r="AOG99" s="15"/>
      <c r="AOH99" s="15"/>
      <c r="AOI99" s="15"/>
      <c r="AOJ99" s="15"/>
      <c r="AOK99" s="15"/>
      <c r="AOL99" s="15"/>
      <c r="AOM99" s="15"/>
      <c r="AON99" s="15"/>
      <c r="AOO99" s="15"/>
      <c r="AOP99" s="15"/>
      <c r="AOQ99" s="15"/>
      <c r="AOR99" s="15"/>
      <c r="AOS99" s="15"/>
      <c r="AOT99" s="15"/>
      <c r="AOU99" s="15"/>
      <c r="AOV99" s="15"/>
      <c r="AOW99" s="15"/>
      <c r="AOX99" s="15"/>
      <c r="AOY99" s="15"/>
      <c r="AOZ99" s="15"/>
      <c r="APA99" s="15"/>
      <c r="APB99" s="15"/>
      <c r="APC99" s="15"/>
      <c r="APD99" s="15"/>
      <c r="APE99" s="15"/>
      <c r="APF99" s="15"/>
      <c r="APG99" s="15"/>
      <c r="APH99" s="15"/>
      <c r="API99" s="15"/>
      <c r="APJ99" s="15"/>
      <c r="APK99" s="15"/>
      <c r="APL99" s="15"/>
      <c r="APM99" s="15"/>
      <c r="APN99" s="15"/>
      <c r="APO99" s="15"/>
      <c r="APP99" s="15"/>
      <c r="APQ99" s="15"/>
      <c r="APR99" s="15"/>
      <c r="APS99" s="15"/>
      <c r="APT99" s="15"/>
      <c r="APU99" s="15"/>
      <c r="APV99" s="15"/>
      <c r="APW99" s="15"/>
      <c r="APX99" s="15"/>
      <c r="APY99" s="15"/>
      <c r="APZ99" s="15"/>
      <c r="AQA99" s="15"/>
      <c r="AQB99" s="15"/>
      <c r="AQC99" s="15"/>
      <c r="AQD99" s="15"/>
      <c r="AQE99" s="15"/>
      <c r="AQF99" s="15"/>
      <c r="AQG99" s="15"/>
      <c r="AQH99" s="15"/>
      <c r="AQI99" s="15"/>
      <c r="AQJ99" s="15"/>
      <c r="AQK99" s="15"/>
      <c r="AQL99" s="15"/>
      <c r="AQM99" s="15"/>
      <c r="AQN99" s="15"/>
      <c r="AQO99" s="15"/>
      <c r="AQP99" s="15"/>
      <c r="AQQ99" s="15"/>
      <c r="AQR99" s="15"/>
      <c r="AQS99" s="15"/>
      <c r="AQT99" s="15"/>
      <c r="AQU99" s="15"/>
      <c r="AQV99" s="15"/>
      <c r="AQW99" s="15"/>
      <c r="AQX99" s="15"/>
      <c r="AQY99" s="15"/>
      <c r="AQZ99" s="15"/>
      <c r="ARA99" s="15"/>
      <c r="ARB99" s="15"/>
      <c r="ARC99" s="15"/>
      <c r="ARD99" s="15"/>
      <c r="ARE99" s="15"/>
      <c r="ARF99" s="15"/>
      <c r="ARG99" s="15"/>
      <c r="ARH99" s="15"/>
      <c r="ARI99" s="15"/>
      <c r="ARJ99" s="15"/>
      <c r="ARK99" s="15"/>
      <c r="ARL99" s="15"/>
      <c r="ARM99" s="15"/>
      <c r="ARN99" s="15"/>
      <c r="ARO99" s="15"/>
      <c r="ARP99" s="15"/>
      <c r="ARQ99" s="15"/>
      <c r="ARR99" s="15"/>
      <c r="ARS99" s="15"/>
      <c r="ART99" s="15"/>
      <c r="ARU99" s="15"/>
      <c r="ARV99" s="15"/>
      <c r="ARW99" s="15"/>
      <c r="ARX99" s="15"/>
      <c r="ARY99" s="15"/>
      <c r="ARZ99" s="15"/>
      <c r="ASA99" s="15"/>
      <c r="ASB99" s="15"/>
      <c r="ASC99" s="15"/>
      <c r="ASD99" s="15"/>
      <c r="ASE99" s="15"/>
      <c r="ASF99" s="15"/>
      <c r="ASG99" s="15"/>
      <c r="ASH99" s="15"/>
      <c r="ASI99" s="15"/>
      <c r="ASJ99" s="15"/>
      <c r="ASK99" s="15"/>
      <c r="ASL99" s="15"/>
      <c r="ASM99" s="15"/>
      <c r="ASN99" s="15"/>
      <c r="ASO99" s="15"/>
      <c r="ASP99" s="15"/>
      <c r="ASQ99" s="15"/>
      <c r="ASR99" s="15"/>
      <c r="ASS99" s="15"/>
      <c r="AST99" s="15"/>
      <c r="ASU99" s="15"/>
      <c r="ASV99" s="15"/>
      <c r="ASW99" s="15"/>
      <c r="ASX99" s="15"/>
      <c r="ASY99" s="15"/>
      <c r="ASZ99" s="15"/>
      <c r="ATA99" s="15"/>
      <c r="ATB99" s="15"/>
      <c r="ATC99" s="15"/>
      <c r="ATD99" s="15"/>
      <c r="ATE99" s="15"/>
      <c r="ATF99" s="15"/>
      <c r="ATG99" s="15"/>
      <c r="ATH99" s="15"/>
      <c r="ATI99" s="15"/>
      <c r="ATJ99" s="15"/>
      <c r="ATK99" s="15"/>
      <c r="ATL99" s="15"/>
      <c r="ATM99" s="15"/>
      <c r="ATN99" s="15"/>
      <c r="ATO99" s="15"/>
      <c r="ATP99" s="15"/>
      <c r="ATQ99" s="15"/>
      <c r="ATR99" s="15"/>
      <c r="ATS99" s="15"/>
      <c r="ATT99" s="15"/>
      <c r="ATU99" s="15"/>
      <c r="ATV99" s="15"/>
      <c r="ATW99" s="15"/>
      <c r="ATX99" s="15"/>
      <c r="ATY99" s="15"/>
      <c r="ATZ99" s="15"/>
      <c r="AUA99" s="15"/>
      <c r="AUB99" s="15"/>
      <c r="AUC99" s="15"/>
      <c r="AUD99" s="15"/>
      <c r="AUE99" s="15"/>
      <c r="AUF99" s="15"/>
      <c r="AUG99" s="15"/>
      <c r="AUH99" s="15"/>
      <c r="AUI99" s="15"/>
      <c r="AUJ99" s="15"/>
      <c r="AUK99" s="15"/>
      <c r="AUL99" s="15"/>
      <c r="AUM99" s="15"/>
      <c r="AUN99" s="15"/>
      <c r="AUO99" s="15"/>
      <c r="AUP99" s="15"/>
      <c r="AUQ99" s="15"/>
      <c r="AUR99" s="15"/>
      <c r="AUS99" s="15"/>
      <c r="AUT99" s="15"/>
      <c r="AUU99" s="15"/>
      <c r="AUV99" s="15"/>
      <c r="AUW99" s="15"/>
      <c r="AUX99" s="15"/>
      <c r="AUY99" s="15"/>
      <c r="AUZ99" s="15"/>
      <c r="AVA99" s="15"/>
      <c r="AVB99" s="15"/>
      <c r="AVC99" s="15"/>
      <c r="AVD99" s="15"/>
      <c r="AVE99" s="15"/>
      <c r="AVF99" s="15"/>
      <c r="AVG99" s="15"/>
      <c r="AVH99" s="15"/>
      <c r="AVI99" s="15"/>
      <c r="AVJ99" s="15"/>
      <c r="AVK99" s="15"/>
      <c r="AVL99" s="15"/>
      <c r="AVM99" s="15"/>
      <c r="AVN99" s="15"/>
      <c r="AVO99" s="15"/>
      <c r="AVP99" s="15"/>
      <c r="AVQ99" s="15"/>
      <c r="AVR99" s="15"/>
      <c r="AVS99" s="15"/>
      <c r="AVT99" s="15"/>
      <c r="AVU99" s="15"/>
      <c r="AVV99" s="15"/>
      <c r="AVW99" s="15"/>
      <c r="AVX99" s="15"/>
      <c r="AVY99" s="15"/>
      <c r="AVZ99" s="15"/>
      <c r="AWA99" s="15"/>
      <c r="AWB99" s="15"/>
      <c r="AWC99" s="15"/>
      <c r="AWD99" s="15"/>
      <c r="AWE99" s="15"/>
      <c r="AWF99" s="15"/>
      <c r="AWG99" s="15"/>
      <c r="AWH99" s="15"/>
      <c r="AWI99" s="15"/>
      <c r="AWJ99" s="15"/>
      <c r="AWK99" s="15"/>
      <c r="AWL99" s="15"/>
      <c r="AWM99" s="15"/>
      <c r="AWN99" s="15"/>
      <c r="AWO99" s="15"/>
      <c r="AWP99" s="15"/>
      <c r="AWQ99" s="15"/>
      <c r="AWR99" s="15"/>
      <c r="AWS99" s="15"/>
      <c r="AWT99" s="15"/>
      <c r="AWU99" s="15"/>
      <c r="AWV99" s="15"/>
      <c r="AWW99" s="15"/>
      <c r="AWX99" s="15"/>
      <c r="AWY99" s="15"/>
      <c r="AWZ99" s="15"/>
      <c r="AXA99" s="15"/>
      <c r="AXB99" s="15"/>
      <c r="AXC99" s="15"/>
      <c r="AXD99" s="15"/>
      <c r="AXE99" s="15"/>
      <c r="AXF99" s="15"/>
      <c r="AXG99" s="15"/>
      <c r="AXH99" s="15"/>
      <c r="AXI99" s="15"/>
      <c r="AXJ99" s="15"/>
      <c r="AXK99" s="15"/>
      <c r="AXL99" s="15"/>
      <c r="AXM99" s="15"/>
      <c r="AXN99" s="15"/>
      <c r="AXO99" s="15"/>
      <c r="AXP99" s="15"/>
      <c r="AXQ99" s="15"/>
      <c r="AXR99" s="15"/>
      <c r="AXS99" s="15"/>
      <c r="AXT99" s="15"/>
      <c r="AXU99" s="15"/>
      <c r="AXV99" s="15"/>
      <c r="AXW99" s="15"/>
      <c r="AXX99" s="15"/>
      <c r="AXY99" s="15"/>
      <c r="AXZ99" s="15"/>
      <c r="AYA99" s="15"/>
      <c r="AYB99" s="15"/>
      <c r="AYC99" s="15"/>
      <c r="AYD99" s="15"/>
      <c r="AYE99" s="15"/>
      <c r="AYF99" s="15"/>
      <c r="AYG99" s="15"/>
      <c r="AYH99" s="15"/>
      <c r="AYI99" s="15"/>
      <c r="AYJ99" s="15"/>
      <c r="AYK99" s="15"/>
      <c r="AYL99" s="15"/>
      <c r="AYM99" s="15"/>
      <c r="AYN99" s="15"/>
      <c r="AYO99" s="15"/>
      <c r="AYP99" s="15"/>
      <c r="AYQ99" s="15"/>
      <c r="AYR99" s="15"/>
      <c r="AYS99" s="15"/>
      <c r="AYT99" s="15"/>
      <c r="AYU99" s="15"/>
      <c r="AYV99" s="15"/>
      <c r="AYW99" s="15"/>
      <c r="AYX99" s="15"/>
      <c r="AYY99" s="15"/>
      <c r="AYZ99" s="15"/>
      <c r="AZA99" s="15"/>
      <c r="AZB99" s="15"/>
      <c r="AZC99" s="15"/>
      <c r="AZD99" s="15"/>
      <c r="AZE99" s="15"/>
      <c r="AZF99" s="15"/>
      <c r="AZG99" s="15"/>
      <c r="AZH99" s="15"/>
      <c r="AZI99" s="15"/>
      <c r="AZJ99" s="15"/>
      <c r="AZK99" s="15"/>
      <c r="AZL99" s="15"/>
      <c r="AZM99" s="15"/>
      <c r="AZN99" s="15"/>
      <c r="AZO99" s="15"/>
      <c r="AZP99" s="15"/>
      <c r="AZQ99" s="15"/>
      <c r="AZR99" s="15"/>
      <c r="AZS99" s="15"/>
      <c r="AZT99" s="15"/>
      <c r="AZU99" s="15"/>
      <c r="AZV99" s="15"/>
      <c r="AZW99" s="15"/>
      <c r="AZX99" s="15"/>
      <c r="AZY99" s="15"/>
      <c r="AZZ99" s="15"/>
      <c r="BAA99" s="15"/>
      <c r="BAB99" s="15"/>
      <c r="BAC99" s="15"/>
      <c r="BAD99" s="15"/>
      <c r="BAE99" s="15"/>
      <c r="BAF99" s="15"/>
      <c r="BAG99" s="15"/>
      <c r="BAH99" s="15"/>
      <c r="BAI99" s="15"/>
      <c r="BAJ99" s="15"/>
      <c r="BAK99" s="15"/>
      <c r="BAL99" s="15"/>
      <c r="BAM99" s="15"/>
      <c r="BAN99" s="15"/>
      <c r="BAO99" s="15"/>
      <c r="BAP99" s="15"/>
      <c r="BAQ99" s="15"/>
      <c r="BAR99" s="15"/>
      <c r="BAS99" s="15"/>
      <c r="BAT99" s="15"/>
      <c r="BAU99" s="15"/>
      <c r="BAV99" s="15"/>
      <c r="BAW99" s="15"/>
      <c r="BAX99" s="15"/>
      <c r="BAY99" s="15"/>
      <c r="BAZ99" s="15"/>
      <c r="BBA99" s="15"/>
      <c r="BBB99" s="15"/>
      <c r="BBC99" s="15"/>
      <c r="BBD99" s="15"/>
      <c r="BBE99" s="15"/>
      <c r="BBF99" s="15"/>
      <c r="BBG99" s="15"/>
      <c r="BBH99" s="15"/>
      <c r="BBI99" s="15"/>
      <c r="BBJ99" s="15"/>
      <c r="BBK99" s="15"/>
      <c r="BBL99" s="15"/>
      <c r="BBM99" s="15"/>
      <c r="BBN99" s="15"/>
      <c r="BBO99" s="15"/>
      <c r="BBP99" s="15"/>
      <c r="BBQ99" s="15"/>
      <c r="BBR99" s="15"/>
      <c r="BBS99" s="15"/>
      <c r="BBT99" s="15"/>
      <c r="BBU99" s="15"/>
      <c r="BBV99" s="15"/>
      <c r="BBW99" s="15"/>
      <c r="BBX99" s="15"/>
      <c r="BBY99" s="15"/>
      <c r="BBZ99" s="15"/>
      <c r="BCA99" s="15"/>
      <c r="BCB99" s="15"/>
      <c r="BCC99" s="15"/>
      <c r="BCD99" s="15"/>
      <c r="BCE99" s="15"/>
      <c r="BCF99" s="15"/>
      <c r="BCG99" s="15"/>
      <c r="BCH99" s="15"/>
      <c r="BCI99" s="15"/>
      <c r="BCJ99" s="15"/>
      <c r="BCK99" s="15"/>
      <c r="BCL99" s="15"/>
      <c r="BCM99" s="15"/>
      <c r="BCN99" s="15"/>
      <c r="BCO99" s="15"/>
      <c r="BCP99" s="15"/>
      <c r="BCQ99" s="15"/>
      <c r="BCR99" s="15"/>
      <c r="BCS99" s="15"/>
      <c r="BCT99" s="15"/>
      <c r="BCU99" s="15"/>
      <c r="BCV99" s="15"/>
      <c r="BCW99" s="15"/>
      <c r="BCX99" s="15"/>
      <c r="BCY99" s="15"/>
      <c r="BCZ99" s="15"/>
      <c r="BDA99" s="15"/>
      <c r="BDB99" s="15"/>
      <c r="BDC99" s="15"/>
      <c r="BDD99" s="15"/>
      <c r="BDE99" s="15"/>
      <c r="BDF99" s="15"/>
      <c r="BDG99" s="15"/>
      <c r="BDH99" s="15"/>
      <c r="BDI99" s="15"/>
      <c r="BDJ99" s="15"/>
      <c r="BDK99" s="15"/>
      <c r="BDL99" s="15"/>
      <c r="BDM99" s="15"/>
      <c r="BDN99" s="15"/>
      <c r="BDO99" s="15"/>
      <c r="BDP99" s="15"/>
      <c r="BDQ99" s="15"/>
      <c r="BDR99" s="15"/>
      <c r="BDS99" s="15"/>
      <c r="BDT99" s="15"/>
      <c r="BDU99" s="15"/>
      <c r="BDV99" s="15"/>
      <c r="BDW99" s="15"/>
      <c r="BDX99" s="15"/>
      <c r="BDY99" s="15"/>
      <c r="BDZ99" s="15"/>
      <c r="BEA99" s="15"/>
      <c r="BEB99" s="15"/>
      <c r="BEC99" s="15"/>
      <c r="BED99" s="15"/>
      <c r="BEE99" s="15"/>
      <c r="BEF99" s="15"/>
      <c r="BEG99" s="15"/>
      <c r="BEH99" s="15"/>
      <c r="BEI99" s="15"/>
      <c r="BEJ99" s="15"/>
      <c r="BEK99" s="15"/>
      <c r="BEL99" s="15"/>
      <c r="BEM99" s="15"/>
      <c r="BEN99" s="15"/>
      <c r="BEO99" s="15"/>
      <c r="BEP99" s="15"/>
      <c r="BEQ99" s="15"/>
      <c r="BER99" s="15"/>
      <c r="BES99" s="15"/>
      <c r="BET99" s="15"/>
      <c r="BEU99" s="15"/>
      <c r="BEV99" s="15"/>
      <c r="BEW99" s="15"/>
      <c r="BEX99" s="15"/>
      <c r="BEY99" s="15"/>
      <c r="BEZ99" s="15"/>
      <c r="BFA99" s="15"/>
      <c r="BFB99" s="15"/>
      <c r="BFC99" s="15"/>
      <c r="BFD99" s="15"/>
      <c r="BFE99" s="15"/>
      <c r="BFF99" s="15"/>
      <c r="BFG99" s="15"/>
      <c r="BFH99" s="15"/>
      <c r="BFI99" s="15"/>
      <c r="BFJ99" s="15"/>
      <c r="BFK99" s="15"/>
      <c r="BFL99" s="15"/>
      <c r="BFM99" s="15"/>
      <c r="BFN99" s="15"/>
      <c r="BFO99" s="15"/>
      <c r="BFP99" s="15"/>
      <c r="BFQ99" s="15"/>
      <c r="BFR99" s="15"/>
      <c r="BFS99" s="15"/>
      <c r="BFT99" s="15"/>
      <c r="BFU99" s="15"/>
      <c r="BFV99" s="15"/>
      <c r="BFW99" s="15"/>
      <c r="BFX99" s="15"/>
      <c r="BFY99" s="15"/>
      <c r="BFZ99" s="15"/>
      <c r="BGA99" s="15"/>
      <c r="BGB99" s="15"/>
      <c r="BGC99" s="15"/>
      <c r="BGD99" s="15"/>
      <c r="BGE99" s="15"/>
      <c r="BGF99" s="15"/>
      <c r="BGG99" s="15"/>
      <c r="BGH99" s="15"/>
      <c r="BGI99" s="15"/>
      <c r="BGJ99" s="15"/>
      <c r="BGK99" s="15"/>
      <c r="BGL99" s="15"/>
      <c r="BGM99" s="15"/>
      <c r="BGN99" s="15"/>
      <c r="BGO99" s="15"/>
      <c r="BGP99" s="15"/>
      <c r="BGQ99" s="15"/>
      <c r="BGR99" s="15"/>
      <c r="BGS99" s="15"/>
      <c r="BGT99" s="15"/>
      <c r="BGU99" s="15"/>
      <c r="BGV99" s="15"/>
      <c r="BGW99" s="15"/>
      <c r="BGX99" s="15"/>
      <c r="BGY99" s="15"/>
      <c r="BGZ99" s="15"/>
      <c r="BHA99" s="15"/>
      <c r="BHB99" s="15"/>
      <c r="BHC99" s="15"/>
      <c r="BHD99" s="15"/>
      <c r="BHE99" s="15"/>
      <c r="BHF99" s="15"/>
      <c r="BHG99" s="15"/>
      <c r="BHH99" s="15"/>
      <c r="BHI99" s="15"/>
      <c r="BHJ99" s="15"/>
      <c r="BHK99" s="15"/>
      <c r="BHL99" s="15"/>
      <c r="BHM99" s="15"/>
      <c r="BHN99" s="15"/>
      <c r="BHO99" s="15"/>
      <c r="BHP99" s="15"/>
      <c r="BHQ99" s="15"/>
      <c r="BHR99" s="15"/>
      <c r="BHS99" s="15"/>
      <c r="BHT99" s="15"/>
      <c r="BHU99" s="15"/>
      <c r="BHV99" s="15"/>
      <c r="BHW99" s="15"/>
      <c r="BHX99" s="15"/>
      <c r="BHY99" s="15"/>
      <c r="BHZ99" s="15"/>
      <c r="BIA99" s="15"/>
      <c r="BIB99" s="15"/>
      <c r="BIC99" s="15"/>
      <c r="BID99" s="15"/>
      <c r="BIE99" s="15"/>
      <c r="BIF99" s="15"/>
      <c r="BIG99" s="15"/>
      <c r="BIH99" s="15"/>
      <c r="BII99" s="15"/>
      <c r="BIJ99" s="15"/>
      <c r="BIK99" s="15"/>
      <c r="BIL99" s="15"/>
      <c r="BIM99" s="15"/>
      <c r="BIN99" s="15"/>
      <c r="BIO99" s="15"/>
      <c r="BIP99" s="15"/>
      <c r="BIQ99" s="15"/>
      <c r="BIR99" s="15"/>
      <c r="BIS99" s="15"/>
      <c r="BIT99" s="15"/>
      <c r="BIU99" s="15"/>
      <c r="BIV99" s="15"/>
      <c r="BIW99" s="15"/>
      <c r="BIX99" s="15"/>
      <c r="BIY99" s="15"/>
      <c r="BIZ99" s="15"/>
      <c r="BJA99" s="15"/>
      <c r="BJB99" s="15"/>
      <c r="BJC99" s="15"/>
      <c r="BJD99" s="15"/>
      <c r="BJE99" s="15"/>
      <c r="BJF99" s="15"/>
      <c r="BJG99" s="15"/>
      <c r="BJH99" s="15"/>
      <c r="BJI99" s="15"/>
      <c r="BJJ99" s="15"/>
      <c r="BJK99" s="15"/>
      <c r="BJL99" s="15"/>
      <c r="BJM99" s="15"/>
      <c r="BJN99" s="15"/>
      <c r="BJO99" s="15"/>
      <c r="BJP99" s="15"/>
      <c r="BJQ99" s="15"/>
      <c r="BJR99" s="15"/>
      <c r="BJS99" s="15"/>
      <c r="BJT99" s="15"/>
      <c r="BJU99" s="15"/>
      <c r="BJV99" s="15"/>
      <c r="BJW99" s="15"/>
      <c r="BJX99" s="15"/>
      <c r="BJY99" s="15"/>
      <c r="BJZ99" s="15"/>
      <c r="BKA99" s="15"/>
      <c r="BKB99" s="15"/>
      <c r="BKC99" s="15"/>
      <c r="BKD99" s="15"/>
      <c r="BKE99" s="15"/>
      <c r="BKF99" s="15"/>
      <c r="BKG99" s="15"/>
      <c r="BKH99" s="15"/>
      <c r="BKI99" s="15"/>
      <c r="BKJ99" s="15"/>
      <c r="BKK99" s="15"/>
      <c r="BKL99" s="15"/>
      <c r="BKM99" s="15"/>
      <c r="BKN99" s="15"/>
      <c r="BKO99" s="15"/>
      <c r="BKP99" s="15"/>
      <c r="BKQ99" s="15"/>
      <c r="BKR99" s="15"/>
      <c r="BKS99" s="15"/>
      <c r="BKT99" s="15"/>
      <c r="BKU99" s="15"/>
      <c r="BKV99" s="15"/>
      <c r="BKW99" s="15"/>
      <c r="BKX99" s="15"/>
      <c r="BKY99" s="15"/>
      <c r="BKZ99" s="15"/>
      <c r="BLA99" s="15"/>
      <c r="BLB99" s="15"/>
      <c r="BLC99" s="15"/>
      <c r="BLD99" s="15"/>
      <c r="BLE99" s="15"/>
      <c r="BLF99" s="15"/>
      <c r="BLG99" s="15"/>
      <c r="BLH99" s="15"/>
      <c r="BLI99" s="15"/>
      <c r="BLJ99" s="15"/>
      <c r="BLK99" s="15"/>
      <c r="BLL99" s="15"/>
      <c r="BLM99" s="15"/>
      <c r="BLN99" s="15"/>
      <c r="BLO99" s="15"/>
      <c r="BLP99" s="15"/>
      <c r="BLQ99" s="15"/>
      <c r="BLR99" s="15"/>
      <c r="BLS99" s="15"/>
      <c r="BLT99" s="15"/>
      <c r="BLU99" s="15"/>
      <c r="BLV99" s="15"/>
      <c r="BLW99" s="15"/>
      <c r="BLX99" s="15"/>
      <c r="BLY99" s="15"/>
      <c r="BLZ99" s="15"/>
      <c r="BMA99" s="15"/>
      <c r="BMB99" s="15"/>
      <c r="BMC99" s="15"/>
      <c r="BMD99" s="15"/>
      <c r="BME99" s="15"/>
      <c r="BMF99" s="15"/>
      <c r="BMG99" s="15"/>
      <c r="BMH99" s="15"/>
      <c r="BMI99" s="15"/>
      <c r="BMJ99" s="15"/>
      <c r="BMK99" s="15"/>
      <c r="BML99" s="15"/>
      <c r="BMM99" s="15"/>
      <c r="BMN99" s="15"/>
      <c r="BMO99" s="15"/>
      <c r="BMP99" s="15"/>
      <c r="BMQ99" s="15"/>
      <c r="BMR99" s="15"/>
      <c r="BMS99" s="15"/>
      <c r="BMT99" s="15"/>
      <c r="BMU99" s="15"/>
      <c r="BMV99" s="15"/>
      <c r="BMW99" s="15"/>
      <c r="BMX99" s="15"/>
      <c r="BMY99" s="15"/>
      <c r="BMZ99" s="15"/>
      <c r="BNA99" s="15"/>
      <c r="BNB99" s="15"/>
      <c r="BNC99" s="15"/>
      <c r="BND99" s="15"/>
      <c r="BNE99" s="15"/>
      <c r="BNF99" s="15"/>
      <c r="BNG99" s="15"/>
      <c r="BNH99" s="15"/>
      <c r="BNI99" s="15"/>
      <c r="BNJ99" s="15"/>
      <c r="BNK99" s="15"/>
      <c r="BNL99" s="15"/>
      <c r="BNM99" s="15"/>
      <c r="BNN99" s="15"/>
      <c r="BNO99" s="15"/>
      <c r="BNP99" s="15"/>
      <c r="BNQ99" s="15"/>
      <c r="BNR99" s="15"/>
      <c r="BNS99" s="15"/>
      <c r="BNT99" s="15"/>
      <c r="BNU99" s="15"/>
      <c r="BNV99" s="15"/>
      <c r="BNW99" s="15"/>
      <c r="BNX99" s="15"/>
      <c r="BNY99" s="15"/>
      <c r="BNZ99" s="15"/>
      <c r="BOA99" s="15"/>
      <c r="BOB99" s="15"/>
      <c r="BOC99" s="15"/>
      <c r="BOD99" s="15"/>
      <c r="BOE99" s="15"/>
      <c r="BOF99" s="15"/>
      <c r="BOG99" s="15"/>
      <c r="BOH99" s="15"/>
      <c r="BOI99" s="15"/>
      <c r="BOJ99" s="15"/>
      <c r="BOK99" s="15"/>
      <c r="BOL99" s="15"/>
      <c r="BOM99" s="15"/>
      <c r="BON99" s="15"/>
      <c r="BOO99" s="15"/>
      <c r="BOP99" s="15"/>
      <c r="BOQ99" s="15"/>
      <c r="BOR99" s="15"/>
      <c r="BOS99" s="15"/>
      <c r="BOT99" s="15"/>
      <c r="BOU99" s="15"/>
      <c r="BOV99" s="15"/>
      <c r="BOW99" s="15"/>
      <c r="BOX99" s="15"/>
      <c r="BOY99" s="15"/>
      <c r="BOZ99" s="15"/>
      <c r="BPA99" s="15"/>
      <c r="BPB99" s="15"/>
      <c r="BPC99" s="15"/>
      <c r="BPD99" s="15"/>
      <c r="BPE99" s="15"/>
      <c r="BPF99" s="15"/>
      <c r="BPG99" s="15"/>
      <c r="BPH99" s="15"/>
      <c r="BPI99" s="15"/>
      <c r="BPJ99" s="15"/>
      <c r="BPK99" s="15"/>
      <c r="BPL99" s="15"/>
      <c r="BPM99" s="15"/>
      <c r="BPN99" s="15"/>
      <c r="BPO99" s="15"/>
      <c r="BPP99" s="15"/>
      <c r="BPQ99" s="15"/>
      <c r="BPR99" s="15"/>
      <c r="BPS99" s="15"/>
      <c r="BPT99" s="15"/>
      <c r="BPU99" s="15"/>
      <c r="BPV99" s="15"/>
      <c r="BPW99" s="15"/>
      <c r="BPX99" s="15"/>
      <c r="BPY99" s="15"/>
      <c r="BPZ99" s="15"/>
      <c r="BQA99" s="15"/>
      <c r="BQB99" s="15"/>
      <c r="BQC99" s="15"/>
      <c r="BQD99" s="15"/>
      <c r="BQE99" s="15"/>
      <c r="BQF99" s="15"/>
      <c r="BQG99" s="15"/>
      <c r="BQH99" s="15"/>
      <c r="BQI99" s="15"/>
      <c r="BQJ99" s="15"/>
      <c r="BQK99" s="15"/>
      <c r="BQL99" s="15"/>
      <c r="BQM99" s="15"/>
      <c r="BQN99" s="15"/>
      <c r="BQO99" s="15"/>
      <c r="BQP99" s="15"/>
      <c r="BQQ99" s="15"/>
      <c r="BQR99" s="15"/>
      <c r="BQS99" s="15"/>
      <c r="BQT99" s="15"/>
      <c r="BQU99" s="15"/>
      <c r="BQV99" s="15"/>
      <c r="BQW99" s="15"/>
      <c r="BQX99" s="15"/>
      <c r="BQY99" s="15"/>
      <c r="BQZ99" s="15"/>
      <c r="BRA99" s="15"/>
      <c r="BRB99" s="15"/>
      <c r="BRC99" s="15"/>
      <c r="BRD99" s="15"/>
      <c r="BRE99" s="15"/>
      <c r="BRF99" s="15"/>
      <c r="BRG99" s="15"/>
      <c r="BRH99" s="15"/>
      <c r="BRI99" s="15"/>
      <c r="BRJ99" s="15"/>
      <c r="BRK99" s="15"/>
      <c r="BRL99" s="15"/>
      <c r="BRM99" s="15"/>
      <c r="BRN99" s="15"/>
      <c r="BRO99" s="15"/>
      <c r="BRP99" s="15"/>
      <c r="BRQ99" s="15"/>
      <c r="BRR99" s="15"/>
      <c r="BRS99" s="15"/>
      <c r="BRT99" s="15"/>
      <c r="BRU99" s="15"/>
      <c r="BRV99" s="15"/>
      <c r="BRW99" s="15"/>
      <c r="BRX99" s="15"/>
      <c r="BRY99" s="15"/>
      <c r="BRZ99" s="15"/>
      <c r="BSA99" s="15"/>
      <c r="BSB99" s="15"/>
      <c r="BSC99" s="15"/>
      <c r="BSD99" s="15"/>
      <c r="BSE99" s="15"/>
      <c r="BSF99" s="15"/>
      <c r="BSG99" s="15"/>
      <c r="BSH99" s="15"/>
      <c r="BSI99" s="15"/>
      <c r="BSJ99" s="15"/>
      <c r="BSK99" s="15"/>
      <c r="BSL99" s="15"/>
      <c r="BSM99" s="15"/>
      <c r="BSN99" s="15"/>
      <c r="BSO99" s="15"/>
      <c r="BSP99" s="15"/>
      <c r="BSQ99" s="15"/>
      <c r="BSR99" s="15"/>
      <c r="BSS99" s="15"/>
      <c r="BST99" s="15"/>
      <c r="BSU99" s="15"/>
      <c r="BSV99" s="15"/>
      <c r="BSW99" s="15"/>
      <c r="BSX99" s="15"/>
      <c r="BSY99" s="15"/>
      <c r="BSZ99" s="15"/>
      <c r="BTA99" s="15"/>
      <c r="BTB99" s="15"/>
      <c r="BTC99" s="15"/>
      <c r="BTD99" s="15"/>
      <c r="BTE99" s="15"/>
      <c r="BTF99" s="15"/>
      <c r="BTG99" s="15"/>
      <c r="BTH99" s="15"/>
      <c r="BTI99" s="15"/>
      <c r="BTJ99" s="15"/>
      <c r="BTK99" s="15"/>
      <c r="BTL99" s="15"/>
      <c r="BTM99" s="15"/>
      <c r="BTN99" s="15"/>
      <c r="BTO99" s="15"/>
      <c r="BTP99" s="15"/>
      <c r="BTQ99" s="15"/>
      <c r="BTR99" s="15"/>
      <c r="BTS99" s="15"/>
      <c r="BTT99" s="15"/>
      <c r="BTU99" s="15"/>
      <c r="BTV99" s="15"/>
      <c r="BTW99" s="15"/>
      <c r="BTX99" s="15"/>
      <c r="BTY99" s="15"/>
      <c r="BTZ99" s="15"/>
      <c r="BUA99" s="15"/>
      <c r="BUB99" s="15"/>
      <c r="BUC99" s="15"/>
      <c r="BUD99" s="15"/>
      <c r="BUE99" s="15"/>
      <c r="BUF99" s="15"/>
      <c r="BUG99" s="15"/>
      <c r="BUH99" s="15"/>
      <c r="BUI99" s="15"/>
      <c r="BUJ99" s="15"/>
      <c r="BUK99" s="15"/>
      <c r="BUL99" s="15"/>
      <c r="BUM99" s="15"/>
      <c r="BUN99" s="15"/>
      <c r="BUO99" s="15"/>
      <c r="BUP99" s="15"/>
      <c r="BUQ99" s="15"/>
      <c r="BUR99" s="15"/>
      <c r="BUS99" s="15"/>
      <c r="BUT99" s="15"/>
      <c r="BUU99" s="15"/>
      <c r="BUV99" s="15"/>
      <c r="BUW99" s="15"/>
      <c r="BUX99" s="15"/>
      <c r="BUY99" s="15"/>
      <c r="BUZ99" s="15"/>
      <c r="BVA99" s="15"/>
      <c r="BVB99" s="15"/>
      <c r="BVC99" s="15"/>
      <c r="BVD99" s="15"/>
      <c r="BVE99" s="15"/>
      <c r="BVF99" s="15"/>
      <c r="BVG99" s="15"/>
      <c r="BVH99" s="15"/>
      <c r="BVI99" s="15"/>
      <c r="BVJ99" s="15"/>
      <c r="BVK99" s="15"/>
      <c r="BVL99" s="15"/>
      <c r="BVM99" s="15"/>
      <c r="BVN99" s="15"/>
      <c r="BVO99" s="15"/>
      <c r="BVP99" s="15"/>
      <c r="BVQ99" s="15"/>
      <c r="BVR99" s="15"/>
      <c r="BVS99" s="15"/>
      <c r="BVT99" s="15"/>
      <c r="BVU99" s="15"/>
      <c r="BVV99" s="15"/>
      <c r="BVW99" s="15"/>
      <c r="BVX99" s="15"/>
      <c r="BVY99" s="15"/>
      <c r="BVZ99" s="15"/>
      <c r="BWA99" s="15"/>
      <c r="BWB99" s="15"/>
      <c r="BWC99" s="15"/>
      <c r="BWD99" s="15"/>
      <c r="BWE99" s="15"/>
      <c r="BWF99" s="15"/>
      <c r="BWG99" s="15"/>
      <c r="BWH99" s="15"/>
      <c r="BWI99" s="15"/>
      <c r="BWJ99" s="15"/>
      <c r="BWK99" s="15"/>
      <c r="BWL99" s="15"/>
      <c r="BWM99" s="15"/>
      <c r="BWN99" s="15"/>
      <c r="BWO99" s="15"/>
      <c r="BWP99" s="15"/>
      <c r="BWQ99" s="15"/>
      <c r="BWR99" s="15"/>
      <c r="BWS99" s="15"/>
      <c r="BWT99" s="15"/>
      <c r="BWU99" s="15"/>
      <c r="BWV99" s="15"/>
      <c r="BWW99" s="15"/>
      <c r="BWX99" s="15"/>
      <c r="BWY99" s="15"/>
      <c r="BWZ99" s="15"/>
      <c r="BXA99" s="15"/>
      <c r="BXB99" s="15"/>
      <c r="BXC99" s="15"/>
      <c r="BXD99" s="15"/>
      <c r="BXE99" s="15"/>
      <c r="BXF99" s="15"/>
      <c r="BXG99" s="15"/>
      <c r="BXH99" s="15"/>
      <c r="BXI99" s="15"/>
      <c r="BXJ99" s="15"/>
      <c r="BXK99" s="15"/>
      <c r="BXL99" s="15"/>
      <c r="BXM99" s="15"/>
      <c r="BXN99" s="15"/>
      <c r="BXO99" s="15"/>
      <c r="BXP99" s="15"/>
      <c r="BXQ99" s="15"/>
      <c r="BXR99" s="15"/>
      <c r="BXS99" s="15"/>
      <c r="BXT99" s="15"/>
      <c r="BXU99" s="15"/>
      <c r="BXV99" s="15"/>
      <c r="BXW99" s="15"/>
      <c r="BXX99" s="15"/>
      <c r="BXY99" s="15"/>
      <c r="BXZ99" s="15"/>
      <c r="BYA99" s="15"/>
      <c r="BYB99" s="15"/>
      <c r="BYC99" s="15"/>
      <c r="BYD99" s="15"/>
      <c r="BYE99" s="15"/>
      <c r="BYF99" s="15"/>
      <c r="BYG99" s="15"/>
      <c r="BYH99" s="15"/>
      <c r="BYI99" s="15"/>
      <c r="BYJ99" s="15"/>
      <c r="BYK99" s="15"/>
      <c r="BYL99" s="15"/>
      <c r="BYM99" s="15"/>
      <c r="BYN99" s="15"/>
      <c r="BYO99" s="15"/>
      <c r="BYP99" s="15"/>
      <c r="BYQ99" s="15"/>
      <c r="BYR99" s="15"/>
      <c r="BYS99" s="15"/>
      <c r="BYT99" s="15"/>
      <c r="BYU99" s="15"/>
      <c r="BYV99" s="15"/>
      <c r="BYW99" s="15"/>
      <c r="BYX99" s="15"/>
      <c r="BYY99" s="15"/>
      <c r="BYZ99" s="15"/>
      <c r="BZA99" s="15"/>
      <c r="BZB99" s="15"/>
      <c r="BZC99" s="15"/>
      <c r="BZD99" s="15"/>
      <c r="BZE99" s="15"/>
      <c r="BZF99" s="15"/>
      <c r="BZG99" s="15"/>
      <c r="BZH99" s="15"/>
      <c r="BZI99" s="15"/>
      <c r="BZJ99" s="15"/>
      <c r="BZK99" s="15"/>
      <c r="BZL99" s="15"/>
      <c r="BZM99" s="15"/>
      <c r="BZN99" s="15"/>
      <c r="BZO99" s="15"/>
      <c r="BZP99" s="15"/>
      <c r="BZQ99" s="15"/>
      <c r="BZR99" s="15"/>
      <c r="BZS99" s="15"/>
      <c r="BZT99" s="15"/>
      <c r="BZU99" s="15"/>
      <c r="BZV99" s="15"/>
      <c r="BZW99" s="15"/>
      <c r="BZX99" s="15"/>
      <c r="BZY99" s="15"/>
      <c r="BZZ99" s="15"/>
      <c r="CAA99" s="15"/>
      <c r="CAB99" s="15"/>
      <c r="CAC99" s="15"/>
      <c r="CAD99" s="15"/>
      <c r="CAE99" s="15"/>
      <c r="CAF99" s="15"/>
      <c r="CAG99" s="15"/>
      <c r="CAH99" s="15"/>
      <c r="CAI99" s="15"/>
      <c r="CAJ99" s="15"/>
      <c r="CAK99" s="15"/>
      <c r="CAL99" s="15"/>
      <c r="CAM99" s="15"/>
      <c r="CAN99" s="15"/>
      <c r="CAO99" s="15"/>
      <c r="CAP99" s="15"/>
      <c r="CAQ99" s="15"/>
      <c r="CAR99" s="15"/>
      <c r="CAS99" s="15"/>
      <c r="CAT99" s="15"/>
      <c r="CAU99" s="15"/>
      <c r="CAV99" s="15"/>
      <c r="CAW99" s="15"/>
      <c r="CAX99" s="15"/>
      <c r="CAY99" s="15"/>
      <c r="CAZ99" s="15"/>
      <c r="CBA99" s="15"/>
      <c r="CBB99" s="15"/>
      <c r="CBC99" s="15"/>
      <c r="CBD99" s="15"/>
      <c r="CBE99" s="15"/>
      <c r="CBF99" s="15"/>
      <c r="CBG99" s="15"/>
      <c r="CBH99" s="15"/>
      <c r="CBI99" s="46"/>
      <c r="CBJ99" s="46"/>
      <c r="CBK99" s="46"/>
      <c r="CBL99" s="46"/>
      <c r="CBM99" s="46"/>
      <c r="CBN99" s="46"/>
      <c r="CBO99" s="46"/>
      <c r="CBP99" s="46"/>
      <c r="CBQ99" s="46"/>
      <c r="CBR99" s="46"/>
      <c r="CBS99" s="46"/>
      <c r="CBT99" s="46"/>
      <c r="CBU99" s="46"/>
      <c r="CBV99" s="46"/>
      <c r="CBW99" s="46"/>
      <c r="CBX99" s="46"/>
      <c r="CBY99" s="46"/>
      <c r="CBZ99" s="46"/>
      <c r="CCA99" s="46"/>
      <c r="CCB99" s="46"/>
      <c r="CCC99" s="46"/>
      <c r="CCD99" s="46"/>
      <c r="CCE99" s="46"/>
      <c r="CCF99" s="46"/>
      <c r="CCG99" s="46"/>
      <c r="CCH99" s="46"/>
      <c r="CCI99" s="46"/>
      <c r="CCJ99" s="46"/>
      <c r="CCK99" s="46"/>
      <c r="CCL99" s="46"/>
      <c r="CCM99" s="46"/>
      <c r="CCN99" s="46"/>
      <c r="CCO99" s="46"/>
      <c r="CCP99" s="46"/>
      <c r="CCQ99" s="46"/>
      <c r="CCR99" s="46"/>
      <c r="CCS99" s="46"/>
      <c r="CCT99" s="46"/>
      <c r="CCU99" s="46"/>
      <c r="CCV99" s="46"/>
      <c r="CCW99" s="46"/>
      <c r="CCX99" s="46"/>
      <c r="CCY99" s="46"/>
      <c r="CCZ99" s="46"/>
      <c r="CDA99" s="46"/>
      <c r="CDB99" s="46"/>
      <c r="CDC99" s="46"/>
      <c r="CDD99" s="46"/>
      <c r="CDE99" s="46"/>
      <c r="CDF99" s="46"/>
      <c r="CDG99" s="46"/>
      <c r="CDH99" s="46"/>
      <c r="CDI99" s="46"/>
      <c r="CDJ99" s="46"/>
      <c r="CDK99" s="46"/>
      <c r="CDL99" s="46"/>
      <c r="CDM99" s="46"/>
      <c r="CDN99" s="46"/>
      <c r="CDO99" s="46"/>
      <c r="CDP99" s="46"/>
      <c r="CDQ99" s="46"/>
      <c r="CDR99" s="46"/>
      <c r="CDS99" s="46"/>
      <c r="CDT99" s="46"/>
      <c r="CDU99" s="46"/>
      <c r="CDV99" s="46"/>
      <c r="CDW99" s="46"/>
      <c r="CDX99" s="46"/>
      <c r="CDY99" s="46"/>
      <c r="CDZ99" s="46"/>
      <c r="CEA99" s="46"/>
      <c r="CEB99" s="46"/>
      <c r="CEC99" s="46"/>
      <c r="CED99" s="46"/>
      <c r="CEE99" s="46"/>
      <c r="CEF99" s="46"/>
      <c r="CEG99" s="46"/>
      <c r="CEH99" s="46"/>
      <c r="CEI99" s="46"/>
      <c r="CEJ99" s="46"/>
      <c r="CEK99" s="46"/>
      <c r="CEL99" s="46"/>
      <c r="CEM99" s="46"/>
      <c r="CEN99" s="46"/>
      <c r="CEO99" s="46"/>
      <c r="CEP99" s="46"/>
      <c r="CEQ99" s="46"/>
      <c r="CER99" s="46"/>
      <c r="CES99" s="46"/>
      <c r="CET99" s="46"/>
      <c r="CEU99" s="46"/>
      <c r="CEV99" s="46"/>
      <c r="CEW99" s="46"/>
      <c r="CEX99" s="46"/>
      <c r="CEY99" s="46"/>
      <c r="CEZ99" s="46"/>
      <c r="CFA99" s="46"/>
      <c r="CFB99" s="46"/>
      <c r="CFC99" s="46"/>
      <c r="CFD99" s="46"/>
      <c r="CFE99" s="46"/>
      <c r="CFF99" s="46"/>
      <c r="CFG99" s="46"/>
      <c r="CFH99" s="46"/>
      <c r="CFI99" s="46"/>
      <c r="CFJ99" s="46"/>
      <c r="CFK99" s="46"/>
      <c r="CFL99" s="46"/>
      <c r="CFM99" s="46"/>
      <c r="CFN99" s="46"/>
      <c r="CFO99" s="46"/>
      <c r="CFP99" s="46"/>
      <c r="CFQ99" s="46"/>
      <c r="CFR99" s="46"/>
      <c r="CFS99" s="46"/>
      <c r="CFT99" s="46"/>
      <c r="CFU99" s="46"/>
      <c r="CFV99" s="46"/>
      <c r="CFW99" s="46"/>
      <c r="CFX99" s="46"/>
      <c r="CFY99" s="46"/>
      <c r="CFZ99" s="46"/>
      <c r="CGA99" s="46"/>
      <c r="CGB99" s="46"/>
      <c r="CGC99" s="46"/>
      <c r="CGD99" s="46"/>
      <c r="CGE99" s="46"/>
      <c r="CGF99" s="46"/>
      <c r="CGG99" s="46"/>
      <c r="CGH99" s="46"/>
      <c r="CGI99" s="46"/>
      <c r="CGJ99" s="46"/>
      <c r="CGK99" s="46"/>
      <c r="CGL99" s="46"/>
      <c r="CGM99" s="46"/>
      <c r="CGN99" s="46"/>
      <c r="CGO99" s="46"/>
      <c r="CGP99" s="46"/>
      <c r="CGQ99" s="46"/>
      <c r="CGR99" s="46"/>
      <c r="CGS99" s="46"/>
      <c r="CGT99" s="46"/>
      <c r="CGU99" s="46"/>
      <c r="CGV99" s="46"/>
      <c r="CGW99" s="46"/>
      <c r="CGX99" s="46"/>
      <c r="CGY99" s="46"/>
      <c r="CGZ99" s="46"/>
      <c r="CHA99" s="46"/>
      <c r="CHB99" s="46"/>
      <c r="CHC99" s="46"/>
      <c r="CHD99" s="46"/>
      <c r="CHE99" s="46"/>
      <c r="CHF99" s="46"/>
      <c r="CHG99" s="46"/>
      <c r="CHH99" s="46"/>
      <c r="CHI99" s="46"/>
      <c r="CHJ99" s="46"/>
      <c r="CHK99" s="46"/>
      <c r="CHL99" s="46"/>
      <c r="CHM99" s="46"/>
      <c r="CHN99" s="46"/>
      <c r="CHO99" s="46"/>
      <c r="CHP99" s="46"/>
      <c r="CHQ99" s="46"/>
      <c r="CHR99" s="46"/>
      <c r="CHS99" s="46"/>
      <c r="CHT99" s="46"/>
      <c r="CHU99" s="46"/>
      <c r="CHV99" s="46"/>
      <c r="CHW99" s="46"/>
      <c r="CHX99" s="46"/>
      <c r="CHY99" s="46"/>
      <c r="CHZ99" s="46"/>
      <c r="CIA99" s="46"/>
      <c r="CIB99" s="46"/>
      <c r="CIC99" s="46"/>
      <c r="CID99" s="46"/>
      <c r="CIE99" s="46"/>
      <c r="CIF99" s="46"/>
      <c r="CIG99" s="46"/>
      <c r="CIH99" s="46"/>
      <c r="CII99" s="46"/>
      <c r="CIJ99" s="46"/>
      <c r="CIK99" s="46"/>
      <c r="CIL99" s="46"/>
      <c r="CIM99" s="46"/>
      <c r="CIN99" s="46"/>
      <c r="CIO99" s="46"/>
      <c r="CIP99" s="46"/>
      <c r="CIQ99" s="46"/>
      <c r="CIR99" s="46"/>
      <c r="CIS99" s="46"/>
      <c r="CIT99" s="46"/>
      <c r="CIU99" s="46"/>
      <c r="CIV99" s="46"/>
      <c r="CIW99" s="46"/>
      <c r="CIX99" s="46"/>
      <c r="CIY99" s="46"/>
      <c r="CIZ99" s="46"/>
      <c r="CJA99" s="46"/>
      <c r="CJB99" s="46"/>
      <c r="CJC99" s="46"/>
      <c r="CJD99" s="46"/>
      <c r="CJE99" s="46"/>
      <c r="CJF99" s="46"/>
      <c r="CJG99" s="46"/>
      <c r="CJH99" s="46"/>
      <c r="CJI99" s="46"/>
      <c r="CJJ99" s="46"/>
      <c r="CJK99" s="46"/>
      <c r="CJL99" s="46"/>
      <c r="CJM99" s="46"/>
      <c r="CJN99" s="46"/>
      <c r="CJO99" s="46"/>
      <c r="CJP99" s="46"/>
      <c r="CJQ99" s="46"/>
      <c r="CJR99" s="46"/>
      <c r="CJS99" s="46"/>
      <c r="CJT99" s="46"/>
      <c r="CJU99" s="46"/>
      <c r="CJV99" s="46"/>
      <c r="CJW99" s="46"/>
      <c r="CJX99" s="46"/>
      <c r="CJY99" s="46"/>
      <c r="CJZ99" s="46"/>
      <c r="CKA99" s="46"/>
      <c r="CKB99" s="46"/>
      <c r="CKC99" s="46"/>
      <c r="CKD99" s="46"/>
      <c r="CKE99" s="46"/>
      <c r="CKF99" s="46"/>
      <c r="CKG99" s="46"/>
      <c r="CKH99" s="46"/>
      <c r="CKI99" s="46"/>
      <c r="CKJ99" s="46"/>
      <c r="CKK99" s="46"/>
      <c r="CKL99" s="46"/>
      <c r="CKM99" s="46"/>
      <c r="CKN99" s="46"/>
      <c r="CKO99" s="46"/>
      <c r="CKP99" s="46"/>
      <c r="CKQ99" s="46"/>
      <c r="CKR99" s="46"/>
      <c r="CKS99" s="46"/>
      <c r="CKT99" s="46"/>
      <c r="CKU99" s="46"/>
      <c r="CKV99" s="46"/>
      <c r="CKW99" s="46"/>
      <c r="CKX99" s="46"/>
      <c r="CKY99" s="46"/>
      <c r="CKZ99" s="46"/>
      <c r="CLA99" s="46"/>
      <c r="CLB99" s="46"/>
      <c r="CLC99" s="46"/>
      <c r="CLD99" s="46"/>
      <c r="CLE99" s="46"/>
      <c r="CLF99" s="46"/>
      <c r="CLG99" s="46"/>
      <c r="CLH99" s="46"/>
      <c r="CLI99" s="46"/>
      <c r="CLJ99" s="46"/>
      <c r="CLK99" s="46"/>
      <c r="CLL99" s="46"/>
      <c r="CLM99" s="46"/>
      <c r="CLN99" s="46"/>
      <c r="CLO99" s="46"/>
      <c r="CLP99" s="46"/>
      <c r="CLQ99" s="46"/>
      <c r="CLR99" s="46"/>
      <c r="CLS99" s="46"/>
      <c r="CLT99" s="46"/>
      <c r="CLU99" s="46"/>
      <c r="CLV99" s="46"/>
      <c r="CLW99" s="46"/>
      <c r="CLX99" s="46"/>
      <c r="CLY99" s="46"/>
      <c r="CLZ99" s="46"/>
      <c r="CMA99" s="46"/>
      <c r="CMB99" s="46"/>
      <c r="CMC99" s="46"/>
      <c r="CMD99" s="46"/>
      <c r="CME99" s="46"/>
      <c r="CMF99" s="46"/>
      <c r="CMG99" s="46"/>
      <c r="CMH99" s="46"/>
      <c r="CMI99" s="46"/>
      <c r="CMJ99" s="46"/>
      <c r="CMK99" s="46"/>
      <c r="CML99" s="46"/>
      <c r="CMM99" s="46"/>
      <c r="CMN99" s="46"/>
      <c r="CMO99" s="46"/>
      <c r="CMP99" s="46"/>
      <c r="CMQ99" s="46"/>
      <c r="CMR99" s="46"/>
      <c r="CMS99" s="46"/>
      <c r="CMT99" s="46"/>
      <c r="CMU99" s="46"/>
      <c r="CMV99" s="46"/>
      <c r="CMW99" s="46"/>
      <c r="CMX99" s="46"/>
      <c r="CMY99" s="46"/>
      <c r="CMZ99" s="46"/>
      <c r="CNA99" s="46"/>
      <c r="CNB99" s="46"/>
      <c r="CNC99" s="46"/>
      <c r="CND99" s="46"/>
      <c r="CNE99" s="46"/>
      <c r="CNF99" s="46"/>
      <c r="CNG99" s="46"/>
      <c r="CNH99" s="46"/>
      <c r="CNI99" s="46"/>
      <c r="CNJ99" s="46"/>
      <c r="CNK99" s="46"/>
      <c r="CNL99" s="46"/>
      <c r="CNM99" s="46"/>
      <c r="CNN99" s="46"/>
      <c r="CNO99" s="46"/>
      <c r="CNP99" s="46"/>
      <c r="CNQ99" s="46"/>
      <c r="CNR99" s="46"/>
      <c r="CNS99" s="46"/>
      <c r="CNT99" s="46"/>
      <c r="CNU99" s="46"/>
      <c r="CNV99" s="46"/>
      <c r="CNW99" s="46"/>
      <c r="CNX99" s="46"/>
      <c r="CNY99" s="46"/>
      <c r="CNZ99" s="46"/>
      <c r="COA99" s="46"/>
      <c r="COB99" s="46"/>
      <c r="COC99" s="46"/>
      <c r="COD99" s="46"/>
      <c r="COE99" s="46"/>
      <c r="COF99" s="46"/>
      <c r="COG99" s="46"/>
      <c r="COH99" s="46"/>
      <c r="COI99" s="46"/>
      <c r="COJ99" s="46"/>
      <c r="COK99" s="46"/>
      <c r="COL99" s="46"/>
      <c r="COM99" s="46"/>
      <c r="CON99" s="46"/>
      <c r="COO99" s="46"/>
      <c r="COP99" s="46"/>
      <c r="COQ99" s="46"/>
      <c r="COR99" s="46"/>
      <c r="COS99" s="46"/>
      <c r="COT99" s="46"/>
      <c r="COU99" s="46"/>
      <c r="COV99" s="46"/>
      <c r="COW99" s="46"/>
      <c r="COX99" s="46"/>
      <c r="COY99" s="46"/>
      <c r="COZ99" s="46"/>
      <c r="CPA99" s="46"/>
      <c r="CPB99" s="46"/>
      <c r="CPC99" s="46"/>
      <c r="CPD99" s="46"/>
      <c r="CPE99" s="46"/>
      <c r="CPF99" s="46"/>
      <c r="CPG99" s="46"/>
      <c r="CPH99" s="46"/>
      <c r="CPI99" s="46"/>
      <c r="CPJ99" s="46"/>
      <c r="CPK99" s="46"/>
      <c r="CPL99" s="46"/>
      <c r="CPM99" s="46"/>
      <c r="CPN99" s="46"/>
      <c r="CPO99" s="46"/>
      <c r="CPP99" s="46"/>
      <c r="CPQ99" s="46"/>
      <c r="CPR99" s="46"/>
      <c r="CPS99" s="46"/>
      <c r="CPT99" s="46"/>
      <c r="CPU99" s="46"/>
      <c r="CPV99" s="46"/>
      <c r="CPW99" s="46"/>
      <c r="CPX99" s="46"/>
      <c r="CPY99" s="46"/>
      <c r="CPZ99" s="46"/>
      <c r="CQA99" s="46"/>
      <c r="CQB99" s="46"/>
      <c r="CQC99" s="46"/>
      <c r="CQD99" s="46"/>
      <c r="CQE99" s="46"/>
      <c r="CQF99" s="46"/>
      <c r="CQG99" s="46"/>
      <c r="CQH99" s="46"/>
      <c r="CQI99" s="46"/>
      <c r="CQJ99" s="46"/>
      <c r="CQK99" s="46"/>
      <c r="CQL99" s="46"/>
      <c r="CQM99" s="46"/>
      <c r="CQN99" s="46"/>
      <c r="CQO99" s="46"/>
      <c r="CQP99" s="46"/>
      <c r="CQQ99" s="46"/>
      <c r="CQR99" s="46"/>
      <c r="CQS99" s="46"/>
      <c r="CQT99" s="46"/>
      <c r="CQU99" s="46"/>
      <c r="CQV99" s="46"/>
      <c r="CQW99" s="46"/>
      <c r="CQX99" s="46"/>
      <c r="CQY99" s="46"/>
      <c r="CQZ99" s="46"/>
      <c r="CRA99" s="46"/>
      <c r="CRB99" s="46"/>
      <c r="CRC99" s="46"/>
      <c r="CRD99" s="46"/>
      <c r="CRE99" s="46"/>
      <c r="CRF99" s="46"/>
      <c r="CRG99" s="46"/>
      <c r="CRH99" s="46"/>
      <c r="CRI99" s="46"/>
      <c r="CRJ99" s="46"/>
      <c r="CRK99" s="46"/>
      <c r="CRL99" s="46"/>
      <c r="CRM99" s="46"/>
      <c r="CRN99" s="46"/>
      <c r="CRO99" s="46"/>
      <c r="CRP99" s="46"/>
      <c r="CRQ99" s="46"/>
      <c r="CRR99" s="46"/>
      <c r="CRS99" s="46"/>
      <c r="CRT99" s="46"/>
      <c r="CRU99" s="46"/>
      <c r="CRV99" s="46"/>
      <c r="CRW99" s="46"/>
      <c r="CRX99" s="46"/>
      <c r="CRY99" s="46"/>
      <c r="CRZ99" s="46"/>
      <c r="CSA99" s="46"/>
      <c r="CSB99" s="46"/>
      <c r="CSC99" s="46"/>
      <c r="CSD99" s="46"/>
      <c r="CSE99" s="46"/>
      <c r="CSF99" s="46"/>
      <c r="CSG99" s="46"/>
      <c r="CSH99" s="46"/>
      <c r="CSI99" s="46"/>
      <c r="CSJ99" s="46"/>
      <c r="CSK99" s="46"/>
      <c r="CSL99" s="46"/>
      <c r="CSM99" s="46"/>
      <c r="CSN99" s="46"/>
      <c r="CSO99" s="46"/>
      <c r="CSP99" s="46"/>
      <c r="CSQ99" s="46"/>
      <c r="CSR99" s="46"/>
      <c r="CSS99" s="46"/>
      <c r="CST99" s="46"/>
      <c r="CSU99" s="46"/>
      <c r="CSV99" s="46"/>
      <c r="CSW99" s="46"/>
      <c r="CSX99" s="46"/>
      <c r="CSY99" s="46"/>
      <c r="CSZ99" s="46"/>
      <c r="CTA99" s="46"/>
      <c r="CTB99" s="46"/>
      <c r="CTC99" s="46"/>
      <c r="CTD99" s="46"/>
      <c r="CTE99" s="46"/>
      <c r="CTF99" s="46"/>
      <c r="CTG99" s="46"/>
      <c r="CTH99" s="46"/>
      <c r="CTI99" s="46"/>
      <c r="CTJ99" s="46"/>
      <c r="CTK99" s="46"/>
      <c r="CTL99" s="46"/>
      <c r="CTM99" s="46"/>
      <c r="CTN99" s="46"/>
      <c r="CTO99" s="46"/>
      <c r="CTP99" s="46"/>
      <c r="CTQ99" s="46"/>
      <c r="CTR99" s="46"/>
      <c r="CTS99" s="46"/>
      <c r="CTT99" s="46"/>
      <c r="CTU99" s="46"/>
      <c r="CTV99" s="46"/>
      <c r="CTW99" s="46"/>
      <c r="CTX99" s="46"/>
      <c r="CTY99" s="46"/>
      <c r="CTZ99" s="46"/>
      <c r="CUA99" s="46"/>
      <c r="CUB99" s="46"/>
      <c r="CUC99" s="46"/>
      <c r="CUD99" s="46"/>
      <c r="CUE99" s="46"/>
      <c r="CUF99" s="46"/>
      <c r="CUG99" s="46"/>
      <c r="CUH99" s="46"/>
      <c r="CUI99" s="46"/>
      <c r="CUJ99" s="46"/>
      <c r="CUK99" s="46"/>
      <c r="CUL99" s="46"/>
      <c r="CUM99" s="46"/>
      <c r="CUN99" s="46"/>
      <c r="CUO99" s="46"/>
      <c r="CUP99" s="46"/>
      <c r="CUQ99" s="46"/>
      <c r="CUR99" s="46"/>
      <c r="CUS99" s="46"/>
      <c r="CUT99" s="46"/>
      <c r="CUU99" s="46"/>
      <c r="CUV99" s="46"/>
      <c r="CUW99" s="46"/>
      <c r="CUX99" s="46"/>
      <c r="CUY99" s="46"/>
      <c r="CUZ99" s="46"/>
      <c r="CVA99" s="46"/>
      <c r="CVB99" s="46"/>
      <c r="CVC99" s="46"/>
      <c r="CVD99" s="46"/>
      <c r="CVE99" s="46"/>
      <c r="CVF99" s="46"/>
      <c r="CVG99" s="46"/>
      <c r="CVH99" s="46"/>
      <c r="CVI99" s="46"/>
      <c r="CVJ99" s="46"/>
      <c r="CVK99" s="46"/>
      <c r="CVL99" s="46"/>
      <c r="CVM99" s="46"/>
      <c r="CVN99" s="46"/>
      <c r="CVO99" s="46"/>
      <c r="CVP99" s="46"/>
      <c r="CVQ99" s="46"/>
      <c r="CVR99" s="46"/>
      <c r="CVS99" s="46"/>
      <c r="CVT99" s="46"/>
      <c r="CVU99" s="46"/>
      <c r="CVV99" s="46"/>
      <c r="CVW99" s="46"/>
      <c r="CVX99" s="46"/>
      <c r="CVY99" s="46"/>
      <c r="CVZ99" s="46"/>
      <c r="CWA99" s="46"/>
      <c r="CWB99" s="46"/>
      <c r="CWC99" s="46"/>
      <c r="CWD99" s="46"/>
      <c r="CWE99" s="46"/>
      <c r="CWF99" s="46"/>
      <c r="CWG99" s="46"/>
      <c r="CWH99" s="46"/>
      <c r="CWI99" s="46"/>
      <c r="CWJ99" s="46"/>
      <c r="CWK99" s="46"/>
      <c r="CWL99" s="46"/>
      <c r="CWM99" s="46"/>
      <c r="CWN99" s="46"/>
      <c r="CWO99" s="46"/>
      <c r="CWP99" s="46"/>
      <c r="CWQ99" s="46"/>
      <c r="CWR99" s="46"/>
      <c r="CWS99" s="46"/>
      <c r="CWT99" s="46"/>
      <c r="CWU99" s="46"/>
      <c r="CWV99" s="46"/>
      <c r="CWW99" s="46"/>
      <c r="CWX99" s="46"/>
      <c r="CWY99" s="46"/>
      <c r="CWZ99" s="46"/>
      <c r="CXA99" s="46"/>
      <c r="CXB99" s="46"/>
      <c r="CXC99" s="46"/>
      <c r="CXD99" s="46"/>
      <c r="CXE99" s="46"/>
      <c r="CXF99" s="46"/>
      <c r="CXG99" s="46"/>
      <c r="CXH99" s="46"/>
      <c r="CXI99" s="46"/>
      <c r="CXJ99" s="46"/>
      <c r="CXK99" s="46"/>
      <c r="CXL99" s="46"/>
      <c r="CXM99" s="46"/>
      <c r="CXN99" s="46"/>
      <c r="CXO99" s="46"/>
      <c r="CXP99" s="46"/>
      <c r="CXQ99" s="46"/>
      <c r="CXR99" s="46"/>
      <c r="CXS99" s="46"/>
      <c r="CXT99" s="46"/>
      <c r="CXU99" s="46"/>
      <c r="CXV99" s="46"/>
      <c r="CXW99" s="46"/>
      <c r="CXX99" s="46"/>
      <c r="CXY99" s="46"/>
      <c r="CXZ99" s="46"/>
      <c r="CYA99" s="46"/>
      <c r="CYB99" s="46"/>
      <c r="CYC99" s="46"/>
      <c r="CYD99" s="46"/>
      <c r="CYE99" s="46"/>
      <c r="CYF99" s="46"/>
      <c r="CYG99" s="46"/>
      <c r="CYH99" s="46"/>
      <c r="CYI99" s="46"/>
      <c r="CYJ99" s="46"/>
      <c r="CYK99" s="46"/>
      <c r="CYL99" s="46"/>
      <c r="CYM99" s="46"/>
      <c r="CYN99" s="46"/>
      <c r="CYO99" s="46"/>
      <c r="CYP99" s="46"/>
      <c r="CYQ99" s="46"/>
      <c r="CYR99" s="46"/>
      <c r="CYS99" s="46"/>
      <c r="CYT99" s="46"/>
      <c r="CYU99" s="46"/>
      <c r="CYV99" s="46"/>
      <c r="CYW99" s="46"/>
      <c r="CYX99" s="46"/>
      <c r="CYY99" s="46"/>
      <c r="CYZ99" s="46"/>
      <c r="CZA99" s="46"/>
      <c r="CZB99" s="46"/>
      <c r="CZC99" s="46"/>
      <c r="CZD99" s="46"/>
      <c r="CZE99" s="46"/>
      <c r="CZF99" s="46"/>
      <c r="CZG99" s="46"/>
      <c r="CZH99" s="46"/>
      <c r="CZI99" s="46"/>
      <c r="CZJ99" s="46"/>
      <c r="CZK99" s="46"/>
      <c r="CZL99" s="46"/>
      <c r="CZM99" s="46"/>
      <c r="CZN99" s="46"/>
      <c r="CZO99" s="46"/>
      <c r="CZP99" s="46"/>
      <c r="CZQ99" s="46"/>
      <c r="CZR99" s="46"/>
      <c r="CZS99" s="46"/>
      <c r="CZT99" s="46"/>
      <c r="CZU99" s="46"/>
      <c r="CZV99" s="46"/>
      <c r="CZW99" s="46"/>
      <c r="CZX99" s="46"/>
      <c r="CZY99" s="46"/>
      <c r="CZZ99" s="46"/>
      <c r="DAA99" s="46"/>
      <c r="DAB99" s="46"/>
      <c r="DAC99" s="46"/>
      <c r="DAD99" s="46"/>
      <c r="DAE99" s="46"/>
      <c r="DAF99" s="46"/>
      <c r="DAG99" s="46"/>
      <c r="DAH99" s="46"/>
      <c r="DAI99" s="46"/>
      <c r="DAJ99" s="46"/>
      <c r="DAK99" s="46"/>
      <c r="DAL99" s="46"/>
      <c r="DAM99" s="46"/>
      <c r="DAN99" s="46"/>
      <c r="DAO99" s="46"/>
      <c r="DAP99" s="46"/>
      <c r="DAQ99" s="46"/>
      <c r="DAR99" s="46"/>
      <c r="DAS99" s="46"/>
      <c r="DAT99" s="46"/>
      <c r="DAU99" s="46"/>
      <c r="DAV99" s="46"/>
      <c r="DAW99" s="46"/>
      <c r="DAX99" s="46"/>
      <c r="DAY99" s="46"/>
      <c r="DAZ99" s="46"/>
      <c r="DBA99" s="46"/>
      <c r="DBB99" s="46"/>
      <c r="DBC99" s="46"/>
      <c r="DBD99" s="46"/>
      <c r="DBE99" s="46"/>
      <c r="DBF99" s="46"/>
      <c r="DBG99" s="46"/>
      <c r="DBH99" s="46"/>
      <c r="DBI99" s="46"/>
      <c r="DBJ99" s="46"/>
      <c r="DBK99" s="46"/>
      <c r="DBL99" s="46"/>
      <c r="DBM99" s="46"/>
      <c r="DBN99" s="46"/>
      <c r="DBO99" s="46"/>
      <c r="DBP99" s="46"/>
      <c r="DBQ99" s="46"/>
      <c r="DBR99" s="46"/>
      <c r="DBS99" s="46"/>
      <c r="DBT99" s="46"/>
      <c r="DBU99" s="46"/>
      <c r="DBV99" s="46"/>
      <c r="DBW99" s="46"/>
      <c r="DBX99" s="46"/>
      <c r="DBY99" s="46"/>
      <c r="DBZ99" s="46"/>
      <c r="DCA99" s="46"/>
      <c r="DCB99" s="46"/>
      <c r="DCC99" s="46"/>
      <c r="DCD99" s="46"/>
      <c r="DCE99" s="46"/>
      <c r="DCF99" s="46"/>
      <c r="DCG99" s="46"/>
      <c r="DCH99" s="46"/>
      <c r="DCI99" s="46"/>
      <c r="DCJ99" s="46"/>
      <c r="DCK99" s="46"/>
      <c r="DCL99" s="46"/>
      <c r="DCM99" s="46"/>
      <c r="DCN99" s="46"/>
      <c r="DCO99" s="46"/>
      <c r="DCP99" s="46"/>
      <c r="DCQ99" s="46"/>
      <c r="DCR99" s="46"/>
      <c r="DCS99" s="46"/>
      <c r="DCT99" s="46"/>
      <c r="DCU99" s="46"/>
      <c r="DCV99" s="46"/>
      <c r="DCW99" s="46"/>
      <c r="DCX99" s="46"/>
      <c r="DCY99" s="46"/>
      <c r="DCZ99" s="46"/>
      <c r="DDA99" s="46"/>
      <c r="DDB99" s="46"/>
      <c r="DDC99" s="46"/>
      <c r="DDD99" s="46"/>
      <c r="DDE99" s="46"/>
      <c r="DDF99" s="46"/>
      <c r="DDG99" s="46"/>
      <c r="DDH99" s="46"/>
      <c r="DDI99" s="46"/>
      <c r="DDJ99" s="46"/>
      <c r="DDK99" s="46"/>
      <c r="DDL99" s="46"/>
      <c r="DDM99" s="46"/>
      <c r="DDN99" s="46"/>
      <c r="DDO99" s="46"/>
      <c r="DDP99" s="46"/>
      <c r="DDQ99" s="46"/>
      <c r="DDR99" s="46"/>
      <c r="DDS99" s="46"/>
      <c r="DDT99" s="46"/>
      <c r="DDU99" s="46"/>
      <c r="DDV99" s="46"/>
      <c r="DDW99" s="46"/>
      <c r="DDX99" s="46"/>
      <c r="DDY99" s="46"/>
      <c r="DDZ99" s="46"/>
      <c r="DEA99" s="46"/>
      <c r="DEB99" s="46"/>
      <c r="DEC99" s="46"/>
      <c r="DED99" s="46"/>
      <c r="DEE99" s="46"/>
      <c r="DEF99" s="46"/>
      <c r="DEG99" s="46"/>
      <c r="DEH99" s="46"/>
      <c r="DEI99" s="46"/>
      <c r="DEJ99" s="46"/>
      <c r="DEK99" s="46"/>
      <c r="DEL99" s="46"/>
      <c r="DEM99" s="46"/>
      <c r="DEN99" s="46"/>
      <c r="DEO99" s="46"/>
      <c r="DEP99" s="46"/>
      <c r="DEQ99" s="46"/>
      <c r="DER99" s="46"/>
      <c r="DES99" s="46"/>
      <c r="DET99" s="46"/>
      <c r="DEU99" s="46"/>
      <c r="DEV99" s="46"/>
      <c r="DEW99" s="46"/>
      <c r="DEX99" s="46"/>
      <c r="DEY99" s="46"/>
      <c r="DEZ99" s="46"/>
      <c r="DFA99" s="46"/>
      <c r="DFB99" s="46"/>
      <c r="DFC99" s="46"/>
      <c r="DFD99" s="46"/>
      <c r="DFE99" s="46"/>
      <c r="DFF99" s="46"/>
      <c r="DFG99" s="46"/>
      <c r="DFH99" s="46"/>
      <c r="DFI99" s="46"/>
      <c r="DFJ99" s="46"/>
      <c r="DFK99" s="46"/>
      <c r="DFL99" s="46"/>
      <c r="DFM99" s="46"/>
      <c r="DFN99" s="46"/>
      <c r="DFO99" s="46"/>
      <c r="DFP99" s="46"/>
      <c r="DFQ99" s="46"/>
      <c r="DFR99" s="46"/>
      <c r="DFS99" s="46"/>
      <c r="DFT99" s="46"/>
      <c r="DFU99" s="46"/>
      <c r="DFV99" s="46"/>
      <c r="DFW99" s="46"/>
      <c r="DFX99" s="46"/>
      <c r="DFY99" s="46"/>
      <c r="DFZ99" s="46"/>
      <c r="DGA99" s="46"/>
      <c r="DGB99" s="46"/>
      <c r="DGC99" s="46"/>
      <c r="DGD99" s="46"/>
      <c r="DGE99" s="46"/>
      <c r="DGF99" s="46"/>
      <c r="DGG99" s="46"/>
      <c r="DGH99" s="46"/>
      <c r="DGI99" s="46"/>
      <c r="DGJ99" s="46"/>
      <c r="DGK99" s="46"/>
      <c r="DGL99" s="46"/>
      <c r="DGM99" s="46"/>
      <c r="DGN99" s="46"/>
      <c r="DGO99" s="46"/>
      <c r="DGP99" s="46"/>
      <c r="DGQ99" s="46"/>
      <c r="DGR99" s="46"/>
      <c r="DGS99" s="46"/>
      <c r="DGT99" s="46"/>
      <c r="DGU99" s="46"/>
      <c r="DGV99" s="46"/>
      <c r="DGW99" s="46"/>
      <c r="DGX99" s="46"/>
      <c r="DGY99" s="46"/>
      <c r="DGZ99" s="46"/>
      <c r="DHA99" s="46"/>
      <c r="DHB99" s="46"/>
      <c r="DHC99" s="46"/>
      <c r="DHD99" s="46"/>
      <c r="DHE99" s="46"/>
      <c r="DHF99" s="46"/>
      <c r="DHG99" s="46"/>
      <c r="DHH99" s="46"/>
      <c r="DHI99" s="46"/>
      <c r="DHJ99" s="46"/>
      <c r="DHK99" s="46"/>
      <c r="DHL99" s="46"/>
      <c r="DHM99" s="46"/>
      <c r="DHN99" s="46"/>
      <c r="DHO99" s="46"/>
      <c r="DHP99" s="46"/>
      <c r="DHQ99" s="46"/>
      <c r="DHR99" s="46"/>
      <c r="DHS99" s="46"/>
      <c r="DHT99" s="46"/>
      <c r="DHU99" s="46"/>
      <c r="DHV99" s="46"/>
      <c r="DHW99" s="46"/>
      <c r="DHX99" s="46"/>
      <c r="DHY99" s="46"/>
      <c r="DHZ99" s="46"/>
      <c r="DIA99" s="46"/>
      <c r="DIB99" s="46"/>
      <c r="DIC99" s="46"/>
      <c r="DID99" s="46"/>
      <c r="DIE99" s="46"/>
      <c r="DIF99" s="46"/>
      <c r="DIG99" s="46"/>
      <c r="DIH99" s="46"/>
      <c r="DII99" s="46"/>
      <c r="DIJ99" s="46"/>
      <c r="DIK99" s="46"/>
      <c r="DIL99" s="46"/>
      <c r="DIM99" s="46"/>
      <c r="DIN99" s="46"/>
      <c r="DIO99" s="46"/>
      <c r="DIP99" s="46"/>
      <c r="DIQ99" s="46"/>
      <c r="DIR99" s="46"/>
      <c r="DIS99" s="46"/>
      <c r="DIT99" s="46"/>
      <c r="DIU99" s="46"/>
      <c r="DIV99" s="46"/>
      <c r="DIW99" s="46"/>
      <c r="DIX99" s="46"/>
      <c r="DIY99" s="46"/>
      <c r="DIZ99" s="46"/>
      <c r="DJA99" s="46"/>
      <c r="DJB99" s="46"/>
      <c r="DJC99" s="46"/>
      <c r="DJD99" s="46"/>
      <c r="DJE99" s="46"/>
      <c r="DJF99" s="46"/>
      <c r="DJG99" s="46"/>
      <c r="DJH99" s="46"/>
      <c r="DJI99" s="46"/>
      <c r="DJJ99" s="46"/>
      <c r="DJK99" s="46"/>
      <c r="DJL99" s="46"/>
      <c r="DJM99" s="46"/>
      <c r="DJN99" s="46"/>
      <c r="DJO99" s="46"/>
      <c r="DJP99" s="46"/>
      <c r="DJQ99" s="46"/>
      <c r="DJR99" s="46"/>
      <c r="DJS99" s="46"/>
      <c r="DJT99" s="46"/>
      <c r="DJU99" s="46"/>
      <c r="DJV99" s="46"/>
      <c r="DJW99" s="46"/>
      <c r="DJX99" s="46"/>
      <c r="DJY99" s="46"/>
      <c r="DJZ99" s="46"/>
      <c r="DKA99" s="46"/>
      <c r="DKB99" s="46"/>
      <c r="DKC99" s="46"/>
      <c r="DKD99" s="46"/>
      <c r="DKE99" s="46"/>
      <c r="DKF99" s="46"/>
      <c r="DKG99" s="46"/>
      <c r="DKH99" s="46"/>
      <c r="DKI99" s="46"/>
      <c r="DKJ99" s="46"/>
      <c r="DKK99" s="46"/>
      <c r="DKL99" s="46"/>
      <c r="DKM99" s="46"/>
      <c r="DKN99" s="46"/>
      <c r="DKO99" s="46"/>
      <c r="DKP99" s="46"/>
      <c r="DKQ99" s="46"/>
      <c r="DKR99" s="46"/>
      <c r="DKS99" s="46"/>
      <c r="DKT99" s="46"/>
      <c r="DKU99" s="46"/>
      <c r="DKV99" s="46"/>
      <c r="DKW99" s="46"/>
      <c r="DKX99" s="46"/>
      <c r="DKY99" s="46"/>
      <c r="DKZ99" s="46"/>
      <c r="DLA99" s="46"/>
      <c r="DLB99" s="46"/>
      <c r="DLC99" s="46"/>
      <c r="DLD99" s="46"/>
      <c r="DLE99" s="46"/>
      <c r="DLF99" s="46"/>
      <c r="DLG99" s="46"/>
      <c r="DLH99" s="46"/>
      <c r="DLI99" s="46"/>
      <c r="DLJ99" s="46"/>
      <c r="DLK99" s="46"/>
      <c r="DLL99" s="46"/>
      <c r="DLM99" s="46"/>
      <c r="DLN99" s="46"/>
      <c r="DLO99" s="46"/>
      <c r="DLP99" s="46"/>
      <c r="DLQ99" s="46"/>
      <c r="DLR99" s="46"/>
      <c r="DLS99" s="46"/>
      <c r="DLT99" s="46"/>
      <c r="DLU99" s="46"/>
      <c r="DLV99" s="46"/>
      <c r="DLW99" s="46"/>
      <c r="DLX99" s="46"/>
      <c r="DLY99" s="46"/>
      <c r="DLZ99" s="46"/>
      <c r="DMA99" s="46"/>
      <c r="DMB99" s="46"/>
      <c r="DMC99" s="46"/>
      <c r="DMD99" s="46"/>
      <c r="DME99" s="46"/>
      <c r="DMF99" s="46"/>
      <c r="DMG99" s="46"/>
      <c r="DMH99" s="46"/>
      <c r="DMI99" s="46"/>
      <c r="DMJ99" s="46"/>
      <c r="DMK99" s="46"/>
      <c r="DML99" s="46"/>
      <c r="DMM99" s="46"/>
      <c r="DMN99" s="46"/>
      <c r="DMO99" s="46"/>
      <c r="DMP99" s="46"/>
      <c r="DMQ99" s="46"/>
      <c r="DMR99" s="46"/>
      <c r="DMS99" s="46"/>
      <c r="DMT99" s="46"/>
      <c r="DMU99" s="46"/>
      <c r="DMV99" s="46"/>
      <c r="DMW99" s="46"/>
      <c r="DMX99" s="46"/>
      <c r="DMY99" s="46"/>
      <c r="DMZ99" s="46"/>
      <c r="DNA99" s="46"/>
      <c r="DNB99" s="46"/>
      <c r="DNC99" s="46"/>
      <c r="DND99" s="46"/>
      <c r="DNE99" s="46"/>
      <c r="DNF99" s="46"/>
      <c r="DNG99" s="46"/>
      <c r="DNH99" s="46"/>
      <c r="DNI99" s="46"/>
      <c r="DNJ99" s="46"/>
      <c r="DNK99" s="46"/>
      <c r="DNL99" s="46"/>
      <c r="DNM99" s="46"/>
      <c r="DNN99" s="46"/>
      <c r="DNO99" s="46"/>
      <c r="DNP99" s="46"/>
      <c r="DNQ99" s="46"/>
      <c r="DNR99" s="46"/>
      <c r="DNS99" s="46"/>
      <c r="DNT99" s="46"/>
      <c r="DNU99" s="46"/>
      <c r="DNV99" s="46"/>
      <c r="DNW99" s="46"/>
      <c r="DNX99" s="46"/>
      <c r="DNY99" s="46"/>
      <c r="DNZ99" s="46"/>
      <c r="DOA99" s="46"/>
      <c r="DOB99" s="46"/>
      <c r="DOC99" s="46"/>
      <c r="DOD99" s="46"/>
      <c r="DOE99" s="46"/>
      <c r="DOF99" s="46"/>
      <c r="DOG99" s="46"/>
      <c r="DOH99" s="46"/>
      <c r="DOI99" s="46"/>
      <c r="DOJ99" s="46"/>
      <c r="DOK99" s="46"/>
      <c r="DOL99" s="46"/>
      <c r="DOM99" s="46"/>
      <c r="DON99" s="46"/>
      <c r="DOO99" s="46"/>
      <c r="DOP99" s="46"/>
      <c r="DOQ99" s="46"/>
      <c r="DOR99" s="46"/>
      <c r="DOS99" s="46"/>
      <c r="DOT99" s="46"/>
      <c r="DOU99" s="46"/>
      <c r="DOV99" s="46"/>
      <c r="DOW99" s="46"/>
      <c r="DOX99" s="46"/>
      <c r="DOY99" s="46"/>
      <c r="DOZ99" s="46"/>
      <c r="DPA99" s="46"/>
      <c r="DPB99" s="46"/>
      <c r="DPC99" s="46"/>
      <c r="DPD99" s="46"/>
      <c r="DPE99" s="46"/>
      <c r="DPF99" s="46"/>
      <c r="DPG99" s="46"/>
      <c r="DPH99" s="46"/>
      <c r="DPI99" s="46"/>
      <c r="DPJ99" s="46"/>
      <c r="DPK99" s="46"/>
      <c r="DPL99" s="46"/>
      <c r="DPM99" s="46"/>
      <c r="DPN99" s="46"/>
      <c r="DPO99" s="46"/>
      <c r="DPP99" s="46"/>
      <c r="DPQ99" s="46"/>
      <c r="DPR99" s="46"/>
      <c r="DPS99" s="46"/>
      <c r="DPT99" s="46"/>
      <c r="DPU99" s="46"/>
      <c r="DPV99" s="46"/>
      <c r="DPW99" s="46"/>
      <c r="DPX99" s="46"/>
      <c r="DPY99" s="46"/>
      <c r="DPZ99" s="46"/>
      <c r="DQA99" s="46"/>
      <c r="DQB99" s="46"/>
      <c r="DQC99" s="46"/>
      <c r="DQD99" s="46"/>
      <c r="DQE99" s="46"/>
      <c r="DQF99" s="46"/>
      <c r="DQG99" s="46"/>
      <c r="DQH99" s="46"/>
      <c r="DQI99" s="46"/>
      <c r="DQJ99" s="46"/>
      <c r="DQK99" s="46"/>
      <c r="DQL99" s="46"/>
      <c r="DQM99" s="46"/>
      <c r="DQN99" s="46"/>
      <c r="DQO99" s="46"/>
      <c r="DQP99" s="46"/>
      <c r="DQQ99" s="46"/>
      <c r="DQR99" s="46"/>
      <c r="DQS99" s="46"/>
      <c r="DQT99" s="46"/>
      <c r="DQU99" s="46"/>
      <c r="DQV99" s="46"/>
      <c r="DQW99" s="46"/>
      <c r="DQX99" s="46"/>
      <c r="DQY99" s="46"/>
      <c r="DQZ99" s="46"/>
      <c r="DRA99" s="46"/>
      <c r="DRB99" s="46"/>
      <c r="DRC99" s="46"/>
      <c r="DRD99" s="46"/>
      <c r="DRE99" s="46"/>
      <c r="DRF99" s="46"/>
      <c r="DRG99" s="46"/>
      <c r="DRH99" s="46"/>
      <c r="DRI99" s="46"/>
      <c r="DRJ99" s="46"/>
      <c r="DRK99" s="46"/>
      <c r="DRL99" s="46"/>
      <c r="DRM99" s="46"/>
      <c r="DRN99" s="46"/>
      <c r="DRO99" s="46"/>
      <c r="DRP99" s="46"/>
      <c r="DRQ99" s="46"/>
      <c r="DRR99" s="46"/>
      <c r="DRS99" s="46"/>
      <c r="DRT99" s="46"/>
      <c r="DRU99" s="46"/>
      <c r="DRV99" s="46"/>
      <c r="DRW99" s="46"/>
      <c r="DRX99" s="46"/>
      <c r="DRY99" s="46"/>
      <c r="DRZ99" s="46"/>
      <c r="DSA99" s="46"/>
      <c r="DSB99" s="46"/>
      <c r="DSC99" s="46"/>
      <c r="DSD99" s="46"/>
      <c r="DSE99" s="46"/>
      <c r="DSF99" s="46"/>
      <c r="DSG99" s="46"/>
      <c r="DSH99" s="46"/>
      <c r="DSI99" s="46"/>
      <c r="DSJ99" s="46"/>
      <c r="DSK99" s="46"/>
      <c r="DSL99" s="46"/>
      <c r="DSM99" s="46"/>
      <c r="DSN99" s="46"/>
      <c r="DSO99" s="46"/>
      <c r="DSP99" s="46"/>
      <c r="DSQ99" s="46"/>
      <c r="DSR99" s="46"/>
      <c r="DSS99" s="46"/>
      <c r="DST99" s="46"/>
      <c r="DSU99" s="46"/>
      <c r="DSV99" s="46"/>
      <c r="DSW99" s="46"/>
      <c r="DSX99" s="46"/>
      <c r="DSY99" s="46"/>
      <c r="DSZ99" s="46"/>
      <c r="DTA99" s="46"/>
      <c r="DTB99" s="46"/>
      <c r="DTC99" s="46"/>
      <c r="DTD99" s="46"/>
      <c r="DTE99" s="46"/>
      <c r="DTF99" s="46"/>
      <c r="DTG99" s="46"/>
      <c r="DTH99" s="46"/>
      <c r="DTI99" s="46"/>
      <c r="DTJ99" s="46"/>
      <c r="DTK99" s="46"/>
      <c r="DTL99" s="46"/>
      <c r="DTM99" s="46"/>
      <c r="DTN99" s="46"/>
      <c r="DTO99" s="46"/>
      <c r="DTP99" s="46"/>
      <c r="DTQ99" s="46"/>
      <c r="DTR99" s="46"/>
      <c r="DTS99" s="46"/>
      <c r="DTT99" s="46"/>
      <c r="DTU99" s="46"/>
      <c r="DTV99" s="46"/>
      <c r="DTW99" s="46"/>
      <c r="DTX99" s="46"/>
      <c r="DTY99" s="46"/>
      <c r="DTZ99" s="46"/>
      <c r="DUA99" s="46"/>
      <c r="DUB99" s="46"/>
      <c r="DUC99" s="46"/>
      <c r="DUD99" s="46"/>
      <c r="DUE99" s="46"/>
      <c r="DUF99" s="46"/>
      <c r="DUG99" s="46"/>
      <c r="DUH99" s="46"/>
      <c r="DUI99" s="46"/>
      <c r="DUJ99" s="46"/>
      <c r="DUK99" s="46"/>
      <c r="DUL99" s="46"/>
      <c r="DUM99" s="46"/>
      <c r="DUN99" s="46"/>
      <c r="DUO99" s="46"/>
      <c r="DUP99" s="46"/>
      <c r="DUQ99" s="46"/>
      <c r="DUR99" s="46"/>
      <c r="DUS99" s="46"/>
      <c r="DUT99" s="46"/>
      <c r="DUU99" s="46"/>
      <c r="DUV99" s="46"/>
      <c r="DUW99" s="46"/>
      <c r="DUX99" s="46"/>
      <c r="DUY99" s="46"/>
      <c r="DUZ99" s="46"/>
      <c r="DVA99" s="46"/>
      <c r="DVB99" s="46"/>
      <c r="DVC99" s="46"/>
      <c r="DVD99" s="46"/>
      <c r="DVE99" s="46"/>
      <c r="DVF99" s="46"/>
      <c r="DVG99" s="46"/>
      <c r="DVH99" s="46"/>
      <c r="DVI99" s="46"/>
      <c r="DVJ99" s="46"/>
      <c r="DVK99" s="46"/>
      <c r="DVL99" s="46"/>
      <c r="DVM99" s="46"/>
      <c r="DVN99" s="46"/>
      <c r="DVO99" s="46"/>
      <c r="DVP99" s="46"/>
      <c r="DVQ99" s="46"/>
      <c r="DVR99" s="46"/>
      <c r="DVS99" s="46"/>
      <c r="DVT99" s="46"/>
      <c r="DVU99" s="46"/>
      <c r="DVV99" s="46"/>
      <c r="DVW99" s="46"/>
      <c r="DVX99" s="46"/>
      <c r="DVY99" s="46"/>
      <c r="DVZ99" s="46"/>
      <c r="DWA99" s="46"/>
      <c r="DWB99" s="46"/>
      <c r="DWC99" s="46"/>
      <c r="DWD99" s="46"/>
      <c r="DWE99" s="46"/>
      <c r="DWF99" s="46"/>
      <c r="DWG99" s="46"/>
      <c r="DWH99" s="46"/>
      <c r="DWI99" s="46"/>
      <c r="DWJ99" s="46"/>
      <c r="DWK99" s="46"/>
      <c r="DWL99" s="46"/>
      <c r="DWM99" s="46"/>
      <c r="DWN99" s="46"/>
      <c r="DWO99" s="46"/>
      <c r="DWP99" s="46"/>
      <c r="DWQ99" s="46"/>
      <c r="DWR99" s="46"/>
      <c r="DWS99" s="46"/>
      <c r="DWT99" s="46"/>
      <c r="DWU99" s="46"/>
      <c r="DWV99" s="46"/>
      <c r="DWW99" s="46"/>
      <c r="DWX99" s="46"/>
      <c r="DWY99" s="46"/>
      <c r="DWZ99" s="46"/>
      <c r="DXA99" s="46"/>
      <c r="DXB99" s="46"/>
      <c r="DXC99" s="46"/>
      <c r="DXD99" s="46"/>
      <c r="DXE99" s="46"/>
      <c r="DXF99" s="46"/>
      <c r="DXG99" s="46"/>
      <c r="DXH99" s="46"/>
      <c r="DXI99" s="46"/>
      <c r="DXJ99" s="46"/>
      <c r="DXK99" s="46"/>
      <c r="DXL99" s="46"/>
      <c r="DXM99" s="46"/>
      <c r="DXN99" s="46"/>
      <c r="DXO99" s="46"/>
      <c r="DXP99" s="46"/>
      <c r="DXQ99" s="46"/>
      <c r="DXR99" s="46"/>
      <c r="DXS99" s="46"/>
      <c r="DXT99" s="46"/>
      <c r="DXU99" s="46"/>
      <c r="DXV99" s="46"/>
      <c r="DXW99" s="46"/>
      <c r="DXX99" s="46"/>
      <c r="DXY99" s="46"/>
      <c r="DXZ99" s="46"/>
      <c r="DYA99" s="46"/>
      <c r="DYB99" s="46"/>
      <c r="DYC99" s="46"/>
      <c r="DYD99" s="46"/>
      <c r="DYE99" s="46"/>
      <c r="DYF99" s="46"/>
      <c r="DYG99" s="46"/>
      <c r="DYH99" s="46"/>
      <c r="DYI99" s="46"/>
      <c r="DYJ99" s="46"/>
      <c r="DYK99" s="46"/>
      <c r="DYL99" s="46"/>
      <c r="DYM99" s="46"/>
      <c r="DYN99" s="46"/>
      <c r="DYO99" s="46"/>
      <c r="DYP99" s="46"/>
      <c r="DYQ99" s="46"/>
      <c r="DYR99" s="46"/>
      <c r="DYS99" s="46"/>
      <c r="DYT99" s="46"/>
      <c r="DYU99" s="46"/>
      <c r="DYV99" s="46"/>
      <c r="DYW99" s="46"/>
      <c r="DYX99" s="46"/>
      <c r="DYY99" s="46"/>
      <c r="DYZ99" s="46"/>
      <c r="DZA99" s="46"/>
      <c r="DZB99" s="46"/>
      <c r="DZC99" s="46"/>
      <c r="DZD99" s="46"/>
      <c r="DZE99" s="46"/>
      <c r="DZF99" s="46"/>
      <c r="DZG99" s="46"/>
      <c r="DZH99" s="46"/>
      <c r="DZI99" s="46"/>
      <c r="DZJ99" s="46"/>
      <c r="DZK99" s="46"/>
      <c r="DZL99" s="46"/>
      <c r="DZM99" s="46"/>
      <c r="DZN99" s="46"/>
      <c r="DZO99" s="46"/>
      <c r="DZP99" s="46"/>
      <c r="DZQ99" s="46"/>
      <c r="DZR99" s="46"/>
      <c r="DZS99" s="46"/>
      <c r="DZT99" s="46"/>
      <c r="DZU99" s="46"/>
      <c r="DZV99" s="46"/>
      <c r="DZW99" s="46"/>
      <c r="DZX99" s="46"/>
      <c r="DZY99" s="46"/>
      <c r="DZZ99" s="46"/>
      <c r="EAA99" s="46"/>
      <c r="EAB99" s="46"/>
      <c r="EAC99" s="46"/>
      <c r="EAD99" s="46"/>
      <c r="EAE99" s="46"/>
      <c r="EAF99" s="46"/>
      <c r="EAG99" s="46"/>
      <c r="EAH99" s="46"/>
      <c r="EAI99" s="46"/>
      <c r="EAJ99" s="46"/>
      <c r="EAK99" s="46"/>
      <c r="EAL99" s="46"/>
      <c r="EAM99" s="46"/>
      <c r="EAN99" s="46"/>
      <c r="EAO99" s="46"/>
      <c r="EAP99" s="46"/>
      <c r="EAQ99" s="46"/>
      <c r="EAR99" s="46"/>
      <c r="EAS99" s="46"/>
      <c r="EAT99" s="46"/>
      <c r="EAU99" s="46"/>
      <c r="EAV99" s="46"/>
      <c r="EAW99" s="46"/>
      <c r="EAX99" s="46"/>
      <c r="EAY99" s="46"/>
      <c r="EAZ99" s="46"/>
      <c r="EBA99" s="46"/>
      <c r="EBB99" s="46"/>
      <c r="EBC99" s="46"/>
      <c r="EBD99" s="46"/>
      <c r="EBE99" s="46"/>
      <c r="EBF99" s="46"/>
      <c r="EBG99" s="46"/>
      <c r="EBH99" s="46"/>
      <c r="EBI99" s="46"/>
      <c r="EBJ99" s="46"/>
      <c r="EBK99" s="46"/>
      <c r="EBL99" s="46"/>
      <c r="EBM99" s="46"/>
      <c r="EBN99" s="46"/>
      <c r="EBO99" s="46"/>
      <c r="EBP99" s="46"/>
      <c r="EBQ99" s="46"/>
      <c r="EBR99" s="46"/>
      <c r="EBS99" s="46"/>
      <c r="EBT99" s="46"/>
      <c r="EBU99" s="46"/>
      <c r="EBV99" s="46"/>
      <c r="EBW99" s="46"/>
      <c r="EBX99" s="46"/>
      <c r="EBY99" s="46"/>
      <c r="EBZ99" s="46"/>
      <c r="ECA99" s="46"/>
      <c r="ECB99" s="46"/>
      <c r="ECC99" s="46"/>
      <c r="ECD99" s="46"/>
      <c r="ECE99" s="46"/>
      <c r="ECF99" s="46"/>
      <c r="ECG99" s="46"/>
      <c r="ECH99" s="46"/>
      <c r="ECI99" s="46"/>
      <c r="ECJ99" s="46"/>
      <c r="ECK99" s="46"/>
      <c r="ECL99" s="46"/>
      <c r="ECM99" s="46"/>
      <c r="ECN99" s="46"/>
      <c r="ECO99" s="46"/>
      <c r="ECP99" s="46"/>
      <c r="ECQ99" s="46"/>
      <c r="ECR99" s="46"/>
      <c r="ECS99" s="46"/>
      <c r="ECT99" s="46"/>
      <c r="ECU99" s="46"/>
      <c r="ECV99" s="46"/>
      <c r="ECW99" s="46"/>
      <c r="ECX99" s="46"/>
      <c r="ECY99" s="46"/>
      <c r="ECZ99" s="46"/>
      <c r="EDA99" s="46"/>
      <c r="EDB99" s="46"/>
      <c r="EDC99" s="46"/>
      <c r="EDD99" s="46"/>
      <c r="EDE99" s="46"/>
      <c r="EDF99" s="46"/>
      <c r="EDG99" s="46"/>
      <c r="EDH99" s="46"/>
      <c r="EDI99" s="46"/>
      <c r="EDJ99" s="46"/>
      <c r="EDK99" s="46"/>
      <c r="EDL99" s="46"/>
      <c r="EDM99" s="46"/>
      <c r="EDN99" s="46"/>
      <c r="EDO99" s="46"/>
      <c r="EDP99" s="46"/>
      <c r="EDQ99" s="46"/>
      <c r="EDR99" s="46"/>
      <c r="EDS99" s="46"/>
      <c r="EDT99" s="46"/>
      <c r="EDU99" s="46"/>
      <c r="EDV99" s="46"/>
      <c r="EDW99" s="46"/>
      <c r="EDX99" s="46"/>
      <c r="EDY99" s="46"/>
      <c r="EDZ99" s="46"/>
      <c r="EEA99" s="46"/>
      <c r="EEB99" s="46"/>
      <c r="EEC99" s="46"/>
      <c r="EED99" s="46"/>
      <c r="EEE99" s="46"/>
      <c r="EEF99" s="46"/>
      <c r="EEG99" s="46"/>
      <c r="EEH99" s="46"/>
      <c r="EEI99" s="46"/>
      <c r="EEJ99" s="46"/>
      <c r="EEK99" s="46"/>
      <c r="EEL99" s="46"/>
      <c r="EEM99" s="46"/>
      <c r="EEN99" s="46"/>
      <c r="EEO99" s="46"/>
      <c r="EEP99" s="46"/>
      <c r="EEQ99" s="46"/>
      <c r="EER99" s="46"/>
      <c r="EES99" s="46"/>
      <c r="EET99" s="46"/>
      <c r="EEU99" s="46"/>
      <c r="EEV99" s="46"/>
      <c r="EEW99" s="46"/>
      <c r="EEX99" s="46"/>
      <c r="EEY99" s="46"/>
      <c r="EEZ99" s="46"/>
      <c r="EFA99" s="46"/>
      <c r="EFB99" s="46"/>
      <c r="EFC99" s="46"/>
      <c r="EFD99" s="46"/>
      <c r="EFE99" s="46"/>
      <c r="EFF99" s="46"/>
      <c r="EFG99" s="46"/>
      <c r="EFH99" s="46"/>
      <c r="EFI99" s="46"/>
      <c r="EFJ99" s="46"/>
      <c r="EFK99" s="46"/>
      <c r="EFL99" s="46"/>
      <c r="EFM99" s="46"/>
      <c r="EFN99" s="46"/>
      <c r="EFO99" s="46"/>
      <c r="EFP99" s="46"/>
      <c r="EFQ99" s="46"/>
      <c r="EFR99" s="46"/>
      <c r="EFS99" s="46"/>
      <c r="EFT99" s="46"/>
      <c r="EFU99" s="46"/>
      <c r="EFV99" s="46"/>
      <c r="EFW99" s="46"/>
      <c r="EFX99" s="46"/>
      <c r="EFY99" s="46"/>
      <c r="EFZ99" s="46"/>
      <c r="EGA99" s="46"/>
      <c r="EGB99" s="46"/>
      <c r="EGC99" s="46"/>
      <c r="EGD99" s="46"/>
      <c r="EGE99" s="46"/>
      <c r="EGF99" s="46"/>
      <c r="EGG99" s="46"/>
      <c r="EGH99" s="46"/>
      <c r="EGI99" s="46"/>
      <c r="EGJ99" s="46"/>
      <c r="EGK99" s="46"/>
      <c r="EGL99" s="46"/>
      <c r="EGM99" s="46"/>
      <c r="EGN99" s="46"/>
      <c r="EGO99" s="46"/>
      <c r="EGP99" s="46"/>
      <c r="EGQ99" s="46"/>
      <c r="EGR99" s="46"/>
      <c r="EGS99" s="46"/>
      <c r="EGT99" s="46"/>
      <c r="EGU99" s="46"/>
      <c r="EGV99" s="46"/>
      <c r="EGW99" s="46"/>
      <c r="EGX99" s="46"/>
      <c r="EGY99" s="46"/>
      <c r="EGZ99" s="46"/>
      <c r="EHA99" s="46"/>
      <c r="EHB99" s="46"/>
      <c r="EHC99" s="46"/>
      <c r="EHD99" s="46"/>
      <c r="EHE99" s="46"/>
      <c r="EHF99" s="46"/>
      <c r="EHG99" s="46"/>
      <c r="EHH99" s="46"/>
      <c r="EHI99" s="46"/>
      <c r="EHJ99" s="46"/>
      <c r="EHK99" s="46"/>
      <c r="EHL99" s="46"/>
      <c r="EHM99" s="46"/>
      <c r="EHN99" s="46"/>
      <c r="EHO99" s="46"/>
      <c r="EHP99" s="46"/>
      <c r="EHQ99" s="46"/>
      <c r="EHR99" s="46"/>
      <c r="EHS99" s="46"/>
      <c r="EHT99" s="46"/>
      <c r="EHU99" s="46"/>
      <c r="EHV99" s="46"/>
      <c r="EHW99" s="46"/>
      <c r="EHX99" s="46"/>
      <c r="EHY99" s="46"/>
      <c r="EHZ99" s="46"/>
      <c r="EIA99" s="46"/>
      <c r="EIB99" s="46"/>
      <c r="EIC99" s="46"/>
      <c r="EID99" s="46"/>
      <c r="EIE99" s="46"/>
      <c r="EIF99" s="46"/>
      <c r="EIG99" s="46"/>
      <c r="EIH99" s="46"/>
      <c r="EII99" s="46"/>
      <c r="EIJ99" s="46"/>
      <c r="EIK99" s="46"/>
      <c r="EIL99" s="46"/>
      <c r="EIM99" s="46"/>
      <c r="EIN99" s="46"/>
      <c r="EIO99" s="46"/>
      <c r="EIP99" s="46"/>
      <c r="EIQ99" s="46"/>
      <c r="EIR99" s="46"/>
      <c r="EIS99" s="46"/>
      <c r="EIT99" s="46"/>
      <c r="EIU99" s="46"/>
      <c r="EIV99" s="46"/>
      <c r="EIW99" s="46"/>
      <c r="EIX99" s="46"/>
      <c r="EIY99" s="46"/>
      <c r="EIZ99" s="46"/>
      <c r="EJA99" s="46"/>
      <c r="EJB99" s="46"/>
      <c r="EJC99" s="46"/>
      <c r="EJD99" s="46"/>
      <c r="EJE99" s="46"/>
      <c r="EJF99" s="46"/>
      <c r="EJG99" s="46"/>
      <c r="EJH99" s="46"/>
      <c r="EJI99" s="46"/>
      <c r="EJJ99" s="46"/>
      <c r="EJK99" s="46"/>
      <c r="EJL99" s="46"/>
      <c r="EJM99" s="46"/>
      <c r="EJN99" s="46"/>
      <c r="EJO99" s="46"/>
      <c r="EJP99" s="46"/>
      <c r="EJQ99" s="46"/>
      <c r="EJR99" s="46"/>
      <c r="EJS99" s="46"/>
      <c r="EJT99" s="46"/>
      <c r="EJU99" s="46"/>
      <c r="EJV99" s="46"/>
      <c r="EJW99" s="46"/>
      <c r="EJX99" s="46"/>
      <c r="EJY99" s="46"/>
      <c r="EJZ99" s="46"/>
      <c r="EKA99" s="46"/>
      <c r="EKB99" s="46"/>
      <c r="EKC99" s="46"/>
      <c r="EKD99" s="46"/>
      <c r="EKE99" s="46"/>
      <c r="EKF99" s="46"/>
      <c r="EKG99" s="46"/>
      <c r="EKH99" s="46"/>
      <c r="EKI99" s="46"/>
      <c r="EKJ99" s="46"/>
      <c r="EKK99" s="46"/>
      <c r="EKL99" s="46"/>
      <c r="EKM99" s="46"/>
      <c r="EKN99" s="46"/>
      <c r="EKO99" s="46"/>
      <c r="EKP99" s="46"/>
      <c r="EKQ99" s="46"/>
      <c r="EKR99" s="46"/>
      <c r="EKS99" s="46"/>
      <c r="EKT99" s="46"/>
      <c r="EKU99" s="46"/>
      <c r="EKV99" s="46"/>
      <c r="EKW99" s="46"/>
      <c r="EKX99" s="46"/>
      <c r="EKY99" s="46"/>
      <c r="EKZ99" s="46"/>
      <c r="ELA99" s="46"/>
      <c r="ELB99" s="46"/>
      <c r="ELC99" s="46"/>
      <c r="ELD99" s="46"/>
      <c r="ELE99" s="46"/>
      <c r="ELF99" s="46"/>
      <c r="ELG99" s="46"/>
      <c r="ELH99" s="46"/>
      <c r="ELI99" s="46"/>
      <c r="ELJ99" s="46"/>
      <c r="ELK99" s="46"/>
      <c r="ELL99" s="46"/>
      <c r="ELM99" s="46"/>
      <c r="ELN99" s="46"/>
      <c r="ELO99" s="46"/>
      <c r="ELP99" s="46"/>
      <c r="ELQ99" s="46"/>
      <c r="ELR99" s="46"/>
      <c r="ELS99" s="46"/>
      <c r="ELT99" s="46"/>
      <c r="ELU99" s="46"/>
      <c r="ELV99" s="46"/>
      <c r="ELW99" s="46"/>
      <c r="ELX99" s="46"/>
      <c r="ELY99" s="46"/>
      <c r="ELZ99" s="46"/>
      <c r="EMA99" s="46"/>
      <c r="EMB99" s="46"/>
      <c r="EMC99" s="46"/>
      <c r="EMD99" s="46"/>
      <c r="EME99" s="46"/>
      <c r="EMF99" s="46"/>
      <c r="EMG99" s="46"/>
      <c r="EMH99" s="46"/>
      <c r="EMI99" s="46"/>
      <c r="EMJ99" s="46"/>
      <c r="EMK99" s="46"/>
      <c r="EML99" s="46"/>
      <c r="EMM99" s="46"/>
      <c r="EMN99" s="46"/>
      <c r="EMO99" s="46"/>
      <c r="EMP99" s="46"/>
      <c r="EMQ99" s="46"/>
      <c r="EMR99" s="46"/>
      <c r="EMS99" s="46"/>
      <c r="EMT99" s="46"/>
      <c r="EMU99" s="46"/>
      <c r="EMV99" s="46"/>
      <c r="EMW99" s="46"/>
      <c r="EMX99" s="46"/>
      <c r="EMY99" s="46"/>
      <c r="EMZ99" s="46"/>
      <c r="ENA99" s="46"/>
      <c r="ENB99" s="46"/>
      <c r="ENC99" s="46"/>
      <c r="END99" s="46"/>
      <c r="ENE99" s="46"/>
      <c r="ENF99" s="46"/>
      <c r="ENG99" s="46"/>
      <c r="ENH99" s="46"/>
      <c r="ENI99" s="46"/>
      <c r="ENJ99" s="46"/>
      <c r="ENK99" s="46"/>
      <c r="ENL99" s="46"/>
      <c r="ENM99" s="46"/>
      <c r="ENN99" s="46"/>
      <c r="ENO99" s="46"/>
      <c r="ENP99" s="46"/>
      <c r="ENQ99" s="46"/>
      <c r="ENR99" s="46"/>
      <c r="ENS99" s="46"/>
      <c r="ENT99" s="46"/>
      <c r="ENU99" s="46"/>
      <c r="ENV99" s="46"/>
      <c r="ENW99" s="46"/>
      <c r="ENX99" s="46"/>
      <c r="ENY99" s="46"/>
      <c r="ENZ99" s="46"/>
      <c r="EOA99" s="46"/>
      <c r="EOB99" s="46"/>
      <c r="EOC99" s="46"/>
      <c r="EOD99" s="46"/>
      <c r="EOE99" s="46"/>
      <c r="EOF99" s="46"/>
      <c r="EOG99" s="46"/>
      <c r="EOH99" s="46"/>
      <c r="EOI99" s="46"/>
      <c r="EOJ99" s="46"/>
      <c r="EOK99" s="46"/>
      <c r="EOL99" s="46"/>
      <c r="EOM99" s="46"/>
      <c r="EON99" s="46"/>
      <c r="EOO99" s="46"/>
      <c r="EOP99" s="46"/>
      <c r="EOQ99" s="46"/>
      <c r="EOR99" s="46"/>
      <c r="EOS99" s="46"/>
      <c r="EOT99" s="46"/>
      <c r="EOU99" s="46"/>
      <c r="EOV99" s="46"/>
      <c r="EOW99" s="46"/>
      <c r="EOX99" s="46"/>
      <c r="EOY99" s="46"/>
      <c r="EOZ99" s="46"/>
      <c r="EPA99" s="46"/>
      <c r="EPB99" s="46"/>
      <c r="EPC99" s="46"/>
      <c r="EPD99" s="46"/>
      <c r="EPE99" s="46"/>
      <c r="EPF99" s="46"/>
      <c r="EPG99" s="46"/>
      <c r="EPH99" s="46"/>
      <c r="EPI99" s="46"/>
      <c r="EPJ99" s="46"/>
      <c r="EPK99" s="46"/>
      <c r="EPL99" s="46"/>
      <c r="EPM99" s="46"/>
      <c r="EPN99" s="46"/>
      <c r="EPO99" s="46"/>
      <c r="EPP99" s="46"/>
      <c r="EPQ99" s="46"/>
      <c r="EPR99" s="46"/>
      <c r="EPS99" s="46"/>
      <c r="EPT99" s="46"/>
      <c r="EPU99" s="46"/>
      <c r="EPV99" s="46"/>
      <c r="EPW99" s="46"/>
      <c r="EPX99" s="46"/>
      <c r="EPY99" s="46"/>
      <c r="EPZ99" s="46"/>
      <c r="EQA99" s="46"/>
      <c r="EQB99" s="46"/>
      <c r="EQC99" s="46"/>
      <c r="EQD99" s="46"/>
      <c r="EQE99" s="46"/>
      <c r="EQF99" s="46"/>
      <c r="EQG99" s="46"/>
      <c r="EQH99" s="46"/>
      <c r="EQI99" s="46"/>
      <c r="EQJ99" s="46"/>
      <c r="EQK99" s="46"/>
      <c r="EQL99" s="46"/>
      <c r="EQM99" s="46"/>
      <c r="EQN99" s="46"/>
      <c r="EQO99" s="46"/>
      <c r="EQP99" s="46"/>
      <c r="EQQ99" s="46"/>
      <c r="EQR99" s="46"/>
      <c r="EQS99" s="46"/>
      <c r="EQT99" s="46"/>
      <c r="EQU99" s="46"/>
      <c r="EQV99" s="46"/>
      <c r="EQW99" s="46"/>
      <c r="EQX99" s="46"/>
      <c r="EQY99" s="46"/>
      <c r="EQZ99" s="46"/>
      <c r="ERA99" s="46"/>
      <c r="ERB99" s="46"/>
      <c r="ERC99" s="46"/>
      <c r="ERD99" s="46"/>
      <c r="ERE99" s="46"/>
      <c r="ERF99" s="46"/>
      <c r="ERG99" s="46"/>
      <c r="ERH99" s="46"/>
      <c r="ERI99" s="46"/>
      <c r="ERJ99" s="46"/>
      <c r="ERK99" s="46"/>
      <c r="ERL99" s="46"/>
      <c r="ERM99" s="46"/>
      <c r="ERN99" s="46"/>
      <c r="ERO99" s="46"/>
      <c r="ERP99" s="46"/>
      <c r="ERQ99" s="46"/>
      <c r="ERR99" s="46"/>
      <c r="ERS99" s="46"/>
      <c r="ERT99" s="46"/>
      <c r="ERU99" s="46"/>
      <c r="ERV99" s="46"/>
      <c r="ERW99" s="46"/>
      <c r="ERX99" s="46"/>
      <c r="ERY99" s="46"/>
      <c r="ERZ99" s="46"/>
      <c r="ESA99" s="46"/>
      <c r="ESB99" s="46"/>
      <c r="ESC99" s="46"/>
      <c r="ESD99" s="46"/>
      <c r="ESE99" s="46"/>
      <c r="ESF99" s="46"/>
      <c r="ESG99" s="46"/>
      <c r="ESH99" s="46"/>
      <c r="ESI99" s="46"/>
      <c r="ESJ99" s="46"/>
      <c r="ESK99" s="46"/>
      <c r="ESL99" s="46"/>
      <c r="ESM99" s="46"/>
      <c r="ESN99" s="46"/>
      <c r="ESO99" s="46"/>
      <c r="ESP99" s="46"/>
      <c r="ESQ99" s="46"/>
      <c r="ESR99" s="46"/>
      <c r="ESS99" s="46"/>
      <c r="EST99" s="46"/>
      <c r="ESU99" s="46"/>
      <c r="ESV99" s="46"/>
      <c r="ESW99" s="46"/>
      <c r="ESX99" s="46"/>
      <c r="ESY99" s="46"/>
      <c r="ESZ99" s="46"/>
      <c r="ETA99" s="46"/>
      <c r="ETB99" s="46"/>
      <c r="ETC99" s="46"/>
      <c r="ETD99" s="46"/>
      <c r="ETE99" s="46"/>
      <c r="ETF99" s="46"/>
      <c r="ETG99" s="46"/>
      <c r="ETH99" s="46"/>
      <c r="ETI99" s="46"/>
      <c r="ETJ99" s="46"/>
      <c r="ETK99" s="46"/>
      <c r="ETL99" s="46"/>
      <c r="ETM99" s="46"/>
      <c r="ETN99" s="46"/>
      <c r="ETO99" s="46"/>
      <c r="ETP99" s="46"/>
      <c r="ETQ99" s="46"/>
      <c r="ETR99" s="46"/>
      <c r="ETS99" s="46"/>
      <c r="ETT99" s="46"/>
      <c r="ETU99" s="46"/>
      <c r="ETV99" s="46"/>
      <c r="ETW99" s="46"/>
      <c r="ETX99" s="46"/>
      <c r="ETY99" s="46"/>
      <c r="ETZ99" s="46"/>
      <c r="EUA99" s="46"/>
      <c r="EUB99" s="46"/>
      <c r="EUC99" s="46"/>
      <c r="EUD99" s="46"/>
      <c r="EUE99" s="46"/>
      <c r="EUF99" s="46"/>
      <c r="EUG99" s="46"/>
      <c r="EUH99" s="46"/>
      <c r="EUI99" s="46"/>
      <c r="EUJ99" s="46"/>
      <c r="EUK99" s="46"/>
      <c r="EUL99" s="46"/>
      <c r="EUM99" s="46"/>
      <c r="EUN99" s="46"/>
      <c r="EUO99" s="46"/>
      <c r="EUP99" s="46"/>
      <c r="EUQ99" s="46"/>
      <c r="EUR99" s="46"/>
      <c r="EUS99" s="46"/>
      <c r="EUT99" s="46"/>
      <c r="EUU99" s="46"/>
      <c r="EUV99" s="46"/>
      <c r="EUW99" s="46"/>
      <c r="EUX99" s="46"/>
      <c r="EUY99" s="46"/>
      <c r="EUZ99" s="46"/>
      <c r="EVA99" s="46"/>
      <c r="EVB99" s="46"/>
      <c r="EVC99" s="46"/>
      <c r="EVD99" s="46"/>
      <c r="EVE99" s="46"/>
      <c r="EVF99" s="46"/>
      <c r="EVG99" s="46"/>
      <c r="EVH99" s="46"/>
      <c r="EVI99" s="46"/>
      <c r="EVJ99" s="46"/>
      <c r="EVK99" s="46"/>
      <c r="EVL99" s="46"/>
      <c r="EVM99" s="46"/>
      <c r="EVN99" s="46"/>
      <c r="EVO99" s="46"/>
      <c r="EVP99" s="46"/>
      <c r="EVQ99" s="46"/>
      <c r="EVR99" s="46"/>
      <c r="EVS99" s="46"/>
      <c r="EVT99" s="46"/>
      <c r="EVU99" s="46"/>
      <c r="EVV99" s="46"/>
      <c r="EVW99" s="46"/>
      <c r="EVX99" s="46"/>
      <c r="EVY99" s="46"/>
      <c r="EVZ99" s="46"/>
      <c r="EWA99" s="46"/>
      <c r="EWB99" s="46"/>
      <c r="EWC99" s="46"/>
      <c r="EWD99" s="46"/>
      <c r="EWE99" s="46"/>
      <c r="EWF99" s="46"/>
      <c r="EWG99" s="46"/>
      <c r="EWH99" s="46"/>
      <c r="EWI99" s="46"/>
      <c r="EWJ99" s="46"/>
      <c r="EWK99" s="46"/>
      <c r="EWL99" s="46"/>
      <c r="EWM99" s="46"/>
      <c r="EWN99" s="46"/>
      <c r="EWO99" s="46"/>
      <c r="EWP99" s="46"/>
      <c r="EWQ99" s="46"/>
      <c r="EWR99" s="46"/>
      <c r="EWS99" s="46"/>
      <c r="EWT99" s="46"/>
      <c r="EWU99" s="46"/>
      <c r="EWV99" s="46"/>
      <c r="EWW99" s="46"/>
      <c r="EWX99" s="46"/>
      <c r="EWY99" s="46"/>
      <c r="EWZ99" s="46"/>
      <c r="EXA99" s="46"/>
      <c r="EXB99" s="46"/>
      <c r="EXC99" s="46"/>
      <c r="EXD99" s="46"/>
      <c r="EXE99" s="46"/>
      <c r="EXF99" s="46"/>
      <c r="EXG99" s="46"/>
      <c r="EXH99" s="46"/>
      <c r="EXI99" s="46"/>
      <c r="EXJ99" s="46"/>
      <c r="EXK99" s="46"/>
      <c r="EXL99" s="46"/>
      <c r="EXM99" s="46"/>
      <c r="EXN99" s="46"/>
      <c r="EXO99" s="46"/>
      <c r="EXP99" s="46"/>
      <c r="EXQ99" s="46"/>
      <c r="EXR99" s="46"/>
      <c r="EXS99" s="46"/>
      <c r="EXT99" s="46"/>
      <c r="EXU99" s="46"/>
      <c r="EXV99" s="46"/>
      <c r="EXW99" s="46"/>
      <c r="EXX99" s="46"/>
      <c r="EXY99" s="46"/>
      <c r="EXZ99" s="46"/>
      <c r="EYA99" s="46"/>
      <c r="EYB99" s="46"/>
      <c r="EYC99" s="46"/>
      <c r="EYD99" s="46"/>
      <c r="EYE99" s="46"/>
      <c r="EYF99" s="46"/>
      <c r="EYG99" s="46"/>
      <c r="EYH99" s="46"/>
      <c r="EYI99" s="46"/>
      <c r="EYJ99" s="46"/>
      <c r="EYK99" s="46"/>
      <c r="EYL99" s="46"/>
      <c r="EYM99" s="46"/>
      <c r="EYN99" s="46"/>
      <c r="EYO99" s="46"/>
      <c r="EYP99" s="46"/>
      <c r="EYQ99" s="46"/>
      <c r="EYR99" s="46"/>
      <c r="EYS99" s="46"/>
      <c r="EYT99" s="46"/>
      <c r="EYU99" s="46"/>
      <c r="EYV99" s="46"/>
      <c r="EYW99" s="46"/>
      <c r="EYX99" s="46"/>
      <c r="EYY99" s="46"/>
      <c r="EYZ99" s="46"/>
      <c r="EZA99" s="46"/>
      <c r="EZB99" s="46"/>
      <c r="EZC99" s="46"/>
      <c r="EZD99" s="46"/>
      <c r="EZE99" s="46"/>
      <c r="EZF99" s="46"/>
      <c r="EZG99" s="46"/>
      <c r="EZH99" s="46"/>
      <c r="EZI99" s="46"/>
      <c r="EZJ99" s="46"/>
      <c r="EZK99" s="46"/>
      <c r="EZL99" s="46"/>
      <c r="EZM99" s="46"/>
      <c r="EZN99" s="46"/>
      <c r="EZO99" s="46"/>
      <c r="EZP99" s="46"/>
      <c r="EZQ99" s="46"/>
      <c r="EZR99" s="46"/>
      <c r="EZS99" s="46"/>
      <c r="EZT99" s="46"/>
      <c r="EZU99" s="46"/>
      <c r="EZV99" s="46"/>
      <c r="EZW99" s="46"/>
      <c r="EZX99" s="46"/>
      <c r="EZY99" s="46"/>
      <c r="EZZ99" s="46"/>
      <c r="FAA99" s="46"/>
      <c r="FAB99" s="46"/>
      <c r="FAC99" s="46"/>
      <c r="FAD99" s="46"/>
      <c r="FAE99" s="46"/>
      <c r="FAF99" s="46"/>
      <c r="FAG99" s="46"/>
      <c r="FAH99" s="46"/>
      <c r="FAI99" s="46"/>
      <c r="FAJ99" s="46"/>
      <c r="FAK99" s="46"/>
      <c r="FAL99" s="46"/>
      <c r="FAM99" s="46"/>
      <c r="FAN99" s="46"/>
      <c r="FAO99" s="46"/>
      <c r="FAP99" s="46"/>
      <c r="FAQ99" s="46"/>
      <c r="FAR99" s="46"/>
      <c r="FAS99" s="46"/>
      <c r="FAT99" s="46"/>
      <c r="FAU99" s="46"/>
      <c r="FAV99" s="46"/>
      <c r="FAW99" s="46"/>
      <c r="FAX99" s="46"/>
      <c r="FAY99" s="46"/>
      <c r="FAZ99" s="46"/>
      <c r="FBA99" s="46"/>
      <c r="FBB99" s="46"/>
      <c r="FBC99" s="46"/>
      <c r="FBD99" s="46"/>
      <c r="FBE99" s="46"/>
      <c r="FBF99" s="46"/>
      <c r="FBG99" s="46"/>
      <c r="FBH99" s="46"/>
      <c r="FBI99" s="46"/>
      <c r="FBJ99" s="46"/>
      <c r="FBK99" s="46"/>
      <c r="FBL99" s="46"/>
      <c r="FBM99" s="46"/>
      <c r="FBN99" s="46"/>
      <c r="FBO99" s="46"/>
      <c r="FBP99" s="46"/>
      <c r="FBQ99" s="46"/>
      <c r="FBR99" s="46"/>
      <c r="FBS99" s="46"/>
      <c r="FBT99" s="46"/>
      <c r="FBU99" s="46"/>
      <c r="FBV99" s="46"/>
      <c r="FBW99" s="46"/>
      <c r="FBX99" s="46"/>
      <c r="FBY99" s="46"/>
      <c r="FBZ99" s="46"/>
      <c r="FCA99" s="46"/>
      <c r="FCB99" s="46"/>
      <c r="FCC99" s="46"/>
      <c r="FCD99" s="46"/>
      <c r="FCE99" s="46"/>
      <c r="FCF99" s="46"/>
      <c r="FCG99" s="46"/>
      <c r="FCH99" s="46"/>
      <c r="FCI99" s="46"/>
      <c r="FCJ99" s="46"/>
      <c r="FCK99" s="46"/>
      <c r="FCL99" s="46"/>
      <c r="FCM99" s="46"/>
      <c r="FCN99" s="46"/>
      <c r="FCO99" s="46"/>
      <c r="FCP99" s="46"/>
      <c r="FCQ99" s="46"/>
      <c r="FCR99" s="46"/>
      <c r="FCS99" s="46"/>
      <c r="FCT99" s="46"/>
      <c r="FCU99" s="46"/>
      <c r="FCV99" s="46"/>
      <c r="FCW99" s="46"/>
      <c r="FCX99" s="46"/>
      <c r="FCY99" s="46"/>
      <c r="FCZ99" s="46"/>
      <c r="FDA99" s="46"/>
      <c r="FDB99" s="46"/>
      <c r="FDC99" s="46"/>
      <c r="FDD99" s="46"/>
      <c r="FDE99" s="46"/>
      <c r="FDF99" s="46"/>
      <c r="FDG99" s="46"/>
      <c r="FDH99" s="46"/>
      <c r="FDI99" s="46"/>
      <c r="FDJ99" s="46"/>
      <c r="FDK99" s="46"/>
      <c r="FDL99" s="46"/>
      <c r="FDM99" s="46"/>
      <c r="FDN99" s="46"/>
      <c r="FDO99" s="46"/>
      <c r="FDP99" s="46"/>
      <c r="FDQ99" s="46"/>
      <c r="FDR99" s="46"/>
      <c r="FDS99" s="46"/>
      <c r="FDT99" s="46"/>
      <c r="FDU99" s="46"/>
      <c r="FDV99" s="46"/>
      <c r="FDW99" s="46"/>
      <c r="FDX99" s="46"/>
      <c r="FDY99" s="46"/>
      <c r="FDZ99" s="46"/>
      <c r="FEA99" s="46"/>
      <c r="FEB99" s="46"/>
      <c r="FEC99" s="46"/>
      <c r="FED99" s="46"/>
      <c r="FEE99" s="46"/>
      <c r="FEF99" s="46"/>
      <c r="FEG99" s="46"/>
      <c r="FEH99" s="46"/>
      <c r="FEI99" s="46"/>
      <c r="FEJ99" s="46"/>
      <c r="FEK99" s="46"/>
      <c r="FEL99" s="46"/>
      <c r="FEM99" s="46"/>
      <c r="FEN99" s="46"/>
      <c r="FEO99" s="46"/>
      <c r="FEP99" s="46"/>
      <c r="FEQ99" s="46"/>
      <c r="FER99" s="46"/>
      <c r="FES99" s="46"/>
      <c r="FET99" s="46"/>
      <c r="FEU99" s="46"/>
      <c r="FEV99" s="46"/>
      <c r="FEW99" s="46"/>
      <c r="FEX99" s="46"/>
      <c r="FEY99" s="46"/>
      <c r="FEZ99" s="46"/>
      <c r="FFA99" s="46"/>
      <c r="FFB99" s="46"/>
      <c r="FFC99" s="46"/>
      <c r="FFD99" s="46"/>
      <c r="FFE99" s="46"/>
      <c r="FFF99" s="46"/>
      <c r="FFG99" s="46"/>
      <c r="FFH99" s="46"/>
      <c r="FFI99" s="46"/>
      <c r="FFJ99" s="46"/>
      <c r="FFK99" s="46"/>
      <c r="FFL99" s="46"/>
      <c r="FFM99" s="46"/>
      <c r="FFN99" s="46"/>
      <c r="FFO99" s="46"/>
      <c r="FFP99" s="46"/>
      <c r="FFQ99" s="46"/>
      <c r="FFR99" s="46"/>
      <c r="FFS99" s="46"/>
      <c r="FFT99" s="46"/>
      <c r="FFU99" s="46"/>
      <c r="FFV99" s="46"/>
      <c r="FFW99" s="46"/>
      <c r="FFX99" s="46"/>
      <c r="FFY99" s="46"/>
      <c r="FFZ99" s="46"/>
      <c r="FGA99" s="46"/>
      <c r="FGB99" s="46"/>
      <c r="FGC99" s="46"/>
      <c r="FGD99" s="46"/>
      <c r="FGE99" s="46"/>
      <c r="FGF99" s="46"/>
      <c r="FGG99" s="46"/>
      <c r="FGH99" s="46"/>
      <c r="FGI99" s="46"/>
      <c r="FGJ99" s="46"/>
      <c r="FGK99" s="46"/>
      <c r="FGL99" s="46"/>
      <c r="FGM99" s="46"/>
      <c r="FGN99" s="46"/>
      <c r="FGO99" s="46"/>
      <c r="FGP99" s="46"/>
      <c r="FGQ99" s="46"/>
      <c r="FGR99" s="46"/>
      <c r="FGS99" s="46"/>
      <c r="FGT99" s="46"/>
      <c r="FGU99" s="46"/>
      <c r="FGV99" s="46"/>
      <c r="FGW99" s="46"/>
      <c r="FGX99" s="46"/>
      <c r="FGY99" s="46"/>
      <c r="FGZ99" s="46"/>
      <c r="FHA99" s="46"/>
      <c r="FHB99" s="46"/>
      <c r="FHC99" s="46"/>
      <c r="FHD99" s="46"/>
      <c r="FHE99" s="46"/>
      <c r="FHF99" s="46"/>
      <c r="FHG99" s="46"/>
      <c r="FHH99" s="46"/>
      <c r="FHI99" s="46"/>
      <c r="FHJ99" s="46"/>
      <c r="FHK99" s="46"/>
      <c r="FHL99" s="46"/>
      <c r="FHM99" s="46"/>
      <c r="FHN99" s="46"/>
      <c r="FHO99" s="46"/>
      <c r="FHP99" s="46"/>
      <c r="FHQ99" s="46"/>
      <c r="FHR99" s="46"/>
      <c r="FHS99" s="46"/>
      <c r="FHT99" s="46"/>
      <c r="FHU99" s="46"/>
      <c r="FHV99" s="46"/>
      <c r="FHW99" s="46"/>
      <c r="FHX99" s="46"/>
      <c r="FHY99" s="46"/>
      <c r="FHZ99" s="46"/>
      <c r="FIA99" s="46"/>
      <c r="FIB99" s="46"/>
      <c r="FIC99" s="46"/>
      <c r="FID99" s="46"/>
      <c r="FIE99" s="46"/>
      <c r="FIF99" s="46"/>
      <c r="FIG99" s="46"/>
      <c r="FIH99" s="46"/>
      <c r="FII99" s="46"/>
      <c r="FIJ99" s="46"/>
      <c r="FIK99" s="46"/>
      <c r="FIL99" s="46"/>
      <c r="FIM99" s="46"/>
      <c r="FIN99" s="46"/>
      <c r="FIO99" s="46"/>
      <c r="FIP99" s="46"/>
      <c r="FIQ99" s="46"/>
      <c r="FIR99" s="46"/>
      <c r="FIS99" s="46"/>
      <c r="FIT99" s="46"/>
      <c r="FIU99" s="46"/>
      <c r="FIV99" s="46"/>
      <c r="FIW99" s="46"/>
      <c r="FIX99" s="46"/>
      <c r="FIY99" s="46"/>
      <c r="FIZ99" s="46"/>
      <c r="FJA99" s="46"/>
      <c r="FJB99" s="46"/>
      <c r="FJC99" s="46"/>
      <c r="FJD99" s="46"/>
      <c r="FJE99" s="46"/>
      <c r="FJF99" s="46"/>
      <c r="FJG99" s="46"/>
      <c r="FJH99" s="46"/>
      <c r="FJI99" s="46"/>
      <c r="FJJ99" s="46"/>
      <c r="FJK99" s="46"/>
      <c r="FJL99" s="46"/>
      <c r="FJM99" s="46"/>
      <c r="FJN99" s="46"/>
      <c r="FJO99" s="46"/>
      <c r="FJP99" s="46"/>
      <c r="FJQ99" s="46"/>
      <c r="FJR99" s="46"/>
      <c r="FJS99" s="46"/>
      <c r="FJT99" s="46"/>
      <c r="FJU99" s="46"/>
      <c r="FJV99" s="46"/>
      <c r="FJW99" s="46"/>
      <c r="FJX99" s="46"/>
      <c r="FJY99" s="46"/>
      <c r="FJZ99" s="46"/>
      <c r="FKA99" s="46"/>
      <c r="FKB99" s="46"/>
      <c r="FKC99" s="46"/>
      <c r="FKD99" s="46"/>
      <c r="FKE99" s="46"/>
      <c r="FKF99" s="46"/>
      <c r="FKG99" s="46"/>
      <c r="FKH99" s="46"/>
      <c r="FKI99" s="46"/>
      <c r="FKJ99" s="46"/>
      <c r="FKK99" s="46"/>
      <c r="FKL99" s="46"/>
      <c r="FKM99" s="46"/>
      <c r="FKN99" s="46"/>
      <c r="FKO99" s="46"/>
      <c r="FKP99" s="46"/>
      <c r="FKQ99" s="46"/>
      <c r="FKR99" s="46"/>
      <c r="FKS99" s="46"/>
      <c r="FKT99" s="46"/>
      <c r="FKU99" s="46"/>
      <c r="FKV99" s="46"/>
      <c r="FKW99" s="46"/>
      <c r="FKX99" s="46"/>
      <c r="FKY99" s="46"/>
      <c r="FKZ99" s="46"/>
      <c r="FLA99" s="46"/>
      <c r="FLB99" s="46"/>
      <c r="FLC99" s="46"/>
      <c r="FLD99" s="46"/>
      <c r="FLE99" s="46"/>
      <c r="FLF99" s="46"/>
      <c r="FLG99" s="46"/>
      <c r="FLH99" s="46"/>
      <c r="FLI99" s="46"/>
      <c r="FLJ99" s="46"/>
      <c r="FLK99" s="46"/>
      <c r="FLL99" s="46"/>
      <c r="FLM99" s="46"/>
      <c r="FLN99" s="46"/>
      <c r="FLO99" s="46"/>
      <c r="FLP99" s="46"/>
      <c r="FLQ99" s="46"/>
      <c r="FLR99" s="46"/>
      <c r="FLS99" s="46"/>
      <c r="FLT99" s="46"/>
      <c r="FLU99" s="46"/>
      <c r="FLV99" s="46"/>
      <c r="FLW99" s="46"/>
      <c r="FLX99" s="46"/>
      <c r="FLY99" s="46"/>
      <c r="FLZ99" s="46"/>
      <c r="FMA99" s="46"/>
      <c r="FMB99" s="46"/>
      <c r="FMC99" s="46"/>
      <c r="FMD99" s="46"/>
      <c r="FME99" s="46"/>
      <c r="FMF99" s="46"/>
      <c r="FMG99" s="46"/>
      <c r="FMH99" s="46"/>
      <c r="FMI99" s="46"/>
      <c r="FMJ99" s="46"/>
      <c r="FMK99" s="46"/>
      <c r="FML99" s="46"/>
      <c r="FMM99" s="46"/>
      <c r="FMN99" s="46"/>
      <c r="FMO99" s="46"/>
      <c r="FMP99" s="46"/>
      <c r="FMQ99" s="46"/>
      <c r="FMR99" s="46"/>
      <c r="FMS99" s="46"/>
      <c r="FMT99" s="46"/>
      <c r="FMU99" s="46"/>
      <c r="FMV99" s="46"/>
      <c r="FMW99" s="46"/>
      <c r="FMX99" s="46"/>
      <c r="FMY99" s="46"/>
      <c r="FMZ99" s="46"/>
      <c r="FNA99" s="46"/>
      <c r="FNB99" s="46"/>
      <c r="FNC99" s="46"/>
      <c r="FND99" s="46"/>
      <c r="FNE99" s="46"/>
      <c r="FNF99" s="46"/>
      <c r="FNG99" s="46"/>
      <c r="FNH99" s="46"/>
      <c r="FNI99" s="46"/>
      <c r="FNJ99" s="46"/>
      <c r="FNK99" s="46"/>
      <c r="FNL99" s="46"/>
      <c r="FNM99" s="46"/>
      <c r="FNN99" s="46"/>
      <c r="FNO99" s="46"/>
      <c r="FNP99" s="46"/>
      <c r="FNQ99" s="46"/>
      <c r="FNR99" s="46"/>
      <c r="FNS99" s="46"/>
      <c r="FNT99" s="46"/>
      <c r="FNU99" s="46"/>
      <c r="FNV99" s="46"/>
      <c r="FNW99" s="46"/>
      <c r="FNX99" s="46"/>
      <c r="FNY99" s="46"/>
      <c r="FNZ99" s="46"/>
      <c r="FOA99" s="46"/>
      <c r="FOB99" s="46"/>
      <c r="FOC99" s="46"/>
      <c r="FOD99" s="46"/>
      <c r="FOE99" s="46"/>
      <c r="FOF99" s="46"/>
      <c r="FOG99" s="46"/>
      <c r="FOH99" s="46"/>
      <c r="FOI99" s="46"/>
      <c r="FOJ99" s="46"/>
      <c r="FOK99" s="46"/>
      <c r="FOL99" s="46"/>
      <c r="FOM99" s="46"/>
      <c r="FON99" s="46"/>
      <c r="FOO99" s="46"/>
      <c r="FOP99" s="46"/>
      <c r="FOQ99" s="46"/>
      <c r="FOR99" s="46"/>
      <c r="FOS99" s="46"/>
      <c r="FOT99" s="46"/>
      <c r="FOU99" s="46"/>
      <c r="FOV99" s="46"/>
      <c r="FOW99" s="46"/>
      <c r="FOX99" s="46"/>
      <c r="FOY99" s="46"/>
      <c r="FOZ99" s="46"/>
      <c r="FPA99" s="46"/>
      <c r="FPB99" s="46"/>
      <c r="FPC99" s="46"/>
      <c r="FPD99" s="46"/>
      <c r="FPE99" s="46"/>
      <c r="FPF99" s="46"/>
      <c r="FPG99" s="46"/>
      <c r="FPH99" s="46"/>
      <c r="FPI99" s="46"/>
      <c r="FPJ99" s="46"/>
      <c r="FPK99" s="46"/>
      <c r="FPL99" s="46"/>
      <c r="FPM99" s="46"/>
      <c r="FPN99" s="46"/>
      <c r="FPO99" s="46"/>
      <c r="FPP99" s="46"/>
      <c r="FPQ99" s="46"/>
      <c r="FPR99" s="46"/>
      <c r="FPS99" s="46"/>
      <c r="FPT99" s="46"/>
      <c r="FPU99" s="46"/>
      <c r="FPV99" s="46"/>
      <c r="FPW99" s="46"/>
      <c r="FPX99" s="46"/>
      <c r="FPY99" s="46"/>
      <c r="FPZ99" s="46"/>
      <c r="FQA99" s="46"/>
      <c r="FQB99" s="46"/>
      <c r="FQC99" s="46"/>
      <c r="FQD99" s="46"/>
      <c r="FQE99" s="46"/>
      <c r="FQF99" s="46"/>
      <c r="FQG99" s="46"/>
      <c r="FQH99" s="46"/>
      <c r="FQI99" s="46"/>
      <c r="FQJ99" s="46"/>
      <c r="FQK99" s="46"/>
      <c r="FQL99" s="46"/>
      <c r="FQM99" s="46"/>
      <c r="FQN99" s="46"/>
      <c r="FQO99" s="46"/>
      <c r="FQP99" s="46"/>
      <c r="FQQ99" s="46"/>
      <c r="FQR99" s="46"/>
      <c r="FQS99" s="46"/>
      <c r="FQT99" s="46"/>
      <c r="FQU99" s="46"/>
      <c r="FQV99" s="46"/>
      <c r="FQW99" s="46"/>
      <c r="FQX99" s="46"/>
      <c r="FQY99" s="46"/>
      <c r="FQZ99" s="46"/>
      <c r="FRA99" s="46"/>
      <c r="FRB99" s="46"/>
      <c r="FRC99" s="46"/>
      <c r="FRD99" s="46"/>
      <c r="FRE99" s="46"/>
      <c r="FRF99" s="46"/>
      <c r="FRG99" s="46"/>
      <c r="FRH99" s="46"/>
      <c r="FRI99" s="46"/>
      <c r="FRJ99" s="46"/>
      <c r="FRK99" s="46"/>
      <c r="FRL99" s="46"/>
      <c r="FRM99" s="46"/>
      <c r="FRN99" s="46"/>
      <c r="FRO99" s="46"/>
      <c r="FRP99" s="46"/>
      <c r="FRQ99" s="46"/>
      <c r="FRR99" s="46"/>
      <c r="FRS99" s="46"/>
      <c r="FRT99" s="46"/>
      <c r="FRU99" s="46"/>
      <c r="FRV99" s="46"/>
      <c r="FRW99" s="46"/>
      <c r="FRX99" s="46"/>
      <c r="FRY99" s="46"/>
      <c r="FRZ99" s="46"/>
      <c r="FSA99" s="46"/>
      <c r="FSB99" s="46"/>
      <c r="FSC99" s="46"/>
      <c r="FSD99" s="46"/>
      <c r="FSE99" s="46"/>
      <c r="FSF99" s="46"/>
      <c r="FSG99" s="46"/>
      <c r="FSH99" s="46"/>
      <c r="FSI99" s="46"/>
      <c r="FSJ99" s="46"/>
      <c r="FSK99" s="46"/>
      <c r="FSL99" s="46"/>
      <c r="FSM99" s="46"/>
      <c r="FSN99" s="46"/>
      <c r="FSO99" s="46"/>
      <c r="FSP99" s="46"/>
      <c r="FSQ99" s="46"/>
      <c r="FSR99" s="46"/>
      <c r="FSS99" s="46"/>
      <c r="FST99" s="46"/>
      <c r="FSU99" s="46"/>
      <c r="FSV99" s="46"/>
      <c r="FSW99" s="46"/>
      <c r="FSX99" s="46"/>
      <c r="FSY99" s="46"/>
      <c r="FSZ99" s="46"/>
      <c r="FTA99" s="46"/>
      <c r="FTB99" s="46"/>
      <c r="FTC99" s="46"/>
      <c r="FTD99" s="46"/>
      <c r="FTE99" s="46"/>
      <c r="FTF99" s="46"/>
      <c r="FTG99" s="46"/>
      <c r="FTH99" s="46"/>
      <c r="FTI99" s="46"/>
      <c r="FTJ99" s="46"/>
      <c r="FTK99" s="46"/>
      <c r="FTL99" s="46"/>
      <c r="FTM99" s="46"/>
      <c r="FTN99" s="46"/>
      <c r="FTO99" s="46"/>
      <c r="FTP99" s="46"/>
      <c r="FTQ99" s="46"/>
      <c r="FTR99" s="46"/>
      <c r="FTS99" s="46"/>
      <c r="FTT99" s="46"/>
      <c r="FTU99" s="46"/>
      <c r="FTV99" s="46"/>
      <c r="FTW99" s="46"/>
      <c r="FTX99" s="46"/>
      <c r="FTY99" s="46"/>
      <c r="FTZ99" s="46"/>
      <c r="FUA99" s="46"/>
      <c r="FUB99" s="46"/>
      <c r="FUC99" s="46"/>
      <c r="FUD99" s="46"/>
      <c r="FUE99" s="46"/>
      <c r="FUF99" s="46"/>
      <c r="FUG99" s="46"/>
      <c r="FUH99" s="46"/>
      <c r="FUI99" s="46"/>
      <c r="FUJ99" s="46"/>
      <c r="FUK99" s="46"/>
      <c r="FUL99" s="46"/>
      <c r="FUM99" s="46"/>
      <c r="FUN99" s="46"/>
      <c r="FUO99" s="46"/>
      <c r="FUP99" s="46"/>
      <c r="FUQ99" s="46"/>
      <c r="FUR99" s="46"/>
      <c r="FUS99" s="46"/>
      <c r="FUT99" s="46"/>
      <c r="FUU99" s="46"/>
      <c r="FUV99" s="46"/>
      <c r="FUW99" s="46"/>
      <c r="FUX99" s="46"/>
      <c r="FUY99" s="46"/>
      <c r="FUZ99" s="46"/>
      <c r="FVA99" s="46"/>
      <c r="FVB99" s="46"/>
      <c r="FVC99" s="46"/>
      <c r="FVD99" s="46"/>
      <c r="FVE99" s="46"/>
      <c r="FVF99" s="46"/>
      <c r="FVG99" s="46"/>
      <c r="FVH99" s="46"/>
      <c r="FVI99" s="46"/>
      <c r="FVJ99" s="46"/>
      <c r="FVK99" s="46"/>
      <c r="FVL99" s="46"/>
      <c r="FVM99" s="46"/>
      <c r="FVN99" s="46"/>
      <c r="FVO99" s="46"/>
      <c r="FVP99" s="46"/>
      <c r="FVQ99" s="46"/>
      <c r="FVR99" s="46"/>
      <c r="FVS99" s="46"/>
      <c r="FVT99" s="46"/>
      <c r="FVU99" s="46"/>
      <c r="FVV99" s="46"/>
      <c r="FVW99" s="46"/>
      <c r="FVX99" s="46"/>
      <c r="FVY99" s="46"/>
      <c r="FVZ99" s="46"/>
      <c r="FWA99" s="46"/>
      <c r="FWB99" s="46"/>
      <c r="FWC99" s="46"/>
      <c r="FWD99" s="46"/>
      <c r="FWE99" s="46"/>
      <c r="FWF99" s="46"/>
      <c r="FWG99" s="46"/>
      <c r="FWH99" s="46"/>
      <c r="FWI99" s="46"/>
      <c r="FWJ99" s="46"/>
      <c r="FWK99" s="46"/>
      <c r="FWL99" s="46"/>
      <c r="FWM99" s="46"/>
      <c r="FWN99" s="46"/>
      <c r="FWO99" s="46"/>
      <c r="FWP99" s="46"/>
      <c r="FWQ99" s="46"/>
      <c r="FWR99" s="46"/>
      <c r="FWS99" s="46"/>
      <c r="FWT99" s="46"/>
      <c r="FWU99" s="46"/>
      <c r="FWV99" s="46"/>
      <c r="FWW99" s="46"/>
      <c r="FWX99" s="46"/>
      <c r="FWY99" s="46"/>
      <c r="FWZ99" s="46"/>
      <c r="FXA99" s="46"/>
      <c r="FXB99" s="46"/>
      <c r="FXC99" s="46"/>
      <c r="FXD99" s="46"/>
      <c r="FXE99" s="46"/>
      <c r="FXF99" s="46"/>
      <c r="FXG99" s="46"/>
      <c r="FXH99" s="46"/>
      <c r="FXI99" s="46"/>
      <c r="FXJ99" s="46"/>
      <c r="FXK99" s="46"/>
      <c r="FXL99" s="46"/>
      <c r="FXM99" s="46"/>
      <c r="FXN99" s="46"/>
      <c r="FXO99" s="46"/>
      <c r="FXP99" s="46"/>
      <c r="FXQ99" s="46"/>
      <c r="FXR99" s="46"/>
      <c r="FXS99" s="46"/>
      <c r="FXT99" s="46"/>
      <c r="FXU99" s="46"/>
      <c r="FXV99" s="46"/>
      <c r="FXW99" s="46"/>
      <c r="FXX99" s="46"/>
      <c r="FXY99" s="46"/>
      <c r="FXZ99" s="46"/>
      <c r="FYA99" s="46"/>
      <c r="FYB99" s="46"/>
      <c r="FYC99" s="46"/>
      <c r="FYD99" s="46"/>
      <c r="FYE99" s="46"/>
      <c r="FYF99" s="46"/>
      <c r="FYG99" s="46"/>
      <c r="FYH99" s="46"/>
      <c r="FYI99" s="46"/>
      <c r="FYJ99" s="46"/>
      <c r="FYK99" s="46"/>
      <c r="FYL99" s="46"/>
      <c r="FYM99" s="46"/>
      <c r="FYN99" s="46"/>
      <c r="FYO99" s="46"/>
      <c r="FYP99" s="46"/>
      <c r="FYQ99" s="46"/>
      <c r="FYR99" s="46"/>
      <c r="FYS99" s="46"/>
      <c r="FYT99" s="46"/>
      <c r="FYU99" s="46"/>
      <c r="FYV99" s="46"/>
      <c r="FYW99" s="46"/>
      <c r="FYX99" s="46"/>
      <c r="FYY99" s="46"/>
      <c r="FYZ99" s="46"/>
      <c r="FZA99" s="46"/>
      <c r="FZB99" s="46"/>
      <c r="FZC99" s="46"/>
      <c r="FZD99" s="46"/>
      <c r="FZE99" s="46"/>
      <c r="FZF99" s="46"/>
      <c r="FZG99" s="46"/>
      <c r="FZH99" s="46"/>
      <c r="FZI99" s="46"/>
      <c r="FZJ99" s="46"/>
      <c r="FZK99" s="46"/>
      <c r="FZL99" s="46"/>
      <c r="FZM99" s="46"/>
      <c r="FZN99" s="46"/>
      <c r="FZO99" s="46"/>
      <c r="FZP99" s="46"/>
      <c r="FZQ99" s="46"/>
      <c r="FZR99" s="46"/>
      <c r="FZS99" s="46"/>
      <c r="FZT99" s="46"/>
      <c r="FZU99" s="46"/>
      <c r="FZV99" s="46"/>
      <c r="FZW99" s="46"/>
      <c r="FZX99" s="46"/>
      <c r="FZY99" s="46"/>
      <c r="FZZ99" s="46"/>
      <c r="GAA99" s="46"/>
      <c r="GAB99" s="46"/>
      <c r="GAC99" s="46"/>
      <c r="GAD99" s="46"/>
      <c r="GAE99" s="46"/>
      <c r="GAF99" s="46"/>
      <c r="GAG99" s="46"/>
      <c r="GAH99" s="46"/>
      <c r="GAI99" s="46"/>
      <c r="GAJ99" s="46"/>
      <c r="GAK99" s="46"/>
      <c r="GAL99" s="46"/>
      <c r="GAM99" s="46"/>
      <c r="GAN99" s="46"/>
      <c r="GAO99" s="46"/>
      <c r="GAP99" s="46"/>
      <c r="GAQ99" s="46"/>
      <c r="GAR99" s="46"/>
      <c r="GAS99" s="46"/>
      <c r="GAT99" s="46"/>
      <c r="GAU99" s="46"/>
      <c r="GAV99" s="46"/>
      <c r="GAW99" s="46"/>
      <c r="GAX99" s="46"/>
      <c r="GAY99" s="46"/>
      <c r="GAZ99" s="46"/>
      <c r="GBA99" s="46"/>
      <c r="GBB99" s="46"/>
      <c r="GBC99" s="46"/>
      <c r="GBD99" s="46"/>
      <c r="GBE99" s="46"/>
      <c r="GBF99" s="46"/>
      <c r="GBG99" s="46"/>
      <c r="GBH99" s="46"/>
      <c r="GBI99" s="46"/>
      <c r="GBJ99" s="46"/>
      <c r="GBK99" s="46"/>
      <c r="GBL99" s="46"/>
      <c r="GBM99" s="46"/>
      <c r="GBN99" s="46"/>
      <c r="GBO99" s="46"/>
      <c r="GBP99" s="46"/>
      <c r="GBQ99" s="46"/>
      <c r="GBR99" s="46"/>
      <c r="GBS99" s="46"/>
      <c r="GBT99" s="46"/>
      <c r="GBU99" s="46"/>
      <c r="GBV99" s="46"/>
      <c r="GBW99" s="46"/>
      <c r="GBX99" s="46"/>
      <c r="GBY99" s="46"/>
      <c r="GBZ99" s="46"/>
      <c r="GCA99" s="46"/>
      <c r="GCB99" s="46"/>
      <c r="GCC99" s="46"/>
      <c r="GCD99" s="46"/>
      <c r="GCE99" s="46"/>
      <c r="GCF99" s="46"/>
      <c r="GCG99" s="46"/>
      <c r="GCH99" s="46"/>
      <c r="GCI99" s="46"/>
      <c r="GCJ99" s="46"/>
      <c r="GCK99" s="46"/>
      <c r="GCL99" s="46"/>
      <c r="GCM99" s="46"/>
      <c r="GCN99" s="46"/>
      <c r="GCO99" s="46"/>
      <c r="GCP99" s="46"/>
      <c r="GCQ99" s="46"/>
      <c r="GCR99" s="46"/>
      <c r="GCS99" s="46"/>
      <c r="GCT99" s="46"/>
      <c r="GCU99" s="46"/>
      <c r="GCV99" s="46"/>
      <c r="GCW99" s="46"/>
      <c r="GCX99" s="46"/>
      <c r="GCY99" s="46"/>
      <c r="GCZ99" s="46"/>
      <c r="GDA99" s="46"/>
      <c r="GDB99" s="46"/>
      <c r="GDC99" s="46"/>
      <c r="GDD99" s="46"/>
      <c r="GDE99" s="46"/>
      <c r="GDF99" s="46"/>
      <c r="GDG99" s="46"/>
      <c r="GDH99" s="46"/>
      <c r="GDI99" s="46"/>
      <c r="GDJ99" s="46"/>
      <c r="GDK99" s="46"/>
      <c r="GDL99" s="46"/>
      <c r="GDM99" s="46"/>
      <c r="GDN99" s="46"/>
      <c r="GDO99" s="46"/>
      <c r="GDP99" s="46"/>
      <c r="GDQ99" s="46"/>
      <c r="GDR99" s="46"/>
      <c r="GDS99" s="46"/>
      <c r="GDT99" s="46"/>
      <c r="GDU99" s="46"/>
      <c r="GDV99" s="46"/>
      <c r="GDW99" s="46"/>
      <c r="GDX99" s="46"/>
      <c r="GDY99" s="46"/>
      <c r="GDZ99" s="46"/>
      <c r="GEA99" s="46"/>
      <c r="GEB99" s="46"/>
      <c r="GEC99" s="46"/>
      <c r="GED99" s="46"/>
      <c r="GEE99" s="46"/>
      <c r="GEF99" s="46"/>
      <c r="GEG99" s="46"/>
      <c r="GEH99" s="46"/>
      <c r="GEI99" s="46"/>
      <c r="GEJ99" s="46"/>
      <c r="GEK99" s="46"/>
      <c r="GEL99" s="46"/>
      <c r="GEM99" s="46"/>
      <c r="GEN99" s="46"/>
      <c r="GEO99" s="46"/>
      <c r="GEP99" s="46"/>
      <c r="GEQ99" s="46"/>
      <c r="GER99" s="46"/>
      <c r="GES99" s="46"/>
      <c r="GET99" s="46"/>
      <c r="GEU99" s="46"/>
      <c r="GEV99" s="46"/>
      <c r="GEW99" s="46"/>
      <c r="GEX99" s="46"/>
      <c r="GEY99" s="46"/>
      <c r="GEZ99" s="46"/>
      <c r="GFA99" s="46"/>
      <c r="GFB99" s="46"/>
      <c r="GFC99" s="46"/>
      <c r="GFD99" s="46"/>
      <c r="GFE99" s="46"/>
      <c r="GFF99" s="46"/>
      <c r="GFG99" s="46"/>
      <c r="GFH99" s="46"/>
      <c r="GFI99" s="46"/>
      <c r="GFJ99" s="46"/>
      <c r="GFK99" s="46"/>
      <c r="GFL99" s="46"/>
      <c r="GFM99" s="46"/>
      <c r="GFN99" s="46"/>
      <c r="GFO99" s="46"/>
      <c r="GFP99" s="46"/>
      <c r="GFQ99" s="46"/>
      <c r="GFR99" s="46"/>
      <c r="GFS99" s="46"/>
      <c r="GFT99" s="46"/>
      <c r="GFU99" s="46"/>
      <c r="GFV99" s="46"/>
      <c r="GFW99" s="46"/>
      <c r="GFX99" s="46"/>
      <c r="GFY99" s="46"/>
      <c r="GFZ99" s="46"/>
      <c r="GGA99" s="46"/>
      <c r="GGB99" s="46"/>
      <c r="GGC99" s="46"/>
      <c r="GGD99" s="46"/>
      <c r="GGE99" s="46"/>
      <c r="GGF99" s="46"/>
      <c r="GGG99" s="46"/>
      <c r="GGH99" s="46"/>
      <c r="GGI99" s="46"/>
      <c r="GGJ99" s="46"/>
      <c r="GGK99" s="46"/>
      <c r="GGL99" s="46"/>
      <c r="GGM99" s="46"/>
      <c r="GGN99" s="46"/>
      <c r="GGO99" s="46"/>
      <c r="GGP99" s="46"/>
      <c r="GGQ99" s="46"/>
      <c r="GGR99" s="46"/>
      <c r="GGS99" s="46"/>
      <c r="GGT99" s="46"/>
      <c r="GGU99" s="46"/>
      <c r="GGV99" s="46"/>
      <c r="GGW99" s="46"/>
      <c r="GGX99" s="46"/>
      <c r="GGY99" s="46"/>
      <c r="GGZ99" s="46"/>
      <c r="GHA99" s="46"/>
      <c r="GHB99" s="46"/>
      <c r="GHC99" s="46"/>
      <c r="GHD99" s="46"/>
      <c r="GHE99" s="46"/>
      <c r="GHF99" s="46"/>
      <c r="GHG99" s="46"/>
      <c r="GHH99" s="46"/>
      <c r="GHI99" s="46"/>
      <c r="GHJ99" s="46"/>
      <c r="GHK99" s="46"/>
      <c r="GHL99" s="46"/>
      <c r="GHM99" s="46"/>
      <c r="GHN99" s="46"/>
      <c r="GHO99" s="46"/>
      <c r="GHP99" s="46"/>
      <c r="GHQ99" s="46"/>
      <c r="GHR99" s="46"/>
      <c r="GHS99" s="46"/>
      <c r="GHT99" s="46"/>
      <c r="GHU99" s="46"/>
      <c r="GHV99" s="46"/>
      <c r="GHW99" s="46"/>
      <c r="GHX99" s="46"/>
      <c r="GHY99" s="46"/>
      <c r="GHZ99" s="46"/>
      <c r="GIA99" s="46"/>
      <c r="GIB99" s="46"/>
      <c r="GIC99" s="46"/>
      <c r="GID99" s="46"/>
      <c r="GIE99" s="46"/>
      <c r="GIF99" s="46"/>
      <c r="GIG99" s="46"/>
      <c r="GIH99" s="46"/>
      <c r="GII99" s="46"/>
      <c r="GIJ99" s="46"/>
      <c r="GIK99" s="46"/>
      <c r="GIL99" s="46"/>
      <c r="GIM99" s="46"/>
      <c r="GIN99" s="46"/>
      <c r="GIO99" s="46"/>
      <c r="GIP99" s="46"/>
      <c r="GIQ99" s="46"/>
      <c r="GIR99" s="46"/>
      <c r="GIS99" s="46"/>
      <c r="GIT99" s="46"/>
      <c r="GIU99" s="46"/>
      <c r="GIV99" s="46"/>
      <c r="GIW99" s="46"/>
      <c r="GIX99" s="46"/>
      <c r="GIY99" s="46"/>
      <c r="GIZ99" s="46"/>
      <c r="GJA99" s="46"/>
      <c r="GJB99" s="46"/>
      <c r="GJC99" s="46"/>
      <c r="GJD99" s="46"/>
      <c r="GJE99" s="46"/>
      <c r="GJF99" s="46"/>
      <c r="GJG99" s="46"/>
      <c r="GJH99" s="46"/>
      <c r="GJI99" s="46"/>
      <c r="GJJ99" s="46"/>
      <c r="GJK99" s="46"/>
      <c r="GJL99" s="46"/>
      <c r="GJM99" s="46"/>
      <c r="GJN99" s="46"/>
      <c r="GJO99" s="46"/>
      <c r="GJP99" s="46"/>
      <c r="GJQ99" s="46"/>
      <c r="GJR99" s="46"/>
      <c r="GJS99" s="46"/>
      <c r="GJT99" s="46"/>
      <c r="GJU99" s="46"/>
      <c r="GJV99" s="46"/>
      <c r="GJW99" s="46"/>
      <c r="GJX99" s="46"/>
      <c r="GJY99" s="46"/>
      <c r="GJZ99" s="46"/>
      <c r="GKA99" s="46"/>
      <c r="GKB99" s="46"/>
      <c r="GKC99" s="46"/>
      <c r="GKD99" s="46"/>
      <c r="GKE99" s="46"/>
      <c r="GKF99" s="46"/>
      <c r="GKG99" s="46"/>
      <c r="GKH99" s="46"/>
      <c r="GKI99" s="46"/>
      <c r="GKJ99" s="46"/>
      <c r="GKK99" s="46"/>
      <c r="GKL99" s="46"/>
      <c r="GKM99" s="46"/>
      <c r="GKN99" s="46"/>
      <c r="GKO99" s="46"/>
      <c r="GKP99" s="46"/>
      <c r="GKQ99" s="46"/>
      <c r="GKR99" s="46"/>
      <c r="GKS99" s="46"/>
      <c r="GKT99" s="46"/>
      <c r="GKU99" s="46"/>
      <c r="GKV99" s="46"/>
      <c r="GKW99" s="46"/>
      <c r="GKX99" s="46"/>
      <c r="GKY99" s="46"/>
      <c r="GKZ99" s="46"/>
      <c r="GLA99" s="46"/>
      <c r="GLB99" s="46"/>
      <c r="GLC99" s="46"/>
      <c r="GLD99" s="46"/>
      <c r="GLE99" s="46"/>
      <c r="GLF99" s="46"/>
      <c r="GLG99" s="46"/>
      <c r="GLH99" s="46"/>
      <c r="GLI99" s="46"/>
      <c r="GLJ99" s="46"/>
      <c r="GLK99" s="46"/>
      <c r="GLL99" s="46"/>
      <c r="GLM99" s="46"/>
      <c r="GLN99" s="46"/>
      <c r="GLO99" s="46"/>
      <c r="GLP99" s="46"/>
      <c r="GLQ99" s="46"/>
      <c r="GLR99" s="46"/>
      <c r="GLS99" s="46"/>
      <c r="GLT99" s="46"/>
      <c r="GLU99" s="46"/>
      <c r="GLV99" s="46"/>
      <c r="GLW99" s="46"/>
      <c r="GLX99" s="46"/>
      <c r="GLY99" s="46"/>
      <c r="GLZ99" s="46"/>
      <c r="GMA99" s="46"/>
      <c r="GMB99" s="46"/>
      <c r="GMC99" s="46"/>
      <c r="GMD99" s="46"/>
      <c r="GME99" s="46"/>
      <c r="GMF99" s="46"/>
      <c r="GMG99" s="46"/>
      <c r="GMH99" s="46"/>
      <c r="GMI99" s="46"/>
      <c r="GMJ99" s="46"/>
      <c r="GMK99" s="46"/>
      <c r="GML99" s="46"/>
      <c r="GMM99" s="46"/>
      <c r="GMN99" s="46"/>
      <c r="GMO99" s="46"/>
      <c r="GMP99" s="46"/>
      <c r="GMQ99" s="46"/>
      <c r="GMR99" s="46"/>
      <c r="GMS99" s="46"/>
      <c r="GMT99" s="46"/>
      <c r="GMU99" s="46"/>
      <c r="GMV99" s="46"/>
      <c r="GMW99" s="46"/>
      <c r="GMX99" s="46"/>
      <c r="GMY99" s="46"/>
      <c r="GMZ99" s="46"/>
      <c r="GNA99" s="46"/>
      <c r="GNB99" s="46"/>
      <c r="GNC99" s="46"/>
      <c r="GND99" s="46"/>
      <c r="GNE99" s="46"/>
      <c r="GNF99" s="46"/>
      <c r="GNG99" s="46"/>
      <c r="GNH99" s="46"/>
      <c r="GNI99" s="46"/>
      <c r="GNJ99" s="46"/>
      <c r="GNK99" s="46"/>
      <c r="GNL99" s="46"/>
      <c r="GNM99" s="46"/>
      <c r="GNN99" s="46"/>
      <c r="GNO99" s="46"/>
      <c r="GNP99" s="46"/>
      <c r="GNQ99" s="46"/>
      <c r="GNR99" s="46"/>
      <c r="GNS99" s="46"/>
      <c r="GNT99" s="46"/>
      <c r="GNU99" s="46"/>
      <c r="GNV99" s="46"/>
      <c r="GNW99" s="46"/>
      <c r="GNX99" s="46"/>
      <c r="GNY99" s="46"/>
      <c r="GNZ99" s="46"/>
      <c r="GOA99" s="46"/>
      <c r="GOB99" s="46"/>
      <c r="GOC99" s="46"/>
      <c r="GOD99" s="46"/>
      <c r="GOE99" s="46"/>
      <c r="GOF99" s="46"/>
      <c r="GOG99" s="46"/>
      <c r="GOH99" s="46"/>
      <c r="GOI99" s="46"/>
      <c r="GOJ99" s="46"/>
      <c r="GOK99" s="46"/>
      <c r="GOL99" s="46"/>
      <c r="GOM99" s="46"/>
      <c r="GON99" s="46"/>
      <c r="GOO99" s="46"/>
      <c r="GOP99" s="46"/>
      <c r="GOQ99" s="46"/>
      <c r="GOR99" s="46"/>
      <c r="GOS99" s="46"/>
      <c r="GOT99" s="46"/>
      <c r="GOU99" s="46"/>
      <c r="GOV99" s="46"/>
      <c r="GOW99" s="46"/>
      <c r="GOX99" s="46"/>
      <c r="GOY99" s="46"/>
      <c r="GOZ99" s="46"/>
      <c r="GPA99" s="46"/>
      <c r="GPB99" s="46"/>
      <c r="GPC99" s="46"/>
      <c r="GPD99" s="46"/>
      <c r="GPE99" s="46"/>
      <c r="GPF99" s="46"/>
      <c r="GPG99" s="46"/>
      <c r="GPH99" s="46"/>
      <c r="GPI99" s="46"/>
      <c r="GPJ99" s="46"/>
      <c r="GPK99" s="46"/>
      <c r="GPL99" s="46"/>
      <c r="GPM99" s="46"/>
      <c r="GPN99" s="46"/>
      <c r="GPO99" s="46"/>
      <c r="GPP99" s="46"/>
      <c r="GPQ99" s="46"/>
      <c r="GPR99" s="46"/>
      <c r="GPS99" s="46"/>
      <c r="GPT99" s="46"/>
      <c r="GPU99" s="46"/>
      <c r="GPV99" s="46"/>
      <c r="GPW99" s="46"/>
      <c r="GPX99" s="46"/>
      <c r="GPY99" s="46"/>
      <c r="GPZ99" s="46"/>
      <c r="GQA99" s="46"/>
      <c r="GQB99" s="46"/>
      <c r="GQC99" s="46"/>
      <c r="GQD99" s="46"/>
      <c r="GQE99" s="46"/>
      <c r="GQF99" s="46"/>
      <c r="GQG99" s="46"/>
      <c r="GQH99" s="46"/>
      <c r="GQI99" s="46"/>
      <c r="GQJ99" s="46"/>
      <c r="GQK99" s="46"/>
      <c r="GQL99" s="46"/>
      <c r="GQM99" s="46"/>
      <c r="GQN99" s="46"/>
      <c r="GQO99" s="46"/>
      <c r="GQP99" s="46"/>
      <c r="GQQ99" s="46"/>
      <c r="GQR99" s="46"/>
      <c r="GQS99" s="46"/>
      <c r="GQT99" s="46"/>
      <c r="GQU99" s="46"/>
      <c r="GQV99" s="46"/>
      <c r="GQW99" s="46"/>
      <c r="GQX99" s="46"/>
      <c r="GQY99" s="46"/>
      <c r="GQZ99" s="46"/>
      <c r="GRA99" s="46"/>
      <c r="GRB99" s="46"/>
      <c r="GRC99" s="46"/>
      <c r="GRD99" s="46"/>
      <c r="GRE99" s="46"/>
      <c r="GRF99" s="46"/>
      <c r="GRG99" s="46"/>
      <c r="GRH99" s="46"/>
      <c r="GRI99" s="46"/>
      <c r="GRJ99" s="46"/>
      <c r="GRK99" s="46"/>
      <c r="GRL99" s="46"/>
      <c r="GRM99" s="46"/>
      <c r="GRN99" s="46"/>
      <c r="GRO99" s="46"/>
      <c r="GRP99" s="46"/>
      <c r="GRQ99" s="46"/>
      <c r="GRR99" s="46"/>
      <c r="GRS99" s="46"/>
      <c r="GRT99" s="46"/>
      <c r="GRU99" s="46"/>
      <c r="GRV99" s="46"/>
      <c r="GRW99" s="46"/>
      <c r="GRX99" s="46"/>
      <c r="GRY99" s="46"/>
      <c r="GRZ99" s="46"/>
      <c r="GSA99" s="46"/>
      <c r="GSB99" s="46"/>
      <c r="GSC99" s="46"/>
      <c r="GSD99" s="46"/>
      <c r="GSE99" s="46"/>
      <c r="GSF99" s="46"/>
      <c r="GSG99" s="46"/>
      <c r="GSH99" s="46"/>
      <c r="GSI99" s="46"/>
      <c r="GSJ99" s="46"/>
      <c r="GSK99" s="46"/>
      <c r="GSL99" s="46"/>
      <c r="GSM99" s="46"/>
      <c r="GSN99" s="46"/>
      <c r="GSO99" s="46"/>
      <c r="GSP99" s="46"/>
      <c r="GSQ99" s="46"/>
      <c r="GSR99" s="46"/>
      <c r="GSS99" s="46"/>
      <c r="GST99" s="46"/>
      <c r="GSU99" s="46"/>
      <c r="GSV99" s="46"/>
      <c r="GSW99" s="46"/>
      <c r="GSX99" s="46"/>
      <c r="GSY99" s="46"/>
      <c r="GSZ99" s="46"/>
      <c r="GTA99" s="46"/>
      <c r="GTB99" s="46"/>
      <c r="GTC99" s="46"/>
      <c r="GTD99" s="46"/>
      <c r="GTE99" s="46"/>
      <c r="GTF99" s="46"/>
      <c r="GTG99" s="46"/>
      <c r="GTH99" s="46"/>
      <c r="GTI99" s="46"/>
      <c r="GTJ99" s="46"/>
      <c r="GTK99" s="46"/>
      <c r="GTL99" s="46"/>
      <c r="GTM99" s="46"/>
      <c r="GTN99" s="46"/>
      <c r="GTO99" s="46"/>
      <c r="GTP99" s="46"/>
      <c r="GTQ99" s="46"/>
      <c r="GTR99" s="46"/>
      <c r="GTS99" s="46"/>
      <c r="GTT99" s="46"/>
      <c r="GTU99" s="46"/>
      <c r="GTV99" s="46"/>
      <c r="GTW99" s="46"/>
      <c r="GTX99" s="46"/>
      <c r="GTY99" s="46"/>
      <c r="GTZ99" s="46"/>
      <c r="GUA99" s="46"/>
      <c r="GUB99" s="46"/>
      <c r="GUC99" s="46"/>
      <c r="GUD99" s="46"/>
      <c r="GUE99" s="46"/>
      <c r="GUF99" s="46"/>
      <c r="GUG99" s="46"/>
      <c r="GUH99" s="46"/>
      <c r="GUI99" s="46"/>
      <c r="GUJ99" s="46"/>
      <c r="GUK99" s="46"/>
      <c r="GUL99" s="46"/>
      <c r="GUM99" s="46"/>
      <c r="GUN99" s="46"/>
      <c r="GUO99" s="46"/>
      <c r="GUP99" s="46"/>
      <c r="GUQ99" s="46"/>
      <c r="GUR99" s="46"/>
      <c r="GUS99" s="46"/>
      <c r="GUT99" s="46"/>
      <c r="GUU99" s="46"/>
      <c r="GUV99" s="46"/>
      <c r="GUW99" s="46"/>
      <c r="GUX99" s="46"/>
      <c r="GUY99" s="46"/>
      <c r="GUZ99" s="46"/>
      <c r="GVA99" s="46"/>
      <c r="GVB99" s="46"/>
      <c r="GVC99" s="46"/>
      <c r="GVD99" s="46"/>
      <c r="GVE99" s="46"/>
      <c r="GVF99" s="46"/>
      <c r="GVG99" s="46"/>
      <c r="GVH99" s="46"/>
      <c r="GVI99" s="46"/>
      <c r="GVJ99" s="46"/>
      <c r="GVK99" s="46"/>
      <c r="GVL99" s="46"/>
      <c r="GVM99" s="46"/>
      <c r="GVN99" s="46"/>
      <c r="GVO99" s="46"/>
      <c r="GVP99" s="46"/>
      <c r="GVQ99" s="46"/>
      <c r="GVR99" s="46"/>
      <c r="GVS99" s="46"/>
      <c r="GVT99" s="46"/>
      <c r="GVU99" s="46"/>
      <c r="GVV99" s="46"/>
      <c r="GVW99" s="46"/>
      <c r="GVX99" s="46"/>
      <c r="GVY99" s="46"/>
      <c r="GVZ99" s="46"/>
      <c r="GWA99" s="46"/>
      <c r="GWB99" s="46"/>
      <c r="GWC99" s="46"/>
      <c r="GWD99" s="46"/>
      <c r="GWE99" s="46"/>
      <c r="GWF99" s="46"/>
      <c r="GWG99" s="46"/>
      <c r="GWH99" s="46"/>
      <c r="GWI99" s="46"/>
      <c r="GWJ99" s="46"/>
      <c r="GWK99" s="46"/>
      <c r="GWL99" s="46"/>
      <c r="GWM99" s="46"/>
      <c r="GWN99" s="46"/>
      <c r="GWO99" s="46"/>
      <c r="GWP99" s="46"/>
      <c r="GWQ99" s="46"/>
      <c r="GWR99" s="46"/>
      <c r="GWS99" s="46"/>
      <c r="GWT99" s="46"/>
      <c r="GWU99" s="46"/>
      <c r="GWV99" s="46"/>
      <c r="GWW99" s="46"/>
      <c r="GWX99" s="46"/>
      <c r="GWY99" s="46"/>
      <c r="GWZ99" s="46"/>
      <c r="GXA99" s="46"/>
      <c r="GXB99" s="46"/>
      <c r="GXC99" s="46"/>
      <c r="GXD99" s="46"/>
      <c r="GXE99" s="46"/>
      <c r="GXF99" s="46"/>
      <c r="GXG99" s="46"/>
      <c r="GXH99" s="46"/>
      <c r="GXI99" s="46"/>
      <c r="GXJ99" s="46"/>
      <c r="GXK99" s="46"/>
      <c r="GXL99" s="46"/>
      <c r="GXM99" s="46"/>
      <c r="GXN99" s="46"/>
      <c r="GXO99" s="46"/>
      <c r="GXP99" s="46"/>
      <c r="GXQ99" s="46"/>
      <c r="GXR99" s="46"/>
      <c r="GXS99" s="46"/>
      <c r="GXT99" s="46"/>
      <c r="GXU99" s="46"/>
      <c r="GXV99" s="46"/>
      <c r="GXW99" s="46"/>
      <c r="GXX99" s="46"/>
      <c r="GXY99" s="46"/>
      <c r="GXZ99" s="46"/>
      <c r="GYA99" s="46"/>
      <c r="GYB99" s="46"/>
      <c r="GYC99" s="46"/>
      <c r="GYD99" s="46"/>
      <c r="GYE99" s="46"/>
      <c r="GYF99" s="46"/>
      <c r="GYG99" s="46"/>
      <c r="GYH99" s="46"/>
      <c r="GYI99" s="46"/>
      <c r="GYJ99" s="46"/>
      <c r="GYK99" s="46"/>
      <c r="GYL99" s="46"/>
      <c r="GYM99" s="46"/>
      <c r="GYN99" s="46"/>
      <c r="GYO99" s="46"/>
      <c r="GYP99" s="46"/>
      <c r="GYQ99" s="46"/>
      <c r="GYR99" s="46"/>
      <c r="GYS99" s="46"/>
      <c r="GYT99" s="46"/>
      <c r="GYU99" s="46"/>
      <c r="GYV99" s="46"/>
      <c r="GYW99" s="46"/>
      <c r="GYX99" s="46"/>
      <c r="GYY99" s="46"/>
      <c r="GYZ99" s="46"/>
      <c r="GZA99" s="46"/>
      <c r="GZB99" s="46"/>
      <c r="GZC99" s="46"/>
      <c r="GZD99" s="46"/>
      <c r="GZE99" s="46"/>
      <c r="GZF99" s="46"/>
      <c r="GZG99" s="46"/>
      <c r="GZH99" s="46"/>
      <c r="GZI99" s="46"/>
      <c r="GZJ99" s="46"/>
      <c r="GZK99" s="46"/>
      <c r="GZL99" s="46"/>
      <c r="GZM99" s="46"/>
      <c r="GZN99" s="46"/>
      <c r="GZO99" s="46"/>
      <c r="GZP99" s="46"/>
      <c r="GZQ99" s="46"/>
      <c r="GZR99" s="46"/>
      <c r="GZS99" s="46"/>
      <c r="GZT99" s="46"/>
      <c r="GZU99" s="46"/>
      <c r="GZV99" s="46"/>
      <c r="GZW99" s="46"/>
      <c r="GZX99" s="46"/>
      <c r="GZY99" s="46"/>
      <c r="GZZ99" s="46"/>
      <c r="HAA99" s="46"/>
      <c r="HAB99" s="46"/>
      <c r="HAC99" s="46"/>
      <c r="HAD99" s="46"/>
      <c r="HAE99" s="46"/>
      <c r="HAF99" s="46"/>
      <c r="HAG99" s="46"/>
      <c r="HAH99" s="46"/>
      <c r="HAI99" s="46"/>
      <c r="HAJ99" s="46"/>
      <c r="HAK99" s="46"/>
      <c r="HAL99" s="46"/>
      <c r="HAM99" s="46"/>
      <c r="HAN99" s="46"/>
      <c r="HAO99" s="46"/>
      <c r="HAP99" s="46"/>
      <c r="HAQ99" s="46"/>
      <c r="HAR99" s="46"/>
      <c r="HAS99" s="46"/>
      <c r="HAT99" s="46"/>
      <c r="HAU99" s="46"/>
      <c r="HAV99" s="46"/>
      <c r="HAW99" s="46"/>
      <c r="HAX99" s="46"/>
      <c r="HAY99" s="46"/>
      <c r="HAZ99" s="46"/>
      <c r="HBA99" s="46"/>
      <c r="HBB99" s="46"/>
      <c r="HBC99" s="46"/>
      <c r="HBD99" s="46"/>
      <c r="HBE99" s="46"/>
      <c r="HBF99" s="46"/>
      <c r="HBG99" s="46"/>
      <c r="HBH99" s="46"/>
      <c r="HBI99" s="46"/>
      <c r="HBJ99" s="46"/>
      <c r="HBK99" s="46"/>
      <c r="HBL99" s="46"/>
      <c r="HBM99" s="46"/>
      <c r="HBN99" s="46"/>
      <c r="HBO99" s="46"/>
      <c r="HBP99" s="46"/>
      <c r="HBQ99" s="46"/>
      <c r="HBR99" s="46"/>
      <c r="HBS99" s="46"/>
      <c r="HBT99" s="46"/>
      <c r="HBU99" s="46"/>
      <c r="HBV99" s="46"/>
      <c r="HBW99" s="46"/>
      <c r="HBX99" s="46"/>
      <c r="HBY99" s="46"/>
      <c r="HBZ99" s="46"/>
      <c r="HCA99" s="46"/>
      <c r="HCB99" s="46"/>
      <c r="HCC99" s="46"/>
      <c r="HCD99" s="46"/>
      <c r="HCE99" s="46"/>
      <c r="HCF99" s="46"/>
      <c r="HCG99" s="46"/>
      <c r="HCH99" s="46"/>
      <c r="HCI99" s="46"/>
      <c r="HCJ99" s="46"/>
      <c r="HCK99" s="46"/>
      <c r="HCL99" s="46"/>
      <c r="HCM99" s="46"/>
      <c r="HCN99" s="46"/>
      <c r="HCO99" s="46"/>
      <c r="HCP99" s="46"/>
      <c r="HCQ99" s="46"/>
      <c r="HCR99" s="46"/>
      <c r="HCS99" s="46"/>
      <c r="HCT99" s="46"/>
      <c r="HCU99" s="46"/>
      <c r="HCV99" s="46"/>
      <c r="HCW99" s="46"/>
      <c r="HCX99" s="46"/>
      <c r="HCY99" s="46"/>
      <c r="HCZ99" s="46"/>
      <c r="HDA99" s="46"/>
      <c r="HDB99" s="46"/>
      <c r="HDC99" s="46"/>
      <c r="HDD99" s="46"/>
      <c r="HDE99" s="46"/>
      <c r="HDF99" s="46"/>
      <c r="HDG99" s="46"/>
      <c r="HDH99" s="46"/>
      <c r="HDI99" s="46"/>
      <c r="HDJ99" s="46"/>
      <c r="HDK99" s="46"/>
      <c r="HDL99" s="46"/>
      <c r="HDM99" s="46"/>
      <c r="HDN99" s="46"/>
      <c r="HDO99" s="46"/>
      <c r="HDP99" s="46"/>
      <c r="HDQ99" s="46"/>
      <c r="HDR99" s="46"/>
      <c r="HDS99" s="46"/>
      <c r="HDT99" s="46"/>
      <c r="HDU99" s="46"/>
      <c r="HDV99" s="46"/>
      <c r="HDW99" s="46"/>
      <c r="HDX99" s="46"/>
      <c r="HDY99" s="46"/>
      <c r="HDZ99" s="46"/>
      <c r="HEA99" s="46"/>
      <c r="HEB99" s="46"/>
      <c r="HEC99" s="46"/>
      <c r="HED99" s="46"/>
      <c r="HEE99" s="46"/>
      <c r="HEF99" s="46"/>
      <c r="HEG99" s="46"/>
      <c r="HEH99" s="46"/>
      <c r="HEI99" s="46"/>
      <c r="HEJ99" s="46"/>
      <c r="HEK99" s="46"/>
      <c r="HEL99" s="46"/>
      <c r="HEM99" s="46"/>
      <c r="HEN99" s="46"/>
      <c r="HEO99" s="46"/>
      <c r="HEP99" s="46"/>
      <c r="HEQ99" s="46"/>
      <c r="HER99" s="46"/>
      <c r="HES99" s="46"/>
      <c r="HET99" s="46"/>
      <c r="HEU99" s="46"/>
      <c r="HEV99" s="46"/>
      <c r="HEW99" s="46"/>
      <c r="HEX99" s="46"/>
      <c r="HEY99" s="46"/>
      <c r="HEZ99" s="46"/>
      <c r="HFA99" s="46"/>
      <c r="HFB99" s="46"/>
      <c r="HFC99" s="46"/>
      <c r="HFD99" s="46"/>
      <c r="HFE99" s="46"/>
      <c r="HFF99" s="46"/>
      <c r="HFG99" s="46"/>
      <c r="HFH99" s="46"/>
      <c r="HFI99" s="46"/>
      <c r="HFJ99" s="46"/>
      <c r="HFK99" s="46"/>
      <c r="HFL99" s="46"/>
      <c r="HFM99" s="46"/>
      <c r="HFN99" s="46"/>
      <c r="HFO99" s="46"/>
      <c r="HFP99" s="46"/>
      <c r="HFQ99" s="46"/>
      <c r="HFR99" s="46"/>
      <c r="HFS99" s="46"/>
      <c r="HFT99" s="46"/>
      <c r="HFU99" s="46"/>
      <c r="HFV99" s="46"/>
      <c r="HFW99" s="46"/>
      <c r="HFX99" s="46"/>
      <c r="HFY99" s="46"/>
      <c r="HFZ99" s="46"/>
      <c r="HGA99" s="46"/>
      <c r="HGB99" s="46"/>
      <c r="HGC99" s="46"/>
      <c r="HGD99" s="46"/>
      <c r="HGE99" s="46"/>
      <c r="HGF99" s="46"/>
      <c r="HGG99" s="46"/>
      <c r="HGH99" s="46"/>
      <c r="HGI99" s="46"/>
      <c r="HGJ99" s="46"/>
      <c r="HGK99" s="46"/>
      <c r="HGL99" s="46"/>
      <c r="HGM99" s="46"/>
      <c r="HGN99" s="46"/>
      <c r="HGO99" s="46"/>
      <c r="HGP99" s="46"/>
      <c r="HGQ99" s="46"/>
      <c r="HGR99" s="46"/>
      <c r="HGS99" s="46"/>
      <c r="HGT99" s="46"/>
      <c r="HGU99" s="46"/>
      <c r="HGV99" s="46"/>
      <c r="HGW99" s="46"/>
      <c r="HGX99" s="46"/>
      <c r="HGY99" s="46"/>
      <c r="HGZ99" s="46"/>
      <c r="HHA99" s="46"/>
      <c r="HHB99" s="46"/>
      <c r="HHC99" s="46"/>
      <c r="HHD99" s="46"/>
      <c r="HHE99" s="46"/>
      <c r="HHF99" s="46"/>
      <c r="HHG99" s="46"/>
      <c r="HHH99" s="46"/>
      <c r="HHI99" s="46"/>
      <c r="HHJ99" s="46"/>
      <c r="HHK99" s="46"/>
      <c r="HHL99" s="46"/>
      <c r="HHM99" s="46"/>
      <c r="HHN99" s="46"/>
      <c r="HHO99" s="46"/>
      <c r="HHP99" s="46"/>
      <c r="HHQ99" s="46"/>
      <c r="HHR99" s="46"/>
      <c r="HHS99" s="46"/>
      <c r="HHT99" s="46"/>
      <c r="HHU99" s="46"/>
      <c r="HHV99" s="46"/>
      <c r="HHW99" s="46"/>
      <c r="HHX99" s="46"/>
      <c r="HHY99" s="46"/>
      <c r="HHZ99" s="46"/>
      <c r="HIA99" s="46"/>
      <c r="HIB99" s="46"/>
      <c r="HIC99" s="46"/>
      <c r="HID99" s="46"/>
      <c r="HIE99" s="46"/>
      <c r="HIF99" s="46"/>
      <c r="HIG99" s="46"/>
      <c r="HIH99" s="46"/>
      <c r="HII99" s="46"/>
      <c r="HIJ99" s="46"/>
      <c r="HIK99" s="46"/>
      <c r="HIL99" s="46"/>
      <c r="HIM99" s="46"/>
      <c r="HIN99" s="46"/>
      <c r="HIO99" s="46"/>
      <c r="HIP99" s="46"/>
      <c r="HIQ99" s="46"/>
      <c r="HIR99" s="46"/>
      <c r="HIS99" s="46"/>
      <c r="HIT99" s="46"/>
      <c r="HIU99" s="46"/>
      <c r="HIV99" s="46"/>
      <c r="HIW99" s="46"/>
      <c r="HIX99" s="46"/>
      <c r="HIY99" s="46"/>
      <c r="HIZ99" s="46"/>
      <c r="HJA99" s="46"/>
      <c r="HJB99" s="46"/>
      <c r="HJC99" s="46"/>
      <c r="HJD99" s="46"/>
      <c r="HJE99" s="46"/>
      <c r="HJF99" s="46"/>
      <c r="HJG99" s="46"/>
      <c r="HJH99" s="46"/>
      <c r="HJI99" s="46"/>
      <c r="HJJ99" s="46"/>
      <c r="HJK99" s="46"/>
      <c r="HJL99" s="46"/>
      <c r="HJM99" s="46"/>
      <c r="HJN99" s="46"/>
      <c r="HJO99" s="46"/>
      <c r="HJP99" s="46"/>
      <c r="HJQ99" s="46"/>
      <c r="HJR99" s="46"/>
      <c r="HJS99" s="46"/>
      <c r="HJT99" s="46"/>
      <c r="HJU99" s="46"/>
      <c r="HJV99" s="46"/>
      <c r="HJW99" s="46"/>
      <c r="HJX99" s="46"/>
      <c r="HJY99" s="46"/>
      <c r="HJZ99" s="46"/>
      <c r="HKA99" s="46"/>
      <c r="HKB99" s="46"/>
      <c r="HKC99" s="46"/>
      <c r="HKD99" s="46"/>
      <c r="HKE99" s="46"/>
      <c r="HKF99" s="46"/>
      <c r="HKG99" s="46"/>
      <c r="HKH99" s="46"/>
      <c r="HKI99" s="46"/>
      <c r="HKJ99" s="46"/>
      <c r="HKK99" s="46"/>
      <c r="HKL99" s="46"/>
      <c r="HKM99" s="46"/>
      <c r="HKN99" s="46"/>
      <c r="HKO99" s="46"/>
      <c r="HKP99" s="46"/>
      <c r="HKQ99" s="46"/>
      <c r="HKR99" s="46"/>
      <c r="HKS99" s="46"/>
      <c r="HKT99" s="46"/>
      <c r="HKU99" s="46"/>
      <c r="HKV99" s="46"/>
      <c r="HKW99" s="46"/>
      <c r="HKX99" s="46"/>
      <c r="HKY99" s="46"/>
      <c r="HKZ99" s="46"/>
      <c r="HLA99" s="46"/>
      <c r="HLB99" s="46"/>
      <c r="HLC99" s="46"/>
      <c r="HLD99" s="46"/>
      <c r="HLE99" s="46"/>
      <c r="HLF99" s="46"/>
      <c r="HLG99" s="46"/>
      <c r="HLH99" s="46"/>
      <c r="HLI99" s="46"/>
      <c r="HLJ99" s="46"/>
      <c r="HLK99" s="46"/>
      <c r="HLL99" s="46"/>
      <c r="HLM99" s="46"/>
      <c r="HLN99" s="46"/>
      <c r="HLO99" s="46"/>
      <c r="HLP99" s="46"/>
      <c r="HLQ99" s="46"/>
      <c r="HLR99" s="46"/>
      <c r="HLS99" s="46"/>
      <c r="HLT99" s="46"/>
      <c r="HLU99" s="46"/>
      <c r="HLV99" s="46"/>
      <c r="HLW99" s="46"/>
      <c r="HLX99" s="46"/>
      <c r="HLY99" s="46"/>
      <c r="HLZ99" s="46"/>
      <c r="HMA99" s="46"/>
      <c r="HMB99" s="46"/>
      <c r="HMC99" s="46"/>
      <c r="HMD99" s="46"/>
      <c r="HME99" s="46"/>
      <c r="HMF99" s="46"/>
      <c r="HMG99" s="46"/>
      <c r="HMH99" s="46"/>
      <c r="HMI99" s="46"/>
      <c r="HMJ99" s="46"/>
      <c r="HMK99" s="46"/>
      <c r="HML99" s="46"/>
      <c r="HMM99" s="46"/>
      <c r="HMN99" s="46"/>
      <c r="HMO99" s="46"/>
      <c r="HMP99" s="46"/>
      <c r="HMQ99" s="46"/>
      <c r="HMR99" s="46"/>
      <c r="HMS99" s="46"/>
      <c r="HMT99" s="46"/>
      <c r="HMU99" s="46"/>
      <c r="HMV99" s="46"/>
      <c r="HMW99" s="46"/>
      <c r="HMX99" s="46"/>
      <c r="HMY99" s="46"/>
      <c r="HMZ99" s="46"/>
      <c r="HNA99" s="46"/>
      <c r="HNB99" s="46"/>
      <c r="HNC99" s="46"/>
      <c r="HND99" s="46"/>
      <c r="HNE99" s="46"/>
      <c r="HNF99" s="46"/>
      <c r="HNG99" s="46"/>
      <c r="HNH99" s="46"/>
      <c r="HNI99" s="46"/>
      <c r="HNJ99" s="46"/>
      <c r="HNK99" s="46"/>
      <c r="HNL99" s="46"/>
      <c r="HNM99" s="46"/>
      <c r="HNN99" s="46"/>
      <c r="HNO99" s="46"/>
      <c r="HNP99" s="46"/>
      <c r="HNQ99" s="46"/>
      <c r="HNR99" s="46"/>
      <c r="HNS99" s="46"/>
      <c r="HNT99" s="46"/>
      <c r="HNU99" s="46"/>
      <c r="HNV99" s="46"/>
      <c r="HNW99" s="46"/>
      <c r="HNX99" s="46"/>
      <c r="HNY99" s="46"/>
      <c r="HNZ99" s="46"/>
      <c r="HOA99" s="46"/>
      <c r="HOB99" s="46"/>
      <c r="HOC99" s="46"/>
      <c r="HOD99" s="46"/>
      <c r="HOE99" s="46"/>
      <c r="HOF99" s="46"/>
      <c r="HOG99" s="46"/>
      <c r="HOH99" s="46"/>
      <c r="HOI99" s="46"/>
      <c r="HOJ99" s="46"/>
      <c r="HOK99" s="46"/>
      <c r="HOL99" s="46"/>
      <c r="HOM99" s="46"/>
      <c r="HON99" s="46"/>
      <c r="HOO99" s="46"/>
      <c r="HOP99" s="46"/>
      <c r="HOQ99" s="46"/>
      <c r="HOR99" s="46"/>
      <c r="HOS99" s="46"/>
      <c r="HOT99" s="46"/>
      <c r="HOU99" s="46"/>
      <c r="HOV99" s="46"/>
      <c r="HOW99" s="46"/>
      <c r="HOX99" s="46"/>
      <c r="HOY99" s="46"/>
      <c r="HOZ99" s="46"/>
      <c r="HPA99" s="46"/>
      <c r="HPB99" s="46"/>
      <c r="HPC99" s="46"/>
      <c r="HPD99" s="46"/>
      <c r="HPE99" s="46"/>
      <c r="HPF99" s="46"/>
      <c r="HPG99" s="46"/>
      <c r="HPH99" s="46"/>
      <c r="HPI99" s="46"/>
      <c r="HPJ99" s="46"/>
      <c r="HPK99" s="46"/>
      <c r="HPL99" s="46"/>
      <c r="HPM99" s="46"/>
      <c r="HPN99" s="46"/>
      <c r="HPO99" s="46"/>
      <c r="HPP99" s="46"/>
      <c r="HPQ99" s="46"/>
      <c r="HPR99" s="46"/>
      <c r="HPS99" s="46"/>
      <c r="HPT99" s="46"/>
      <c r="HPU99" s="46"/>
      <c r="HPV99" s="46"/>
      <c r="HPW99" s="46"/>
      <c r="HPX99" s="46"/>
      <c r="HPY99" s="46"/>
      <c r="HPZ99" s="46"/>
      <c r="HQA99" s="46"/>
      <c r="HQB99" s="46"/>
      <c r="HQC99" s="46"/>
      <c r="HQD99" s="46"/>
      <c r="HQE99" s="46"/>
      <c r="HQF99" s="46"/>
      <c r="HQG99" s="46"/>
      <c r="HQH99" s="46"/>
      <c r="HQI99" s="46"/>
      <c r="HQJ99" s="46"/>
      <c r="HQK99" s="46"/>
      <c r="HQL99" s="46"/>
      <c r="HQM99" s="46"/>
      <c r="HQN99" s="46"/>
      <c r="HQO99" s="46"/>
      <c r="HQP99" s="46"/>
      <c r="HQQ99" s="46"/>
      <c r="HQR99" s="46"/>
      <c r="HQS99" s="46"/>
      <c r="HQT99" s="46"/>
      <c r="HQU99" s="46"/>
      <c r="HQV99" s="46"/>
      <c r="HQW99" s="46"/>
      <c r="HQX99" s="46"/>
      <c r="HQY99" s="46"/>
      <c r="HQZ99" s="46"/>
      <c r="HRA99" s="46"/>
      <c r="HRB99" s="46"/>
      <c r="HRC99" s="46"/>
      <c r="HRD99" s="46"/>
      <c r="HRE99" s="46"/>
      <c r="HRF99" s="46"/>
      <c r="HRG99" s="46"/>
      <c r="HRH99" s="46"/>
      <c r="HRI99" s="46"/>
      <c r="HRJ99" s="46"/>
      <c r="HRK99" s="46"/>
      <c r="HRL99" s="46"/>
      <c r="HRM99" s="46"/>
      <c r="HRN99" s="46"/>
      <c r="HRO99" s="46"/>
      <c r="HRP99" s="46"/>
      <c r="HRQ99" s="46"/>
      <c r="HRR99" s="46"/>
      <c r="HRS99" s="46"/>
      <c r="HRT99" s="46"/>
      <c r="HRU99" s="46"/>
      <c r="HRV99" s="46"/>
      <c r="HRW99" s="46"/>
      <c r="HRX99" s="46"/>
      <c r="HRY99" s="46"/>
      <c r="HRZ99" s="46"/>
      <c r="HSA99" s="46"/>
      <c r="HSB99" s="46"/>
      <c r="HSC99" s="46"/>
      <c r="HSD99" s="46"/>
      <c r="HSE99" s="46"/>
      <c r="HSF99" s="46"/>
      <c r="HSG99" s="46"/>
      <c r="HSH99" s="46"/>
      <c r="HSI99" s="46"/>
      <c r="HSJ99" s="46"/>
      <c r="HSK99" s="46"/>
      <c r="HSL99" s="46"/>
      <c r="HSM99" s="46"/>
      <c r="HSN99" s="46"/>
      <c r="HSO99" s="46"/>
      <c r="HSP99" s="46"/>
      <c r="HSQ99" s="46"/>
      <c r="HSR99" s="46"/>
      <c r="HSS99" s="46"/>
      <c r="HST99" s="46"/>
      <c r="HSU99" s="46"/>
      <c r="HSV99" s="46"/>
      <c r="HSW99" s="46"/>
      <c r="HSX99" s="46"/>
      <c r="HSY99" s="46"/>
      <c r="HSZ99" s="46"/>
      <c r="HTA99" s="46"/>
      <c r="HTB99" s="46"/>
      <c r="HTC99" s="46"/>
      <c r="HTD99" s="46"/>
      <c r="HTE99" s="46"/>
      <c r="HTF99" s="46"/>
      <c r="HTG99" s="46"/>
      <c r="HTH99" s="46"/>
      <c r="HTI99" s="46"/>
      <c r="HTJ99" s="46"/>
      <c r="HTK99" s="46"/>
      <c r="HTL99" s="46"/>
      <c r="HTM99" s="46"/>
      <c r="HTN99" s="46"/>
      <c r="HTO99" s="46"/>
      <c r="HTP99" s="46"/>
      <c r="HTQ99" s="46"/>
      <c r="HTR99" s="46"/>
      <c r="HTS99" s="46"/>
      <c r="HTT99" s="46"/>
      <c r="HTU99" s="46"/>
      <c r="HTV99" s="46"/>
      <c r="HTW99" s="46"/>
      <c r="HTX99" s="46"/>
      <c r="HTY99" s="46"/>
      <c r="HTZ99" s="46"/>
      <c r="HUA99" s="46"/>
      <c r="HUB99" s="46"/>
      <c r="HUC99" s="46"/>
      <c r="HUD99" s="46"/>
      <c r="HUE99" s="46"/>
      <c r="HUF99" s="46"/>
      <c r="HUG99" s="46"/>
      <c r="HUH99" s="46"/>
      <c r="HUI99" s="46"/>
      <c r="HUJ99" s="46"/>
      <c r="HUK99" s="46"/>
      <c r="HUL99" s="46"/>
      <c r="HUM99" s="46"/>
      <c r="HUN99" s="46"/>
      <c r="HUO99" s="46"/>
      <c r="HUP99" s="46"/>
      <c r="HUQ99" s="46"/>
      <c r="HUR99" s="46"/>
      <c r="HUS99" s="46"/>
      <c r="HUT99" s="46"/>
      <c r="HUU99" s="46"/>
      <c r="HUV99" s="46"/>
      <c r="HUW99" s="46"/>
      <c r="HUX99" s="46"/>
      <c r="HUY99" s="46"/>
      <c r="HUZ99" s="46"/>
      <c r="HVA99" s="46"/>
      <c r="HVB99" s="46"/>
      <c r="HVC99" s="46"/>
      <c r="HVD99" s="46"/>
      <c r="HVE99" s="46"/>
      <c r="HVF99" s="46"/>
      <c r="HVG99" s="46"/>
      <c r="HVH99" s="46"/>
      <c r="HVI99" s="46"/>
      <c r="HVJ99" s="46"/>
      <c r="HVK99" s="46"/>
      <c r="HVL99" s="46"/>
      <c r="HVM99" s="46"/>
      <c r="HVN99" s="46"/>
      <c r="HVO99" s="46"/>
      <c r="HVP99" s="46"/>
      <c r="HVQ99" s="46"/>
      <c r="HVR99" s="46"/>
      <c r="HVS99" s="46"/>
      <c r="HVT99" s="46"/>
      <c r="HVU99" s="46"/>
      <c r="HVV99" s="46"/>
      <c r="HVW99" s="46"/>
      <c r="HVX99" s="46"/>
      <c r="HVY99" s="46"/>
      <c r="HVZ99" s="46"/>
      <c r="HWA99" s="46"/>
      <c r="HWB99" s="46"/>
      <c r="HWC99" s="46"/>
      <c r="HWD99" s="46"/>
      <c r="HWE99" s="46"/>
      <c r="HWF99" s="46"/>
      <c r="HWG99" s="46"/>
      <c r="HWH99" s="46"/>
      <c r="HWI99" s="46"/>
      <c r="HWJ99" s="46"/>
      <c r="HWK99" s="46"/>
      <c r="HWL99" s="46"/>
      <c r="HWM99" s="46"/>
      <c r="HWN99" s="46"/>
      <c r="HWO99" s="46"/>
      <c r="HWP99" s="46"/>
      <c r="HWQ99" s="46"/>
      <c r="HWR99" s="46"/>
      <c r="HWS99" s="46"/>
      <c r="HWT99" s="46"/>
      <c r="HWU99" s="46"/>
      <c r="HWV99" s="46"/>
      <c r="HWW99" s="46"/>
      <c r="HWX99" s="46"/>
      <c r="HWY99" s="46"/>
      <c r="HWZ99" s="46"/>
      <c r="HXA99" s="46"/>
      <c r="HXB99" s="46"/>
      <c r="HXC99" s="46"/>
      <c r="HXD99" s="46"/>
      <c r="HXE99" s="46"/>
      <c r="HXF99" s="46"/>
      <c r="HXG99" s="46"/>
      <c r="HXH99" s="46"/>
      <c r="HXI99" s="46"/>
      <c r="HXJ99" s="46"/>
      <c r="HXK99" s="46"/>
      <c r="HXL99" s="46"/>
      <c r="HXM99" s="46"/>
      <c r="HXN99" s="46"/>
      <c r="HXO99" s="46"/>
      <c r="HXP99" s="46"/>
      <c r="HXQ99" s="46"/>
      <c r="HXR99" s="46"/>
      <c r="HXS99" s="46"/>
      <c r="HXT99" s="46"/>
      <c r="HXU99" s="46"/>
      <c r="HXV99" s="46"/>
      <c r="HXW99" s="46"/>
      <c r="HXX99" s="46"/>
      <c r="HXY99" s="46"/>
      <c r="HXZ99" s="46"/>
      <c r="HYA99" s="46"/>
      <c r="HYB99" s="46"/>
      <c r="HYC99" s="46"/>
      <c r="HYD99" s="46"/>
      <c r="HYE99" s="46"/>
      <c r="HYF99" s="46"/>
      <c r="HYG99" s="46"/>
      <c r="HYH99" s="46"/>
      <c r="HYI99" s="46"/>
      <c r="HYJ99" s="46"/>
      <c r="HYK99" s="46"/>
      <c r="HYL99" s="46"/>
      <c r="HYM99" s="46"/>
      <c r="HYN99" s="46"/>
      <c r="HYO99" s="46"/>
      <c r="HYP99" s="46"/>
      <c r="HYQ99" s="46"/>
      <c r="HYR99" s="46"/>
      <c r="HYS99" s="46"/>
      <c r="HYT99" s="46"/>
      <c r="HYU99" s="46"/>
      <c r="HYV99" s="46"/>
      <c r="HYW99" s="46"/>
      <c r="HYX99" s="46"/>
      <c r="HYY99" s="46"/>
      <c r="HYZ99" s="46"/>
      <c r="HZA99" s="46"/>
      <c r="HZB99" s="46"/>
      <c r="HZC99" s="46"/>
      <c r="HZD99" s="46"/>
      <c r="HZE99" s="46"/>
      <c r="HZF99" s="46"/>
      <c r="HZG99" s="46"/>
      <c r="HZH99" s="46"/>
      <c r="HZI99" s="46"/>
      <c r="HZJ99" s="46"/>
      <c r="HZK99" s="46"/>
      <c r="HZL99" s="46"/>
      <c r="HZM99" s="46"/>
      <c r="HZN99" s="46"/>
      <c r="HZO99" s="46"/>
      <c r="HZP99" s="46"/>
      <c r="HZQ99" s="46"/>
      <c r="HZR99" s="46"/>
      <c r="HZS99" s="46"/>
      <c r="HZT99" s="46"/>
      <c r="HZU99" s="46"/>
      <c r="HZV99" s="46"/>
      <c r="HZW99" s="46"/>
      <c r="HZX99" s="46"/>
      <c r="HZY99" s="46"/>
      <c r="HZZ99" s="46"/>
      <c r="IAA99" s="46"/>
      <c r="IAB99" s="46"/>
      <c r="IAC99" s="46"/>
      <c r="IAD99" s="46"/>
      <c r="IAE99" s="46"/>
      <c r="IAF99" s="46"/>
      <c r="IAG99" s="46"/>
      <c r="IAH99" s="46"/>
      <c r="IAI99" s="46"/>
      <c r="IAJ99" s="46"/>
      <c r="IAK99" s="46"/>
      <c r="IAL99" s="46"/>
      <c r="IAM99" s="46"/>
      <c r="IAN99" s="46"/>
      <c r="IAO99" s="46"/>
      <c r="IAP99" s="46"/>
      <c r="IAQ99" s="46"/>
      <c r="IAR99" s="46"/>
      <c r="IAS99" s="46"/>
      <c r="IAT99" s="46"/>
      <c r="IAU99" s="46"/>
      <c r="IAV99" s="46"/>
      <c r="IAW99" s="46"/>
      <c r="IAX99" s="46"/>
      <c r="IAY99" s="46"/>
      <c r="IAZ99" s="46"/>
      <c r="IBA99" s="46"/>
      <c r="IBB99" s="46"/>
      <c r="IBC99" s="46"/>
      <c r="IBD99" s="46"/>
      <c r="IBE99" s="46"/>
      <c r="IBF99" s="46"/>
      <c r="IBG99" s="46"/>
      <c r="IBH99" s="46"/>
      <c r="IBI99" s="46"/>
      <c r="IBJ99" s="46"/>
      <c r="IBK99" s="46"/>
      <c r="IBL99" s="46"/>
      <c r="IBM99" s="46"/>
      <c r="IBN99" s="46"/>
      <c r="IBO99" s="46"/>
      <c r="IBP99" s="46"/>
      <c r="IBQ99" s="46"/>
      <c r="IBR99" s="46"/>
      <c r="IBS99" s="46"/>
      <c r="IBT99" s="46"/>
      <c r="IBU99" s="46"/>
      <c r="IBV99" s="46"/>
      <c r="IBW99" s="46"/>
      <c r="IBX99" s="46"/>
      <c r="IBY99" s="46"/>
      <c r="IBZ99" s="46"/>
      <c r="ICA99" s="46"/>
      <c r="ICB99" s="46"/>
      <c r="ICC99" s="46"/>
      <c r="ICD99" s="46"/>
      <c r="ICE99" s="46"/>
      <c r="ICF99" s="46"/>
      <c r="ICG99" s="46"/>
      <c r="ICH99" s="46"/>
      <c r="ICI99" s="46"/>
      <c r="ICJ99" s="46"/>
      <c r="ICK99" s="46"/>
      <c r="ICL99" s="46"/>
      <c r="ICM99" s="46"/>
      <c r="ICN99" s="46"/>
      <c r="ICO99" s="46"/>
      <c r="ICP99" s="46"/>
      <c r="ICQ99" s="46"/>
      <c r="ICR99" s="46"/>
      <c r="ICS99" s="46"/>
      <c r="ICT99" s="46"/>
      <c r="ICU99" s="46"/>
      <c r="ICV99" s="46"/>
      <c r="ICW99" s="46"/>
      <c r="ICX99" s="46"/>
      <c r="ICY99" s="46"/>
      <c r="ICZ99" s="46"/>
      <c r="IDA99" s="46"/>
      <c r="IDB99" s="46"/>
      <c r="IDC99" s="46"/>
      <c r="IDD99" s="46"/>
      <c r="IDE99" s="46"/>
      <c r="IDF99" s="46"/>
      <c r="IDG99" s="46"/>
      <c r="IDH99" s="46"/>
      <c r="IDI99" s="46"/>
      <c r="IDJ99" s="46"/>
      <c r="IDK99" s="46"/>
      <c r="IDL99" s="46"/>
      <c r="IDM99" s="46"/>
      <c r="IDN99" s="46"/>
      <c r="IDO99" s="46"/>
      <c r="IDP99" s="46"/>
      <c r="IDQ99" s="46"/>
      <c r="IDR99" s="46"/>
      <c r="IDS99" s="46"/>
      <c r="IDT99" s="46"/>
      <c r="IDU99" s="46"/>
      <c r="IDV99" s="46"/>
      <c r="IDW99" s="46"/>
      <c r="IDX99" s="46"/>
      <c r="IDY99" s="46"/>
      <c r="IDZ99" s="46"/>
      <c r="IEA99" s="46"/>
      <c r="IEB99" s="46"/>
      <c r="IEC99" s="46"/>
      <c r="IED99" s="46"/>
      <c r="IEE99" s="46"/>
      <c r="IEF99" s="46"/>
      <c r="IEG99" s="46"/>
      <c r="IEH99" s="46"/>
      <c r="IEI99" s="46"/>
      <c r="IEJ99" s="46"/>
      <c r="IEK99" s="46"/>
      <c r="IEL99" s="46"/>
      <c r="IEM99" s="46"/>
      <c r="IEN99" s="46"/>
      <c r="IEO99" s="46"/>
      <c r="IEP99" s="46"/>
      <c r="IEQ99" s="46"/>
      <c r="IER99" s="46"/>
      <c r="IES99" s="46"/>
      <c r="IET99" s="46"/>
      <c r="IEU99" s="46"/>
      <c r="IEV99" s="46"/>
      <c r="IEW99" s="46"/>
      <c r="IEX99" s="46"/>
      <c r="IEY99" s="46"/>
      <c r="IEZ99" s="46"/>
      <c r="IFA99" s="46"/>
      <c r="IFB99" s="46"/>
      <c r="IFC99" s="46"/>
      <c r="IFD99" s="46"/>
      <c r="IFE99" s="46"/>
      <c r="IFF99" s="46"/>
      <c r="IFG99" s="46"/>
      <c r="IFH99" s="46"/>
      <c r="IFI99" s="46"/>
      <c r="IFJ99" s="46"/>
      <c r="IFK99" s="46"/>
      <c r="IFL99" s="46"/>
      <c r="IFM99" s="46"/>
      <c r="IFN99" s="46"/>
      <c r="IFO99" s="46"/>
      <c r="IFP99" s="46"/>
      <c r="IFQ99" s="46"/>
      <c r="IFR99" s="46"/>
      <c r="IFS99" s="46"/>
      <c r="IFT99" s="46"/>
      <c r="IFU99" s="46"/>
      <c r="IFV99" s="46"/>
      <c r="IFW99" s="46"/>
      <c r="IFX99" s="46"/>
      <c r="IFY99" s="46"/>
      <c r="IFZ99" s="46"/>
      <c r="IGA99" s="46"/>
      <c r="IGB99" s="46"/>
      <c r="IGC99" s="46"/>
      <c r="IGD99" s="46"/>
      <c r="IGE99" s="46"/>
      <c r="IGF99" s="46"/>
      <c r="IGG99" s="46"/>
      <c r="IGH99" s="46"/>
      <c r="IGI99" s="46"/>
      <c r="IGJ99" s="46"/>
      <c r="IGK99" s="46"/>
      <c r="IGL99" s="46"/>
      <c r="IGM99" s="46"/>
      <c r="IGN99" s="46"/>
      <c r="IGO99" s="46"/>
      <c r="IGP99" s="46"/>
      <c r="IGQ99" s="46"/>
      <c r="IGR99" s="46"/>
      <c r="IGS99" s="46"/>
      <c r="IGT99" s="46"/>
      <c r="IGU99" s="46"/>
      <c r="IGV99" s="46"/>
      <c r="IGW99" s="46"/>
      <c r="IGX99" s="46"/>
      <c r="IGY99" s="46"/>
      <c r="IGZ99" s="46"/>
      <c r="IHA99" s="46"/>
      <c r="IHB99" s="46"/>
      <c r="IHC99" s="46"/>
      <c r="IHD99" s="46"/>
      <c r="IHE99" s="46"/>
      <c r="IHF99" s="46"/>
      <c r="IHG99" s="46"/>
      <c r="IHH99" s="46"/>
      <c r="IHI99" s="46"/>
      <c r="IHJ99" s="46"/>
      <c r="IHK99" s="46"/>
      <c r="IHL99" s="46"/>
      <c r="IHM99" s="46"/>
      <c r="IHN99" s="46"/>
      <c r="IHO99" s="46"/>
      <c r="IHP99" s="46"/>
      <c r="IHQ99" s="46"/>
      <c r="IHR99" s="46"/>
      <c r="IHS99" s="46"/>
      <c r="IHT99" s="46"/>
      <c r="IHU99" s="46"/>
      <c r="IHV99" s="46"/>
      <c r="IHW99" s="46"/>
      <c r="IHX99" s="46"/>
      <c r="IHY99" s="46"/>
      <c r="IHZ99" s="46"/>
      <c r="IIA99" s="46"/>
      <c r="IIB99" s="46"/>
      <c r="IIC99" s="46"/>
      <c r="IID99" s="46"/>
      <c r="IIE99" s="46"/>
      <c r="IIF99" s="46"/>
      <c r="IIG99" s="46"/>
      <c r="IIH99" s="46"/>
      <c r="III99" s="46"/>
      <c r="IIJ99" s="46"/>
      <c r="IIK99" s="46"/>
      <c r="IIL99" s="46"/>
      <c r="IIM99" s="46"/>
      <c r="IIN99" s="46"/>
      <c r="IIO99" s="46"/>
      <c r="IIP99" s="46"/>
      <c r="IIQ99" s="46"/>
      <c r="IIR99" s="46"/>
      <c r="IIS99" s="46"/>
      <c r="IIT99" s="46"/>
      <c r="IIU99" s="46"/>
      <c r="IIV99" s="46"/>
      <c r="IIW99" s="46"/>
      <c r="IIX99" s="46"/>
      <c r="IIY99" s="46"/>
      <c r="IIZ99" s="46"/>
      <c r="IJA99" s="46"/>
      <c r="IJB99" s="46"/>
      <c r="IJC99" s="46"/>
      <c r="IJD99" s="46"/>
      <c r="IJE99" s="46"/>
      <c r="IJF99" s="46"/>
      <c r="IJG99" s="46"/>
      <c r="IJH99" s="46"/>
      <c r="IJI99" s="46"/>
      <c r="IJJ99" s="46"/>
      <c r="IJK99" s="46"/>
      <c r="IJL99" s="46"/>
      <c r="IJM99" s="46"/>
      <c r="IJN99" s="46"/>
      <c r="IJO99" s="46"/>
      <c r="IJP99" s="46"/>
      <c r="IJQ99" s="46"/>
      <c r="IJR99" s="46"/>
      <c r="IJS99" s="46"/>
      <c r="IJT99" s="46"/>
      <c r="IJU99" s="46"/>
      <c r="IJV99" s="46"/>
      <c r="IJW99" s="46"/>
      <c r="IJX99" s="46"/>
      <c r="IJY99" s="46"/>
      <c r="IJZ99" s="46"/>
      <c r="IKA99" s="46"/>
      <c r="IKB99" s="46"/>
      <c r="IKC99" s="46"/>
      <c r="IKD99" s="46"/>
      <c r="IKE99" s="46"/>
      <c r="IKF99" s="46"/>
      <c r="IKG99" s="46"/>
      <c r="IKH99" s="46"/>
      <c r="IKI99" s="46"/>
      <c r="IKJ99" s="46"/>
      <c r="IKK99" s="46"/>
      <c r="IKL99" s="46"/>
      <c r="IKM99" s="46"/>
      <c r="IKN99" s="46"/>
      <c r="IKO99" s="46"/>
      <c r="IKP99" s="46"/>
      <c r="IKQ99" s="46"/>
      <c r="IKR99" s="46"/>
      <c r="IKS99" s="46"/>
      <c r="IKT99" s="46"/>
      <c r="IKU99" s="46"/>
      <c r="IKV99" s="46"/>
      <c r="IKW99" s="46"/>
      <c r="IKX99" s="46"/>
      <c r="IKY99" s="46"/>
      <c r="IKZ99" s="46"/>
      <c r="ILA99" s="46"/>
      <c r="ILB99" s="46"/>
      <c r="ILC99" s="46"/>
      <c r="ILD99" s="46"/>
      <c r="ILE99" s="46"/>
      <c r="ILF99" s="46"/>
      <c r="ILG99" s="46"/>
      <c r="ILH99" s="46"/>
      <c r="ILI99" s="46"/>
      <c r="ILJ99" s="46"/>
      <c r="ILK99" s="46"/>
      <c r="ILL99" s="46"/>
      <c r="ILM99" s="46"/>
      <c r="ILN99" s="46"/>
      <c r="ILO99" s="46"/>
      <c r="ILP99" s="46"/>
      <c r="ILQ99" s="46"/>
      <c r="ILR99" s="46"/>
      <c r="ILS99" s="46"/>
      <c r="ILT99" s="46"/>
      <c r="ILU99" s="46"/>
      <c r="ILV99" s="46"/>
      <c r="ILW99" s="46"/>
      <c r="ILX99" s="46"/>
      <c r="ILY99" s="46"/>
      <c r="ILZ99" s="46"/>
      <c r="IMA99" s="46"/>
      <c r="IMB99" s="46"/>
      <c r="IMC99" s="46"/>
      <c r="IMD99" s="46"/>
      <c r="IME99" s="46"/>
      <c r="IMF99" s="46"/>
      <c r="IMG99" s="46"/>
      <c r="IMH99" s="46"/>
      <c r="IMI99" s="46"/>
      <c r="IMJ99" s="46"/>
      <c r="IMK99" s="46"/>
      <c r="IML99" s="46"/>
      <c r="IMM99" s="46"/>
      <c r="IMN99" s="46"/>
      <c r="IMO99" s="46"/>
      <c r="IMP99" s="46"/>
      <c r="IMQ99" s="46"/>
      <c r="IMR99" s="46"/>
      <c r="IMS99" s="46"/>
      <c r="IMT99" s="46"/>
      <c r="IMU99" s="46"/>
      <c r="IMV99" s="46"/>
      <c r="IMW99" s="46"/>
      <c r="IMX99" s="46"/>
      <c r="IMY99" s="46"/>
      <c r="IMZ99" s="46"/>
      <c r="INA99" s="46"/>
      <c r="INB99" s="46"/>
      <c r="INC99" s="46"/>
      <c r="IND99" s="46"/>
      <c r="INE99" s="46"/>
      <c r="INF99" s="46"/>
      <c r="ING99" s="46"/>
      <c r="INH99" s="46"/>
      <c r="INI99" s="46"/>
      <c r="INJ99" s="46"/>
      <c r="INK99" s="46"/>
      <c r="INL99" s="46"/>
      <c r="INM99" s="46"/>
      <c r="INN99" s="46"/>
      <c r="INO99" s="46"/>
      <c r="INP99" s="46"/>
      <c r="INQ99" s="46"/>
      <c r="INR99" s="46"/>
      <c r="INS99" s="46"/>
      <c r="INT99" s="46"/>
      <c r="INU99" s="46"/>
      <c r="INV99" s="46"/>
      <c r="INW99" s="46"/>
      <c r="INX99" s="46"/>
      <c r="INY99" s="46"/>
      <c r="INZ99" s="46"/>
      <c r="IOA99" s="46"/>
      <c r="IOB99" s="46"/>
      <c r="IOC99" s="46"/>
      <c r="IOD99" s="46"/>
      <c r="IOE99" s="46"/>
      <c r="IOF99" s="46"/>
      <c r="IOG99" s="46"/>
      <c r="IOH99" s="46"/>
      <c r="IOI99" s="46"/>
      <c r="IOJ99" s="46"/>
      <c r="IOK99" s="46"/>
      <c r="IOL99" s="46"/>
      <c r="IOM99" s="46"/>
      <c r="ION99" s="46"/>
      <c r="IOO99" s="46"/>
      <c r="IOP99" s="46"/>
      <c r="IOQ99" s="46"/>
      <c r="IOR99" s="46"/>
      <c r="IOS99" s="46"/>
      <c r="IOT99" s="46"/>
      <c r="IOU99" s="46"/>
      <c r="IOV99" s="46"/>
      <c r="IOW99" s="46"/>
      <c r="IOX99" s="46"/>
      <c r="IOY99" s="46"/>
      <c r="IOZ99" s="46"/>
      <c r="IPA99" s="46"/>
      <c r="IPB99" s="46"/>
      <c r="IPC99" s="46"/>
      <c r="IPD99" s="46"/>
      <c r="IPE99" s="46"/>
      <c r="IPF99" s="46"/>
      <c r="IPG99" s="46"/>
      <c r="IPH99" s="46"/>
      <c r="IPI99" s="46"/>
      <c r="IPJ99" s="46"/>
      <c r="IPK99" s="46"/>
      <c r="IPL99" s="46"/>
      <c r="IPM99" s="46"/>
      <c r="IPN99" s="46"/>
      <c r="IPO99" s="46"/>
      <c r="IPP99" s="46"/>
      <c r="IPQ99" s="46"/>
      <c r="IPR99" s="46"/>
      <c r="IPS99" s="46"/>
      <c r="IPT99" s="46"/>
      <c r="IPU99" s="46"/>
      <c r="IPV99" s="46"/>
      <c r="IPW99" s="46"/>
      <c r="IPX99" s="46"/>
      <c r="IPY99" s="46"/>
      <c r="IPZ99" s="46"/>
      <c r="IQA99" s="46"/>
      <c r="IQB99" s="46"/>
      <c r="IQC99" s="46"/>
      <c r="IQD99" s="46"/>
      <c r="IQE99" s="46"/>
      <c r="IQF99" s="46"/>
      <c r="IQG99" s="46"/>
      <c r="IQH99" s="46"/>
      <c r="IQI99" s="46"/>
      <c r="IQJ99" s="46"/>
      <c r="IQK99" s="46"/>
      <c r="IQL99" s="46"/>
      <c r="IQM99" s="46"/>
      <c r="IQN99" s="46"/>
      <c r="IQO99" s="46"/>
      <c r="IQP99" s="46"/>
      <c r="IQQ99" s="46"/>
      <c r="IQR99" s="46"/>
      <c r="IQS99" s="46"/>
      <c r="IQT99" s="46"/>
      <c r="IQU99" s="46"/>
      <c r="IQV99" s="46"/>
      <c r="IQW99" s="46"/>
      <c r="IQX99" s="46"/>
      <c r="IQY99" s="46"/>
      <c r="IQZ99" s="46"/>
      <c r="IRA99" s="46"/>
      <c r="IRB99" s="46"/>
      <c r="IRC99" s="46"/>
      <c r="IRD99" s="46"/>
      <c r="IRE99" s="46"/>
      <c r="IRF99" s="46"/>
      <c r="IRG99" s="46"/>
      <c r="IRH99" s="46"/>
      <c r="IRI99" s="46"/>
      <c r="IRJ99" s="46"/>
      <c r="IRK99" s="46"/>
      <c r="IRL99" s="46"/>
      <c r="IRM99" s="46"/>
      <c r="IRN99" s="46"/>
      <c r="IRO99" s="46"/>
      <c r="IRP99" s="46"/>
      <c r="IRQ99" s="46"/>
      <c r="IRR99" s="46"/>
      <c r="IRS99" s="46"/>
      <c r="IRT99" s="46"/>
      <c r="IRU99" s="46"/>
      <c r="IRV99" s="46"/>
      <c r="IRW99" s="46"/>
      <c r="IRX99" s="46"/>
      <c r="IRY99" s="46"/>
      <c r="IRZ99" s="46"/>
      <c r="ISA99" s="46"/>
      <c r="ISB99" s="46"/>
      <c r="ISC99" s="46"/>
      <c r="ISD99" s="46"/>
      <c r="ISE99" s="46"/>
      <c r="ISF99" s="46"/>
      <c r="ISG99" s="46"/>
      <c r="ISH99" s="46"/>
      <c r="ISI99" s="46"/>
      <c r="ISJ99" s="46"/>
      <c r="ISK99" s="46"/>
      <c r="ISL99" s="46"/>
      <c r="ISM99" s="46"/>
      <c r="ISN99" s="46"/>
      <c r="ISO99" s="46"/>
      <c r="ISP99" s="46"/>
      <c r="ISQ99" s="46"/>
      <c r="ISR99" s="46"/>
      <c r="ISS99" s="46"/>
      <c r="IST99" s="46"/>
      <c r="ISU99" s="46"/>
      <c r="ISV99" s="46"/>
      <c r="ISW99" s="46"/>
      <c r="ISX99" s="46"/>
      <c r="ISY99" s="46"/>
      <c r="ISZ99" s="46"/>
      <c r="ITA99" s="46"/>
      <c r="ITB99" s="46"/>
      <c r="ITC99" s="46"/>
      <c r="ITD99" s="46"/>
      <c r="ITE99" s="46"/>
      <c r="ITF99" s="46"/>
      <c r="ITG99" s="46"/>
      <c r="ITH99" s="46"/>
      <c r="ITI99" s="46"/>
      <c r="ITJ99" s="46"/>
      <c r="ITK99" s="46"/>
      <c r="ITL99" s="46"/>
      <c r="ITM99" s="46"/>
      <c r="ITN99" s="46"/>
      <c r="ITO99" s="46"/>
      <c r="ITP99" s="46"/>
      <c r="ITQ99" s="46"/>
      <c r="ITR99" s="46"/>
      <c r="ITS99" s="46"/>
      <c r="ITT99" s="46"/>
      <c r="ITU99" s="46"/>
      <c r="ITV99" s="46"/>
      <c r="ITW99" s="46"/>
      <c r="ITX99" s="46"/>
      <c r="ITY99" s="46"/>
      <c r="ITZ99" s="46"/>
      <c r="IUA99" s="46"/>
      <c r="IUB99" s="46"/>
      <c r="IUC99" s="46"/>
      <c r="IUD99" s="46"/>
      <c r="IUE99" s="46"/>
      <c r="IUF99" s="46"/>
      <c r="IUG99" s="46"/>
      <c r="IUH99" s="46"/>
      <c r="IUI99" s="46"/>
      <c r="IUJ99" s="46"/>
      <c r="IUK99" s="46"/>
      <c r="IUL99" s="46"/>
      <c r="IUM99" s="46"/>
      <c r="IUN99" s="46"/>
      <c r="IUO99" s="46"/>
      <c r="IUP99" s="46"/>
      <c r="IUQ99" s="46"/>
      <c r="IUR99" s="46"/>
      <c r="IUS99" s="46"/>
      <c r="IUT99" s="46"/>
      <c r="IUU99" s="46"/>
      <c r="IUV99" s="46"/>
      <c r="IUW99" s="46"/>
      <c r="IUX99" s="46"/>
      <c r="IUY99" s="46"/>
      <c r="IUZ99" s="46"/>
      <c r="IVA99" s="46"/>
      <c r="IVB99" s="46"/>
      <c r="IVC99" s="46"/>
      <c r="IVD99" s="46"/>
      <c r="IVE99" s="46"/>
      <c r="IVF99" s="46"/>
      <c r="IVG99" s="46"/>
      <c r="IVH99" s="46"/>
      <c r="IVI99" s="46"/>
      <c r="IVJ99" s="46"/>
      <c r="IVK99" s="46"/>
      <c r="IVL99" s="46"/>
      <c r="IVM99" s="46"/>
      <c r="IVN99" s="46"/>
      <c r="IVO99" s="46"/>
      <c r="IVP99" s="46"/>
      <c r="IVQ99" s="46"/>
      <c r="IVR99" s="46"/>
      <c r="IVS99" s="46"/>
      <c r="IVT99" s="46"/>
      <c r="IVU99" s="46"/>
      <c r="IVV99" s="46"/>
      <c r="IVW99" s="46"/>
      <c r="IVX99" s="46"/>
      <c r="IVY99" s="46"/>
      <c r="IVZ99" s="46"/>
      <c r="IWA99" s="46"/>
      <c r="IWB99" s="46"/>
      <c r="IWC99" s="46"/>
      <c r="IWD99" s="46"/>
      <c r="IWE99" s="46"/>
      <c r="IWF99" s="46"/>
      <c r="IWG99" s="46"/>
      <c r="IWH99" s="46"/>
      <c r="IWI99" s="46"/>
      <c r="IWJ99" s="46"/>
      <c r="IWK99" s="46"/>
      <c r="IWL99" s="46"/>
      <c r="IWM99" s="46"/>
      <c r="IWN99" s="46"/>
      <c r="IWO99" s="46"/>
      <c r="IWP99" s="46"/>
      <c r="IWQ99" s="46"/>
      <c r="IWR99" s="46"/>
      <c r="IWS99" s="46"/>
      <c r="IWT99" s="46"/>
      <c r="IWU99" s="46"/>
      <c r="IWV99" s="46"/>
      <c r="IWW99" s="46"/>
      <c r="IWX99" s="46"/>
      <c r="IWY99" s="46"/>
      <c r="IWZ99" s="46"/>
      <c r="IXA99" s="46"/>
      <c r="IXB99" s="46"/>
      <c r="IXC99" s="46"/>
      <c r="IXD99" s="46"/>
      <c r="IXE99" s="46"/>
      <c r="IXF99" s="46"/>
      <c r="IXG99" s="46"/>
      <c r="IXH99" s="46"/>
      <c r="IXI99" s="46"/>
      <c r="IXJ99" s="46"/>
      <c r="IXK99" s="46"/>
      <c r="IXL99" s="46"/>
      <c r="IXM99" s="46"/>
      <c r="IXN99" s="46"/>
      <c r="IXO99" s="46"/>
      <c r="IXP99" s="46"/>
      <c r="IXQ99" s="46"/>
      <c r="IXR99" s="46"/>
      <c r="IXS99" s="46"/>
      <c r="IXT99" s="46"/>
      <c r="IXU99" s="46"/>
      <c r="IXV99" s="46"/>
      <c r="IXW99" s="46"/>
      <c r="IXX99" s="46"/>
      <c r="IXY99" s="46"/>
      <c r="IXZ99" s="46"/>
      <c r="IYA99" s="46"/>
      <c r="IYB99" s="46"/>
      <c r="IYC99" s="46"/>
      <c r="IYD99" s="46"/>
      <c r="IYE99" s="46"/>
      <c r="IYF99" s="46"/>
      <c r="IYG99" s="46"/>
      <c r="IYH99" s="46"/>
      <c r="IYI99" s="46"/>
      <c r="IYJ99" s="46"/>
      <c r="IYK99" s="46"/>
      <c r="IYL99" s="46"/>
      <c r="IYM99" s="46"/>
      <c r="IYN99" s="46"/>
      <c r="IYO99" s="46"/>
      <c r="IYP99" s="46"/>
      <c r="IYQ99" s="46"/>
      <c r="IYR99" s="46"/>
      <c r="IYS99" s="46"/>
      <c r="IYT99" s="46"/>
      <c r="IYU99" s="46"/>
      <c r="IYV99" s="46"/>
      <c r="IYW99" s="46"/>
      <c r="IYX99" s="46"/>
      <c r="IYY99" s="46"/>
      <c r="IYZ99" s="46"/>
      <c r="IZA99" s="46"/>
      <c r="IZB99" s="46"/>
      <c r="IZC99" s="46"/>
      <c r="IZD99" s="46"/>
      <c r="IZE99" s="46"/>
      <c r="IZF99" s="46"/>
      <c r="IZG99" s="46"/>
      <c r="IZH99" s="46"/>
      <c r="IZI99" s="46"/>
      <c r="IZJ99" s="46"/>
      <c r="IZK99" s="46"/>
      <c r="IZL99" s="46"/>
      <c r="IZM99" s="46"/>
      <c r="IZN99" s="46"/>
      <c r="IZO99" s="46"/>
      <c r="IZP99" s="46"/>
      <c r="IZQ99" s="46"/>
      <c r="IZR99" s="46"/>
      <c r="IZS99" s="46"/>
      <c r="IZT99" s="46"/>
      <c r="IZU99" s="46"/>
      <c r="IZV99" s="46"/>
      <c r="IZW99" s="46"/>
      <c r="IZX99" s="46"/>
      <c r="IZY99" s="46"/>
      <c r="IZZ99" s="46"/>
      <c r="JAA99" s="46"/>
      <c r="JAB99" s="46"/>
      <c r="JAC99" s="46"/>
      <c r="JAD99" s="46"/>
      <c r="JAE99" s="46"/>
      <c r="JAF99" s="46"/>
      <c r="JAG99" s="46"/>
      <c r="JAH99" s="46"/>
      <c r="JAI99" s="46"/>
      <c r="JAJ99" s="46"/>
      <c r="JAK99" s="46"/>
      <c r="JAL99" s="46"/>
      <c r="JAM99" s="46"/>
      <c r="JAN99" s="46"/>
      <c r="JAO99" s="46"/>
      <c r="JAP99" s="46"/>
      <c r="JAQ99" s="46"/>
      <c r="JAR99" s="46"/>
      <c r="JAS99" s="46"/>
      <c r="JAT99" s="46"/>
      <c r="JAU99" s="46"/>
      <c r="JAV99" s="46"/>
      <c r="JAW99" s="46"/>
      <c r="JAX99" s="46"/>
      <c r="JAY99" s="46"/>
      <c r="JAZ99" s="46"/>
      <c r="JBA99" s="46"/>
      <c r="JBB99" s="46"/>
      <c r="JBC99" s="46"/>
      <c r="JBD99" s="46"/>
      <c r="JBE99" s="46"/>
      <c r="JBF99" s="46"/>
      <c r="JBG99" s="46"/>
      <c r="JBH99" s="46"/>
      <c r="JBI99" s="46"/>
      <c r="JBJ99" s="46"/>
      <c r="JBK99" s="46"/>
      <c r="JBL99" s="46"/>
      <c r="JBM99" s="46"/>
      <c r="JBN99" s="46"/>
      <c r="JBO99" s="46"/>
      <c r="JBP99" s="46"/>
      <c r="JBQ99" s="46"/>
      <c r="JBR99" s="46"/>
      <c r="JBS99" s="46"/>
      <c r="JBT99" s="46"/>
      <c r="JBU99" s="46"/>
      <c r="JBV99" s="46"/>
      <c r="JBW99" s="46"/>
      <c r="JBX99" s="46"/>
      <c r="JBY99" s="46"/>
      <c r="JBZ99" s="46"/>
      <c r="JCA99" s="46"/>
      <c r="JCB99" s="46"/>
      <c r="JCC99" s="46"/>
      <c r="JCD99" s="46"/>
      <c r="JCE99" s="46"/>
      <c r="JCF99" s="46"/>
      <c r="JCG99" s="46"/>
      <c r="JCH99" s="46"/>
      <c r="JCI99" s="46"/>
      <c r="JCJ99" s="46"/>
      <c r="JCK99" s="46"/>
      <c r="JCL99" s="46"/>
      <c r="JCM99" s="46"/>
      <c r="JCN99" s="46"/>
      <c r="JCO99" s="46"/>
      <c r="JCP99" s="46"/>
      <c r="JCQ99" s="46"/>
      <c r="JCR99" s="46"/>
      <c r="JCS99" s="46"/>
      <c r="JCT99" s="46"/>
      <c r="JCU99" s="46"/>
      <c r="JCV99" s="46"/>
      <c r="JCW99" s="46"/>
      <c r="JCX99" s="46"/>
      <c r="JCY99" s="46"/>
      <c r="JCZ99" s="46"/>
      <c r="JDA99" s="46"/>
      <c r="JDB99" s="46"/>
      <c r="JDC99" s="46"/>
      <c r="JDD99" s="46"/>
      <c r="JDE99" s="46"/>
      <c r="JDF99" s="46"/>
      <c r="JDG99" s="46"/>
      <c r="JDH99" s="46"/>
      <c r="JDI99" s="46"/>
      <c r="JDJ99" s="46"/>
      <c r="JDK99" s="46"/>
      <c r="JDL99" s="46"/>
      <c r="JDM99" s="46"/>
      <c r="JDN99" s="46"/>
      <c r="JDO99" s="46"/>
      <c r="JDP99" s="46"/>
      <c r="JDQ99" s="46"/>
      <c r="JDR99" s="46"/>
      <c r="JDS99" s="46"/>
      <c r="JDT99" s="46"/>
      <c r="JDU99" s="46"/>
      <c r="JDV99" s="46"/>
      <c r="JDW99" s="46"/>
      <c r="JDX99" s="46"/>
      <c r="JDY99" s="46"/>
      <c r="JDZ99" s="46"/>
      <c r="JEA99" s="46"/>
      <c r="JEB99" s="46"/>
      <c r="JEC99" s="46"/>
      <c r="JED99" s="46"/>
      <c r="JEE99" s="46"/>
      <c r="JEF99" s="46"/>
      <c r="JEG99" s="46"/>
      <c r="JEH99" s="46"/>
      <c r="JEI99" s="46"/>
      <c r="JEJ99" s="46"/>
      <c r="JEK99" s="46"/>
      <c r="JEL99" s="46"/>
      <c r="JEM99" s="46"/>
      <c r="JEN99" s="46"/>
      <c r="JEO99" s="46"/>
      <c r="JEP99" s="46"/>
      <c r="JEQ99" s="46"/>
      <c r="JER99" s="46"/>
      <c r="JES99" s="46"/>
      <c r="JET99" s="46"/>
      <c r="JEU99" s="46"/>
      <c r="JEV99" s="46"/>
      <c r="JEW99" s="46"/>
      <c r="JEX99" s="46"/>
      <c r="JEY99" s="46"/>
      <c r="JEZ99" s="46"/>
      <c r="JFA99" s="46"/>
      <c r="JFB99" s="46"/>
      <c r="JFC99" s="46"/>
      <c r="JFD99" s="46"/>
      <c r="JFE99" s="46"/>
      <c r="JFF99" s="46"/>
      <c r="JFG99" s="46"/>
      <c r="JFH99" s="46"/>
      <c r="JFI99" s="46"/>
      <c r="JFJ99" s="46"/>
      <c r="JFK99" s="46"/>
      <c r="JFL99" s="46"/>
      <c r="JFM99" s="46"/>
      <c r="JFN99" s="46"/>
      <c r="JFO99" s="46"/>
      <c r="JFP99" s="46"/>
      <c r="JFQ99" s="46"/>
      <c r="JFR99" s="46"/>
      <c r="JFS99" s="46"/>
      <c r="JFT99" s="46"/>
      <c r="JFU99" s="46"/>
      <c r="JFV99" s="46"/>
      <c r="JFW99" s="46"/>
      <c r="JFX99" s="46"/>
      <c r="JFY99" s="46"/>
      <c r="JFZ99" s="46"/>
      <c r="JGA99" s="46"/>
      <c r="JGB99" s="46"/>
      <c r="JGC99" s="46"/>
      <c r="JGD99" s="46"/>
      <c r="JGE99" s="46"/>
      <c r="JGF99" s="46"/>
      <c r="JGG99" s="46"/>
      <c r="JGH99" s="46"/>
      <c r="JGI99" s="46"/>
      <c r="JGJ99" s="46"/>
      <c r="JGK99" s="46"/>
      <c r="JGL99" s="46"/>
      <c r="JGM99" s="46"/>
      <c r="JGN99" s="46"/>
      <c r="JGO99" s="46"/>
      <c r="JGP99" s="46"/>
      <c r="JGQ99" s="46"/>
      <c r="JGR99" s="46"/>
      <c r="JGS99" s="46"/>
      <c r="JGT99" s="46"/>
      <c r="JGU99" s="46"/>
      <c r="JGV99" s="46"/>
      <c r="JGW99" s="46"/>
      <c r="JGX99" s="46"/>
      <c r="JGY99" s="46"/>
      <c r="JGZ99" s="46"/>
      <c r="JHA99" s="46"/>
      <c r="JHB99" s="46"/>
      <c r="JHC99" s="46"/>
      <c r="JHD99" s="46"/>
      <c r="JHE99" s="46"/>
      <c r="JHF99" s="46"/>
      <c r="JHG99" s="46"/>
      <c r="JHH99" s="46"/>
      <c r="JHI99" s="46"/>
      <c r="JHJ99" s="46"/>
      <c r="JHK99" s="46"/>
      <c r="JHL99" s="46"/>
      <c r="JHM99" s="46"/>
      <c r="JHN99" s="46"/>
      <c r="JHO99" s="46"/>
      <c r="JHP99" s="46"/>
      <c r="JHQ99" s="46"/>
      <c r="JHR99" s="46"/>
      <c r="JHS99" s="46"/>
      <c r="JHT99" s="46"/>
      <c r="JHU99" s="46"/>
      <c r="JHV99" s="46"/>
      <c r="JHW99" s="46"/>
      <c r="JHX99" s="46"/>
      <c r="JHY99" s="46"/>
      <c r="JHZ99" s="46"/>
      <c r="JIA99" s="46"/>
      <c r="JIB99" s="46"/>
      <c r="JIC99" s="46"/>
      <c r="JID99" s="46"/>
      <c r="JIE99" s="46"/>
      <c r="JIF99" s="46"/>
      <c r="JIG99" s="46"/>
      <c r="JIH99" s="46"/>
      <c r="JII99" s="46"/>
      <c r="JIJ99" s="46"/>
      <c r="JIK99" s="46"/>
      <c r="JIL99" s="46"/>
      <c r="JIM99" s="46"/>
      <c r="JIN99" s="46"/>
      <c r="JIO99" s="46"/>
      <c r="JIP99" s="46"/>
      <c r="JIQ99" s="46"/>
      <c r="JIR99" s="46"/>
      <c r="JIS99" s="46"/>
      <c r="JIT99" s="46"/>
      <c r="JIU99" s="46"/>
      <c r="JIV99" s="46"/>
      <c r="JIW99" s="46"/>
      <c r="JIX99" s="46"/>
      <c r="JIY99" s="46"/>
      <c r="JIZ99" s="46"/>
      <c r="JJA99" s="46"/>
      <c r="JJB99" s="46"/>
      <c r="JJC99" s="46"/>
      <c r="JJD99" s="46"/>
      <c r="JJE99" s="46"/>
      <c r="JJF99" s="46"/>
      <c r="JJG99" s="46"/>
      <c r="JJH99" s="46"/>
      <c r="JJI99" s="46"/>
      <c r="JJJ99" s="46"/>
      <c r="JJK99" s="46"/>
      <c r="JJL99" s="46"/>
      <c r="JJM99" s="46"/>
      <c r="JJN99" s="46"/>
      <c r="JJO99" s="46"/>
      <c r="JJP99" s="46"/>
      <c r="JJQ99" s="46"/>
      <c r="JJR99" s="46"/>
      <c r="JJS99" s="46"/>
      <c r="JJT99" s="46"/>
      <c r="JJU99" s="46"/>
      <c r="JJV99" s="46"/>
      <c r="JJW99" s="46"/>
      <c r="JJX99" s="46"/>
      <c r="JJY99" s="46"/>
      <c r="JJZ99" s="46"/>
      <c r="JKA99" s="46"/>
      <c r="JKB99" s="46"/>
      <c r="JKC99" s="46"/>
      <c r="JKD99" s="46"/>
      <c r="JKE99" s="46"/>
      <c r="JKF99" s="46"/>
      <c r="JKG99" s="46"/>
      <c r="JKH99" s="46"/>
      <c r="JKI99" s="46"/>
      <c r="JKJ99" s="46"/>
      <c r="JKK99" s="46"/>
      <c r="JKL99" s="46"/>
      <c r="JKM99" s="46"/>
      <c r="JKN99" s="46"/>
      <c r="JKO99" s="46"/>
      <c r="JKP99" s="46"/>
      <c r="JKQ99" s="46"/>
      <c r="JKR99" s="46"/>
      <c r="JKS99" s="46"/>
      <c r="JKT99" s="46"/>
      <c r="JKU99" s="46"/>
      <c r="JKV99" s="46"/>
      <c r="JKW99" s="46"/>
      <c r="JKX99" s="46"/>
      <c r="JKY99" s="46"/>
      <c r="JKZ99" s="46"/>
      <c r="JLA99" s="46"/>
      <c r="JLB99" s="46"/>
      <c r="JLC99" s="46"/>
      <c r="JLD99" s="46"/>
      <c r="JLE99" s="46"/>
      <c r="JLF99" s="46"/>
      <c r="JLG99" s="46"/>
      <c r="JLH99" s="46"/>
      <c r="JLI99" s="46"/>
      <c r="JLJ99" s="46"/>
      <c r="JLK99" s="46"/>
      <c r="JLL99" s="46"/>
      <c r="JLM99" s="46"/>
      <c r="JLN99" s="46"/>
      <c r="JLO99" s="46"/>
      <c r="JLP99" s="46"/>
      <c r="JLQ99" s="46"/>
      <c r="JLR99" s="46"/>
      <c r="JLS99" s="46"/>
      <c r="JLT99" s="46"/>
      <c r="JLU99" s="46"/>
      <c r="JLV99" s="46"/>
      <c r="JLW99" s="46"/>
      <c r="JLX99" s="46"/>
      <c r="JLY99" s="46"/>
      <c r="JLZ99" s="46"/>
      <c r="JMA99" s="46"/>
      <c r="JMB99" s="46"/>
      <c r="JMC99" s="46"/>
      <c r="JMD99" s="46"/>
      <c r="JME99" s="46"/>
      <c r="JMF99" s="46"/>
      <c r="JMG99" s="46"/>
      <c r="JMH99" s="46"/>
      <c r="JMI99" s="46"/>
      <c r="JMJ99" s="46"/>
      <c r="JMK99" s="46"/>
      <c r="JML99" s="46"/>
      <c r="JMM99" s="46"/>
      <c r="JMN99" s="46"/>
      <c r="JMO99" s="46"/>
      <c r="JMP99" s="46"/>
      <c r="JMQ99" s="46"/>
      <c r="JMR99" s="46"/>
      <c r="JMS99" s="46"/>
      <c r="JMT99" s="46"/>
      <c r="JMU99" s="46"/>
      <c r="JMV99" s="46"/>
      <c r="JMW99" s="46"/>
      <c r="JMX99" s="46"/>
      <c r="JMY99" s="46"/>
      <c r="JMZ99" s="46"/>
      <c r="JNA99" s="46"/>
      <c r="JNB99" s="46"/>
      <c r="JNC99" s="46"/>
      <c r="JND99" s="46"/>
      <c r="JNE99" s="46"/>
      <c r="JNF99" s="46"/>
      <c r="JNG99" s="46"/>
      <c r="JNH99" s="46"/>
      <c r="JNI99" s="46"/>
      <c r="JNJ99" s="46"/>
      <c r="JNK99" s="46"/>
      <c r="JNL99" s="46"/>
      <c r="JNM99" s="46"/>
      <c r="JNN99" s="46"/>
      <c r="JNO99" s="46"/>
      <c r="JNP99" s="46"/>
      <c r="JNQ99" s="46"/>
      <c r="JNR99" s="46"/>
      <c r="JNS99" s="46"/>
      <c r="JNT99" s="46"/>
      <c r="JNU99" s="46"/>
      <c r="JNV99" s="46"/>
      <c r="JNW99" s="46"/>
      <c r="JNX99" s="46"/>
      <c r="JNY99" s="46"/>
      <c r="JNZ99" s="46"/>
      <c r="JOA99" s="46"/>
      <c r="JOB99" s="46"/>
      <c r="JOC99" s="46"/>
      <c r="JOD99" s="46"/>
      <c r="JOE99" s="46"/>
      <c r="JOF99" s="46"/>
      <c r="JOG99" s="46"/>
      <c r="JOH99" s="46"/>
      <c r="JOI99" s="46"/>
      <c r="JOJ99" s="46"/>
      <c r="JOK99" s="46"/>
      <c r="JOL99" s="46"/>
      <c r="JOM99" s="46"/>
      <c r="JON99" s="46"/>
      <c r="JOO99" s="46"/>
      <c r="JOP99" s="46"/>
      <c r="JOQ99" s="46"/>
      <c r="JOR99" s="46"/>
      <c r="JOS99" s="46"/>
      <c r="JOT99" s="46"/>
      <c r="JOU99" s="46"/>
      <c r="JOV99" s="46"/>
      <c r="JOW99" s="46"/>
      <c r="JOX99" s="46"/>
      <c r="JOY99" s="46"/>
      <c r="JOZ99" s="46"/>
      <c r="JPA99" s="46"/>
      <c r="JPB99" s="46"/>
      <c r="JPC99" s="46"/>
      <c r="JPD99" s="46"/>
      <c r="JPE99" s="46"/>
      <c r="JPF99" s="46"/>
      <c r="JPG99" s="46"/>
      <c r="JPH99" s="46"/>
      <c r="JPI99" s="46"/>
      <c r="JPJ99" s="46"/>
      <c r="JPK99" s="46"/>
      <c r="JPL99" s="46"/>
      <c r="JPM99" s="46"/>
      <c r="JPN99" s="46"/>
      <c r="JPO99" s="46"/>
      <c r="JPP99" s="46"/>
      <c r="JPQ99" s="46"/>
      <c r="JPR99" s="46"/>
      <c r="JPS99" s="46"/>
      <c r="JPT99" s="46"/>
      <c r="JPU99" s="46"/>
      <c r="JPV99" s="46"/>
      <c r="JPW99" s="46"/>
      <c r="JPX99" s="46"/>
      <c r="JPY99" s="46"/>
      <c r="JPZ99" s="46"/>
      <c r="JQA99" s="46"/>
      <c r="JQB99" s="46"/>
      <c r="JQC99" s="46"/>
      <c r="JQD99" s="46"/>
      <c r="JQE99" s="46"/>
      <c r="JQF99" s="46"/>
      <c r="JQG99" s="46"/>
      <c r="JQH99" s="46"/>
      <c r="JQI99" s="46"/>
      <c r="JQJ99" s="46"/>
      <c r="JQK99" s="46"/>
      <c r="JQL99" s="46"/>
      <c r="JQM99" s="46"/>
      <c r="JQN99" s="46"/>
      <c r="JQO99" s="46"/>
      <c r="JQP99" s="46"/>
      <c r="JQQ99" s="46"/>
      <c r="JQR99" s="46"/>
      <c r="JQS99" s="46"/>
      <c r="JQT99" s="46"/>
      <c r="JQU99" s="46"/>
      <c r="JQV99" s="46"/>
      <c r="JQW99" s="46"/>
      <c r="JQX99" s="46"/>
      <c r="JQY99" s="46"/>
      <c r="JQZ99" s="46"/>
      <c r="JRA99" s="46"/>
      <c r="JRB99" s="46"/>
      <c r="JRC99" s="46"/>
      <c r="JRD99" s="46"/>
      <c r="JRE99" s="46"/>
      <c r="JRF99" s="46"/>
      <c r="JRG99" s="46"/>
      <c r="JRH99" s="46"/>
      <c r="JRI99" s="46"/>
      <c r="JRJ99" s="46"/>
      <c r="JRK99" s="46"/>
      <c r="JRL99" s="46"/>
      <c r="JRM99" s="46"/>
      <c r="JRN99" s="46"/>
      <c r="JRO99" s="46"/>
      <c r="JRP99" s="46"/>
      <c r="JRQ99" s="46"/>
      <c r="JRR99" s="46"/>
      <c r="JRS99" s="46"/>
      <c r="JRT99" s="46"/>
      <c r="JRU99" s="46"/>
      <c r="JRV99" s="46"/>
      <c r="JRW99" s="46"/>
      <c r="JRX99" s="46"/>
      <c r="JRY99" s="46"/>
      <c r="JRZ99" s="46"/>
      <c r="JSA99" s="46"/>
      <c r="JSB99" s="46"/>
      <c r="JSC99" s="46"/>
      <c r="JSD99" s="46"/>
      <c r="JSE99" s="46"/>
      <c r="JSF99" s="46"/>
      <c r="JSG99" s="46"/>
      <c r="JSH99" s="46"/>
      <c r="JSI99" s="46"/>
      <c r="JSJ99" s="46"/>
      <c r="JSK99" s="46"/>
      <c r="JSL99" s="46"/>
      <c r="JSM99" s="46"/>
      <c r="JSN99" s="46"/>
      <c r="JSO99" s="46"/>
      <c r="JSP99" s="46"/>
      <c r="JSQ99" s="46"/>
      <c r="JSR99" s="46"/>
      <c r="JSS99" s="46"/>
      <c r="JST99" s="46"/>
      <c r="JSU99" s="46"/>
      <c r="JSV99" s="46"/>
      <c r="JSW99" s="46"/>
      <c r="JSX99" s="46"/>
      <c r="JSY99" s="46"/>
      <c r="JSZ99" s="46"/>
      <c r="JTA99" s="46"/>
      <c r="JTB99" s="46"/>
      <c r="JTC99" s="46"/>
      <c r="JTD99" s="46"/>
      <c r="JTE99" s="46"/>
      <c r="JTF99" s="46"/>
      <c r="JTG99" s="46"/>
      <c r="JTH99" s="46"/>
      <c r="JTI99" s="46"/>
      <c r="JTJ99" s="46"/>
      <c r="JTK99" s="46"/>
      <c r="JTL99" s="46"/>
      <c r="JTM99" s="46"/>
      <c r="JTN99" s="46"/>
      <c r="JTO99" s="46"/>
      <c r="JTP99" s="46"/>
      <c r="JTQ99" s="46"/>
      <c r="JTR99" s="46"/>
      <c r="JTS99" s="46"/>
      <c r="JTT99" s="46"/>
      <c r="JTU99" s="46"/>
      <c r="JTV99" s="46"/>
      <c r="JTW99" s="46"/>
      <c r="JTX99" s="46"/>
      <c r="JTY99" s="46"/>
      <c r="JTZ99" s="46"/>
      <c r="JUA99" s="46"/>
      <c r="JUB99" s="46"/>
      <c r="JUC99" s="46"/>
      <c r="JUD99" s="46"/>
      <c r="JUE99" s="46"/>
      <c r="JUF99" s="46"/>
      <c r="JUG99" s="46"/>
      <c r="JUH99" s="46"/>
      <c r="JUI99" s="46"/>
      <c r="JUJ99" s="46"/>
      <c r="JUK99" s="46"/>
      <c r="JUL99" s="46"/>
      <c r="JUM99" s="46"/>
      <c r="JUN99" s="46"/>
      <c r="JUO99" s="46"/>
      <c r="JUP99" s="46"/>
      <c r="JUQ99" s="46"/>
      <c r="JUR99" s="46"/>
      <c r="JUS99" s="46"/>
      <c r="JUT99" s="46"/>
      <c r="JUU99" s="46"/>
      <c r="JUV99" s="46"/>
      <c r="JUW99" s="46"/>
      <c r="JUX99" s="46"/>
      <c r="JUY99" s="46"/>
      <c r="JUZ99" s="46"/>
      <c r="JVA99" s="46"/>
      <c r="JVB99" s="46"/>
      <c r="JVC99" s="46"/>
      <c r="JVD99" s="46"/>
      <c r="JVE99" s="46"/>
      <c r="JVF99" s="46"/>
      <c r="JVG99" s="46"/>
      <c r="JVH99" s="46"/>
      <c r="JVI99" s="46"/>
      <c r="JVJ99" s="46"/>
      <c r="JVK99" s="46"/>
      <c r="JVL99" s="46"/>
      <c r="JVM99" s="46"/>
      <c r="JVN99" s="46"/>
      <c r="JVO99" s="46"/>
      <c r="JVP99" s="46"/>
      <c r="JVQ99" s="46"/>
      <c r="JVR99" s="46"/>
      <c r="JVS99" s="46"/>
      <c r="JVT99" s="46"/>
      <c r="JVU99" s="46"/>
      <c r="JVV99" s="46"/>
      <c r="JVW99" s="46"/>
      <c r="JVX99" s="46"/>
      <c r="JVY99" s="46"/>
      <c r="JVZ99" s="46"/>
      <c r="JWA99" s="46"/>
      <c r="JWB99" s="46"/>
      <c r="JWC99" s="46"/>
      <c r="JWD99" s="46"/>
      <c r="JWE99" s="46"/>
      <c r="JWF99" s="46"/>
      <c r="JWG99" s="46"/>
      <c r="JWH99" s="46"/>
      <c r="JWI99" s="46"/>
      <c r="JWJ99" s="46"/>
      <c r="JWK99" s="46"/>
      <c r="JWL99" s="46"/>
      <c r="JWM99" s="46"/>
      <c r="JWN99" s="46"/>
      <c r="JWO99" s="46"/>
      <c r="JWP99" s="46"/>
      <c r="JWQ99" s="46"/>
      <c r="JWR99" s="46"/>
      <c r="JWS99" s="46"/>
      <c r="JWT99" s="46"/>
      <c r="JWU99" s="46"/>
      <c r="JWV99" s="46"/>
      <c r="JWW99" s="46"/>
      <c r="JWX99" s="46"/>
      <c r="JWY99" s="46"/>
      <c r="JWZ99" s="46"/>
      <c r="JXA99" s="46"/>
      <c r="JXB99" s="46"/>
      <c r="JXC99" s="46"/>
      <c r="JXD99" s="46"/>
      <c r="JXE99" s="46"/>
      <c r="JXF99" s="46"/>
      <c r="JXG99" s="46"/>
      <c r="JXH99" s="46"/>
      <c r="JXI99" s="46"/>
      <c r="JXJ99" s="46"/>
      <c r="JXK99" s="46"/>
      <c r="JXL99" s="46"/>
      <c r="JXM99" s="46"/>
      <c r="JXN99" s="46"/>
      <c r="JXO99" s="46"/>
      <c r="JXP99" s="46"/>
      <c r="JXQ99" s="46"/>
      <c r="JXR99" s="46"/>
      <c r="JXS99" s="46"/>
      <c r="JXT99" s="46"/>
      <c r="JXU99" s="46"/>
      <c r="JXV99" s="46"/>
      <c r="JXW99" s="46"/>
      <c r="JXX99" s="46"/>
      <c r="JXY99" s="46"/>
      <c r="JXZ99" s="46"/>
      <c r="JYA99" s="46"/>
      <c r="JYB99" s="46"/>
      <c r="JYC99" s="46"/>
      <c r="JYD99" s="46"/>
      <c r="JYE99" s="46"/>
      <c r="JYF99" s="46"/>
      <c r="JYG99" s="46"/>
      <c r="JYH99" s="46"/>
      <c r="JYI99" s="46"/>
      <c r="JYJ99" s="46"/>
      <c r="JYK99" s="46"/>
      <c r="JYL99" s="46"/>
      <c r="JYM99" s="46"/>
      <c r="JYN99" s="46"/>
      <c r="JYO99" s="46"/>
      <c r="JYP99" s="46"/>
      <c r="JYQ99" s="46"/>
      <c r="JYR99" s="46"/>
      <c r="JYS99" s="46"/>
      <c r="JYT99" s="46"/>
      <c r="JYU99" s="46"/>
      <c r="JYV99" s="46"/>
      <c r="JYW99" s="46"/>
      <c r="JYX99" s="46"/>
      <c r="JYY99" s="46"/>
      <c r="JYZ99" s="46"/>
      <c r="JZA99" s="46"/>
      <c r="JZB99" s="46"/>
      <c r="JZC99" s="46"/>
      <c r="JZD99" s="46"/>
      <c r="JZE99" s="46"/>
      <c r="JZF99" s="46"/>
      <c r="JZG99" s="46"/>
      <c r="JZH99" s="46"/>
      <c r="JZI99" s="46"/>
      <c r="JZJ99" s="46"/>
      <c r="JZK99" s="46"/>
      <c r="JZL99" s="46"/>
      <c r="JZM99" s="46"/>
      <c r="JZN99" s="46"/>
      <c r="JZO99" s="46"/>
      <c r="JZP99" s="46"/>
      <c r="JZQ99" s="46"/>
      <c r="JZR99" s="46"/>
      <c r="JZS99" s="46"/>
      <c r="JZT99" s="46"/>
      <c r="JZU99" s="46"/>
      <c r="JZV99" s="46"/>
      <c r="JZW99" s="46"/>
      <c r="JZX99" s="46"/>
      <c r="JZY99" s="46"/>
      <c r="JZZ99" s="46"/>
      <c r="KAA99" s="46"/>
      <c r="KAB99" s="46"/>
      <c r="KAC99" s="46"/>
      <c r="KAD99" s="46"/>
      <c r="KAE99" s="46"/>
      <c r="KAF99" s="46"/>
      <c r="KAG99" s="46"/>
      <c r="KAH99" s="46"/>
      <c r="KAI99" s="46"/>
      <c r="KAJ99" s="46"/>
      <c r="KAK99" s="46"/>
      <c r="KAL99" s="46"/>
      <c r="KAM99" s="46"/>
      <c r="KAN99" s="46"/>
      <c r="KAO99" s="46"/>
      <c r="KAP99" s="46"/>
      <c r="KAQ99" s="46"/>
      <c r="KAR99" s="46"/>
      <c r="KAS99" s="46"/>
      <c r="KAT99" s="46"/>
      <c r="KAU99" s="46"/>
      <c r="KAV99" s="46"/>
      <c r="KAW99" s="46"/>
      <c r="KAX99" s="46"/>
      <c r="KAY99" s="46"/>
      <c r="KAZ99" s="46"/>
      <c r="KBA99" s="46"/>
      <c r="KBB99" s="46"/>
      <c r="KBC99" s="46"/>
      <c r="KBD99" s="46"/>
      <c r="KBE99" s="46"/>
      <c r="KBF99" s="46"/>
      <c r="KBG99" s="46"/>
      <c r="KBH99" s="46"/>
      <c r="KBI99" s="46"/>
      <c r="KBJ99" s="46"/>
      <c r="KBK99" s="46"/>
      <c r="KBL99" s="46"/>
      <c r="KBM99" s="46"/>
      <c r="KBN99" s="46"/>
      <c r="KBO99" s="46"/>
      <c r="KBP99" s="46"/>
      <c r="KBQ99" s="46"/>
      <c r="KBR99" s="46"/>
      <c r="KBS99" s="46"/>
      <c r="KBT99" s="46"/>
      <c r="KBU99" s="46"/>
      <c r="KBV99" s="46"/>
      <c r="KBW99" s="46"/>
      <c r="KBX99" s="46"/>
      <c r="KBY99" s="46"/>
      <c r="KBZ99" s="46"/>
      <c r="KCA99" s="46"/>
      <c r="KCB99" s="46"/>
      <c r="KCC99" s="46"/>
      <c r="KCD99" s="46"/>
      <c r="KCE99" s="46"/>
      <c r="KCF99" s="46"/>
      <c r="KCG99" s="46"/>
      <c r="KCH99" s="46"/>
      <c r="KCI99" s="46"/>
      <c r="KCJ99" s="46"/>
      <c r="KCK99" s="46"/>
      <c r="KCL99" s="46"/>
      <c r="KCM99" s="46"/>
      <c r="KCN99" s="46"/>
      <c r="KCO99" s="46"/>
      <c r="KCP99" s="46"/>
      <c r="KCQ99" s="46"/>
      <c r="KCR99" s="46"/>
      <c r="KCS99" s="46"/>
      <c r="KCT99" s="46"/>
      <c r="KCU99" s="46"/>
      <c r="KCV99" s="46"/>
      <c r="KCW99" s="46"/>
      <c r="KCX99" s="46"/>
      <c r="KCY99" s="46"/>
      <c r="KCZ99" s="46"/>
      <c r="KDA99" s="46"/>
      <c r="KDB99" s="46"/>
      <c r="KDC99" s="46"/>
      <c r="KDD99" s="46"/>
      <c r="KDE99" s="46"/>
      <c r="KDF99" s="46"/>
      <c r="KDG99" s="46"/>
      <c r="KDH99" s="46"/>
      <c r="KDI99" s="46"/>
      <c r="KDJ99" s="46"/>
      <c r="KDK99" s="46"/>
      <c r="KDL99" s="46"/>
      <c r="KDM99" s="46"/>
      <c r="KDN99" s="46"/>
      <c r="KDO99" s="46"/>
      <c r="KDP99" s="46"/>
      <c r="KDQ99" s="46"/>
      <c r="KDR99" s="46"/>
      <c r="KDS99" s="46"/>
      <c r="KDT99" s="46"/>
      <c r="KDU99" s="46"/>
      <c r="KDV99" s="46"/>
      <c r="KDW99" s="46"/>
      <c r="KDX99" s="46"/>
      <c r="KDY99" s="46"/>
      <c r="KDZ99" s="46"/>
      <c r="KEA99" s="46"/>
      <c r="KEB99" s="46"/>
      <c r="KEC99" s="46"/>
      <c r="KED99" s="46"/>
      <c r="KEE99" s="46"/>
      <c r="KEF99" s="46"/>
      <c r="KEG99" s="46"/>
      <c r="KEH99" s="46"/>
      <c r="KEI99" s="46"/>
      <c r="KEJ99" s="46"/>
      <c r="KEK99" s="46"/>
      <c r="KEL99" s="46"/>
      <c r="KEM99" s="46"/>
      <c r="KEN99" s="46"/>
      <c r="KEO99" s="46"/>
      <c r="KEP99" s="46"/>
      <c r="KEQ99" s="46"/>
      <c r="KER99" s="46"/>
      <c r="KES99" s="46"/>
      <c r="KET99" s="46"/>
      <c r="KEU99" s="46"/>
      <c r="KEV99" s="46"/>
      <c r="KEW99" s="46"/>
      <c r="KEX99" s="46"/>
      <c r="KEY99" s="46"/>
      <c r="KEZ99" s="46"/>
      <c r="KFA99" s="46"/>
      <c r="KFB99" s="46"/>
      <c r="KFC99" s="46"/>
      <c r="KFD99" s="46"/>
      <c r="KFE99" s="46"/>
      <c r="KFF99" s="46"/>
      <c r="KFG99" s="46"/>
      <c r="KFH99" s="46"/>
      <c r="KFI99" s="46"/>
      <c r="KFJ99" s="46"/>
      <c r="KFK99" s="46"/>
      <c r="KFL99" s="46"/>
      <c r="KFM99" s="46"/>
      <c r="KFN99" s="46"/>
      <c r="KFO99" s="46"/>
      <c r="KFP99" s="46"/>
      <c r="KFQ99" s="46"/>
      <c r="KFR99" s="46"/>
      <c r="KFS99" s="46"/>
      <c r="KFT99" s="46"/>
      <c r="KFU99" s="46"/>
      <c r="KFV99" s="46"/>
      <c r="KFW99" s="46"/>
      <c r="KFX99" s="46"/>
      <c r="KFY99" s="46"/>
      <c r="KFZ99" s="46"/>
      <c r="KGA99" s="46"/>
      <c r="KGB99" s="46"/>
      <c r="KGC99" s="46"/>
      <c r="KGD99" s="46"/>
      <c r="KGE99" s="46"/>
      <c r="KGF99" s="46"/>
      <c r="KGG99" s="46"/>
      <c r="KGH99" s="46"/>
      <c r="KGI99" s="46"/>
      <c r="KGJ99" s="46"/>
      <c r="KGK99" s="46"/>
      <c r="KGL99" s="46"/>
      <c r="KGM99" s="46"/>
      <c r="KGN99" s="46"/>
      <c r="KGO99" s="46"/>
      <c r="KGP99" s="46"/>
      <c r="KGQ99" s="46"/>
      <c r="KGR99" s="46"/>
      <c r="KGS99" s="46"/>
      <c r="KGT99" s="46"/>
      <c r="KGU99" s="46"/>
      <c r="KGV99" s="46"/>
      <c r="KGW99" s="46"/>
      <c r="KGX99" s="46"/>
      <c r="KGY99" s="46"/>
      <c r="KGZ99" s="46"/>
      <c r="KHA99" s="46"/>
      <c r="KHB99" s="46"/>
      <c r="KHC99" s="46"/>
      <c r="KHD99" s="46"/>
      <c r="KHE99" s="46"/>
      <c r="KHF99" s="46"/>
      <c r="KHG99" s="46"/>
      <c r="KHH99" s="46"/>
      <c r="KHI99" s="46"/>
      <c r="KHJ99" s="46"/>
      <c r="KHK99" s="46"/>
      <c r="KHL99" s="46"/>
      <c r="KHM99" s="46"/>
      <c r="KHN99" s="46"/>
      <c r="KHO99" s="46"/>
      <c r="KHP99" s="46"/>
      <c r="KHQ99" s="46"/>
      <c r="KHR99" s="46"/>
      <c r="KHS99" s="46"/>
      <c r="KHT99" s="46"/>
      <c r="KHU99" s="46"/>
      <c r="KHV99" s="46"/>
      <c r="KHW99" s="46"/>
      <c r="KHX99" s="46"/>
      <c r="KHY99" s="46"/>
      <c r="KHZ99" s="46"/>
      <c r="KIA99" s="46"/>
      <c r="KIB99" s="46"/>
      <c r="KIC99" s="46"/>
      <c r="KID99" s="46"/>
      <c r="KIE99" s="46"/>
      <c r="KIF99" s="46"/>
      <c r="KIG99" s="46"/>
      <c r="KIH99" s="46"/>
      <c r="KII99" s="46"/>
      <c r="KIJ99" s="46"/>
      <c r="KIK99" s="46"/>
      <c r="KIL99" s="46"/>
      <c r="KIM99" s="46"/>
      <c r="KIN99" s="46"/>
      <c r="KIO99" s="46"/>
      <c r="KIP99" s="46"/>
      <c r="KIQ99" s="46"/>
      <c r="KIR99" s="46"/>
      <c r="KIS99" s="46"/>
      <c r="KIT99" s="46"/>
      <c r="KIU99" s="46"/>
      <c r="KIV99" s="46"/>
      <c r="KIW99" s="46"/>
      <c r="KIX99" s="46"/>
      <c r="KIY99" s="46"/>
      <c r="KIZ99" s="46"/>
      <c r="KJA99" s="46"/>
      <c r="KJB99" s="46"/>
      <c r="KJC99" s="46"/>
      <c r="KJD99" s="46"/>
      <c r="KJE99" s="46"/>
      <c r="KJF99" s="46"/>
      <c r="KJG99" s="46"/>
      <c r="KJH99" s="46"/>
      <c r="KJI99" s="46"/>
      <c r="KJJ99" s="46"/>
      <c r="KJK99" s="46"/>
      <c r="KJL99" s="46"/>
      <c r="KJM99" s="46"/>
      <c r="KJN99" s="46"/>
      <c r="KJO99" s="46"/>
      <c r="KJP99" s="46"/>
      <c r="KJQ99" s="46"/>
      <c r="KJR99" s="46"/>
      <c r="KJS99" s="46"/>
      <c r="KJT99" s="46"/>
      <c r="KJU99" s="46"/>
      <c r="KJV99" s="46"/>
      <c r="KJW99" s="46"/>
      <c r="KJX99" s="46"/>
      <c r="KJY99" s="46"/>
      <c r="KJZ99" s="46"/>
      <c r="KKA99" s="46"/>
      <c r="KKB99" s="46"/>
      <c r="KKC99" s="46"/>
      <c r="KKD99" s="46"/>
      <c r="KKE99" s="46"/>
      <c r="KKF99" s="46"/>
      <c r="KKG99" s="46"/>
      <c r="KKH99" s="46"/>
      <c r="KKI99" s="46"/>
      <c r="KKJ99" s="46"/>
      <c r="KKK99" s="46"/>
      <c r="KKL99" s="46"/>
      <c r="KKM99" s="46"/>
      <c r="KKN99" s="46"/>
      <c r="KKO99" s="46"/>
      <c r="KKP99" s="46"/>
      <c r="KKQ99" s="46"/>
      <c r="KKR99" s="46"/>
      <c r="KKS99" s="46"/>
      <c r="KKT99" s="46"/>
      <c r="KKU99" s="46"/>
      <c r="KKV99" s="46"/>
      <c r="KKW99" s="46"/>
      <c r="KKX99" s="46"/>
      <c r="KKY99" s="46"/>
      <c r="KKZ99" s="46"/>
      <c r="KLA99" s="46"/>
      <c r="KLB99" s="46"/>
      <c r="KLC99" s="46"/>
      <c r="KLD99" s="46"/>
      <c r="KLE99" s="46"/>
      <c r="KLF99" s="46"/>
      <c r="KLG99" s="46"/>
      <c r="KLH99" s="46"/>
      <c r="KLI99" s="46"/>
      <c r="KLJ99" s="46"/>
      <c r="KLK99" s="46"/>
      <c r="KLL99" s="46"/>
      <c r="KLM99" s="46"/>
      <c r="KLN99" s="46"/>
      <c r="KLO99" s="46"/>
      <c r="KLP99" s="46"/>
      <c r="KLQ99" s="46"/>
      <c r="KLR99" s="46"/>
      <c r="KLS99" s="46"/>
      <c r="KLT99" s="46"/>
      <c r="KLU99" s="46"/>
      <c r="KLV99" s="46"/>
      <c r="KLW99" s="46"/>
      <c r="KLX99" s="46"/>
      <c r="KLY99" s="46"/>
      <c r="KLZ99" s="46"/>
      <c r="KMA99" s="46"/>
      <c r="KMB99" s="46"/>
      <c r="KMC99" s="46"/>
      <c r="KMD99" s="46"/>
      <c r="KME99" s="46"/>
      <c r="KMF99" s="46"/>
      <c r="KMG99" s="46"/>
      <c r="KMH99" s="46"/>
      <c r="KMI99" s="46"/>
      <c r="KMJ99" s="46"/>
      <c r="KMK99" s="46"/>
      <c r="KML99" s="46"/>
      <c r="KMM99" s="46"/>
      <c r="KMN99" s="46"/>
      <c r="KMO99" s="46"/>
      <c r="KMP99" s="46"/>
      <c r="KMQ99" s="46"/>
      <c r="KMR99" s="46"/>
      <c r="KMS99" s="46"/>
      <c r="KMT99" s="46"/>
      <c r="KMU99" s="46"/>
      <c r="KMV99" s="46"/>
      <c r="KMW99" s="46"/>
      <c r="KMX99" s="46"/>
      <c r="KMY99" s="46"/>
      <c r="KMZ99" s="46"/>
      <c r="KNA99" s="46"/>
      <c r="KNB99" s="46"/>
      <c r="KNC99" s="46"/>
      <c r="KND99" s="46"/>
      <c r="KNE99" s="46"/>
      <c r="KNF99" s="46"/>
      <c r="KNG99" s="46"/>
      <c r="KNH99" s="46"/>
      <c r="KNI99" s="46"/>
      <c r="KNJ99" s="46"/>
      <c r="KNK99" s="46"/>
      <c r="KNL99" s="46"/>
      <c r="KNM99" s="46"/>
      <c r="KNN99" s="46"/>
      <c r="KNO99" s="46"/>
      <c r="KNP99" s="46"/>
      <c r="KNQ99" s="46"/>
      <c r="KNR99" s="46"/>
      <c r="KNS99" s="46"/>
      <c r="KNT99" s="46"/>
      <c r="KNU99" s="46"/>
      <c r="KNV99" s="46"/>
      <c r="KNW99" s="46"/>
      <c r="KNX99" s="46"/>
      <c r="KNY99" s="46"/>
      <c r="KNZ99" s="46"/>
      <c r="KOA99" s="46"/>
      <c r="KOB99" s="46"/>
      <c r="KOC99" s="46"/>
      <c r="KOD99" s="46"/>
      <c r="KOE99" s="46"/>
      <c r="KOF99" s="46"/>
      <c r="KOG99" s="46"/>
      <c r="KOH99" s="46"/>
      <c r="KOI99" s="46"/>
      <c r="KOJ99" s="46"/>
      <c r="KOK99" s="46"/>
      <c r="KOL99" s="46"/>
      <c r="KOM99" s="46"/>
      <c r="KON99" s="46"/>
      <c r="KOO99" s="46"/>
      <c r="KOP99" s="46"/>
      <c r="KOQ99" s="46"/>
      <c r="KOR99" s="46"/>
      <c r="KOS99" s="46"/>
      <c r="KOT99" s="46"/>
      <c r="KOU99" s="46"/>
      <c r="KOV99" s="46"/>
      <c r="KOW99" s="46"/>
      <c r="KOX99" s="46"/>
      <c r="KOY99" s="46"/>
      <c r="KOZ99" s="46"/>
      <c r="KPA99" s="46"/>
      <c r="KPB99" s="46"/>
      <c r="KPC99" s="46"/>
      <c r="KPD99" s="46"/>
      <c r="KPE99" s="46"/>
      <c r="KPF99" s="46"/>
      <c r="KPG99" s="46"/>
      <c r="KPH99" s="46"/>
      <c r="KPI99" s="46"/>
      <c r="KPJ99" s="46"/>
      <c r="KPK99" s="46"/>
      <c r="KPL99" s="46"/>
      <c r="KPM99" s="46"/>
      <c r="KPN99" s="46"/>
      <c r="KPO99" s="46"/>
      <c r="KPP99" s="46"/>
      <c r="KPQ99" s="46"/>
      <c r="KPR99" s="46"/>
      <c r="KPS99" s="46"/>
      <c r="KPT99" s="46"/>
      <c r="KPU99" s="46"/>
      <c r="KPV99" s="46"/>
      <c r="KPW99" s="46"/>
      <c r="KPX99" s="46"/>
      <c r="KPY99" s="46"/>
      <c r="KPZ99" s="46"/>
      <c r="KQA99" s="46"/>
      <c r="KQB99" s="46"/>
      <c r="KQC99" s="46"/>
      <c r="KQD99" s="46"/>
      <c r="KQE99" s="46"/>
      <c r="KQF99" s="46"/>
      <c r="KQG99" s="46"/>
      <c r="KQH99" s="46"/>
      <c r="KQI99" s="46"/>
      <c r="KQJ99" s="46"/>
      <c r="KQK99" s="46"/>
      <c r="KQL99" s="46"/>
      <c r="KQM99" s="46"/>
      <c r="KQN99" s="46"/>
      <c r="KQO99" s="46"/>
      <c r="KQP99" s="46"/>
      <c r="KQQ99" s="46"/>
      <c r="KQR99" s="46"/>
      <c r="KQS99" s="46"/>
      <c r="KQT99" s="46"/>
      <c r="KQU99" s="46"/>
      <c r="KQV99" s="46"/>
      <c r="KQW99" s="46"/>
      <c r="KQX99" s="46"/>
      <c r="KQY99" s="46"/>
      <c r="KQZ99" s="46"/>
      <c r="KRA99" s="46"/>
      <c r="KRB99" s="46"/>
      <c r="KRC99" s="46"/>
      <c r="KRD99" s="46"/>
      <c r="KRE99" s="46"/>
      <c r="KRF99" s="46"/>
      <c r="KRG99" s="46"/>
      <c r="KRH99" s="46"/>
      <c r="KRI99" s="46"/>
      <c r="KRJ99" s="46"/>
      <c r="KRK99" s="46"/>
      <c r="KRL99" s="46"/>
      <c r="KRM99" s="46"/>
      <c r="KRN99" s="46"/>
      <c r="KRO99" s="46"/>
      <c r="KRP99" s="46"/>
      <c r="KRQ99" s="46"/>
      <c r="KRR99" s="46"/>
      <c r="KRS99" s="46"/>
      <c r="KRT99" s="46"/>
      <c r="KRU99" s="46"/>
      <c r="KRV99" s="46"/>
      <c r="KRW99" s="46"/>
      <c r="KRX99" s="46"/>
      <c r="KRY99" s="46"/>
      <c r="KRZ99" s="46"/>
      <c r="KSA99" s="46"/>
      <c r="KSB99" s="46"/>
      <c r="KSC99" s="46"/>
      <c r="KSD99" s="46"/>
      <c r="KSE99" s="46"/>
      <c r="KSF99" s="46"/>
      <c r="KSG99" s="46"/>
      <c r="KSH99" s="46"/>
      <c r="KSI99" s="46"/>
      <c r="KSJ99" s="46"/>
      <c r="KSK99" s="46"/>
      <c r="KSL99" s="46"/>
      <c r="KSM99" s="46"/>
      <c r="KSN99" s="46"/>
      <c r="KSO99" s="46"/>
      <c r="KSP99" s="46"/>
      <c r="KSQ99" s="46"/>
      <c r="KSR99" s="46"/>
      <c r="KSS99" s="46"/>
      <c r="KST99" s="46"/>
      <c r="KSU99" s="46"/>
      <c r="KSV99" s="46"/>
      <c r="KSW99" s="46"/>
      <c r="KSX99" s="46"/>
      <c r="KSY99" s="46"/>
      <c r="KSZ99" s="46"/>
      <c r="KTA99" s="46"/>
      <c r="KTB99" s="46"/>
      <c r="KTC99" s="46"/>
      <c r="KTD99" s="46"/>
      <c r="KTE99" s="46"/>
      <c r="KTF99" s="46"/>
      <c r="KTG99" s="46"/>
      <c r="KTH99" s="46"/>
      <c r="KTI99" s="46"/>
      <c r="KTJ99" s="46"/>
      <c r="KTK99" s="46"/>
      <c r="KTL99" s="46"/>
      <c r="KTM99" s="46"/>
      <c r="KTN99" s="46"/>
      <c r="KTO99" s="46"/>
      <c r="KTP99" s="46"/>
      <c r="KTQ99" s="46"/>
      <c r="KTR99" s="46"/>
      <c r="KTS99" s="46"/>
      <c r="KTT99" s="46"/>
      <c r="KTU99" s="46"/>
      <c r="KTV99" s="46"/>
      <c r="KTW99" s="46"/>
      <c r="KTX99" s="46"/>
      <c r="KTY99" s="46"/>
      <c r="KTZ99" s="46"/>
      <c r="KUA99" s="46"/>
      <c r="KUB99" s="46"/>
      <c r="KUC99" s="46"/>
      <c r="KUD99" s="46"/>
      <c r="KUE99" s="46"/>
      <c r="KUF99" s="46"/>
      <c r="KUG99" s="46"/>
      <c r="KUH99" s="46"/>
      <c r="KUI99" s="46"/>
      <c r="KUJ99" s="46"/>
      <c r="KUK99" s="46"/>
      <c r="KUL99" s="46"/>
      <c r="KUM99" s="46"/>
      <c r="KUN99" s="46"/>
      <c r="KUO99" s="46"/>
      <c r="KUP99" s="46"/>
      <c r="KUQ99" s="46"/>
      <c r="KUR99" s="46"/>
      <c r="KUS99" s="46"/>
      <c r="KUT99" s="46"/>
      <c r="KUU99" s="46"/>
      <c r="KUV99" s="46"/>
      <c r="KUW99" s="46"/>
      <c r="KUX99" s="46"/>
      <c r="KUY99" s="46"/>
      <c r="KUZ99" s="46"/>
      <c r="KVA99" s="46"/>
      <c r="KVB99" s="46"/>
      <c r="KVC99" s="46"/>
      <c r="KVD99" s="46"/>
      <c r="KVE99" s="46"/>
      <c r="KVF99" s="46"/>
      <c r="KVG99" s="46"/>
      <c r="KVH99" s="46"/>
      <c r="KVI99" s="46"/>
      <c r="KVJ99" s="46"/>
      <c r="KVK99" s="46"/>
      <c r="KVL99" s="46"/>
      <c r="KVM99" s="46"/>
      <c r="KVN99" s="46"/>
      <c r="KVO99" s="46"/>
      <c r="KVP99" s="46"/>
      <c r="KVQ99" s="46"/>
      <c r="KVR99" s="46"/>
      <c r="KVS99" s="46"/>
      <c r="KVT99" s="46"/>
      <c r="KVU99" s="46"/>
      <c r="KVV99" s="46"/>
      <c r="KVW99" s="46"/>
      <c r="KVX99" s="46"/>
      <c r="KVY99" s="46"/>
      <c r="KVZ99" s="46"/>
      <c r="KWA99" s="46"/>
      <c r="KWB99" s="46"/>
      <c r="KWC99" s="46"/>
      <c r="KWD99" s="46"/>
      <c r="KWE99" s="46"/>
      <c r="KWF99" s="46"/>
      <c r="KWG99" s="46"/>
      <c r="KWH99" s="46"/>
      <c r="KWI99" s="46"/>
      <c r="KWJ99" s="46"/>
      <c r="KWK99" s="46"/>
      <c r="KWL99" s="46"/>
      <c r="KWM99" s="46"/>
      <c r="KWN99" s="46"/>
      <c r="KWO99" s="46"/>
      <c r="KWP99" s="46"/>
      <c r="KWQ99" s="46"/>
      <c r="KWR99" s="46"/>
      <c r="KWS99" s="46"/>
      <c r="KWT99" s="46"/>
      <c r="KWU99" s="46"/>
      <c r="KWV99" s="46"/>
      <c r="KWW99" s="46"/>
      <c r="KWX99" s="46"/>
      <c r="KWY99" s="46"/>
      <c r="KWZ99" s="46"/>
      <c r="KXA99" s="46"/>
      <c r="KXB99" s="46"/>
      <c r="KXC99" s="46"/>
      <c r="KXD99" s="46"/>
      <c r="KXE99" s="46"/>
      <c r="KXF99" s="46"/>
      <c r="KXG99" s="46"/>
      <c r="KXH99" s="46"/>
      <c r="KXI99" s="46"/>
      <c r="KXJ99" s="46"/>
      <c r="KXK99" s="46"/>
      <c r="KXL99" s="46"/>
      <c r="KXM99" s="46"/>
      <c r="KXN99" s="46"/>
      <c r="KXO99" s="46"/>
      <c r="KXP99" s="46"/>
      <c r="KXQ99" s="46"/>
      <c r="KXR99" s="46"/>
      <c r="KXS99" s="46"/>
      <c r="KXT99" s="46"/>
      <c r="KXU99" s="46"/>
      <c r="KXV99" s="46"/>
      <c r="KXW99" s="46"/>
      <c r="KXX99" s="46"/>
      <c r="KXY99" s="46"/>
      <c r="KXZ99" s="46"/>
      <c r="KYA99" s="46"/>
      <c r="KYB99" s="46"/>
      <c r="KYC99" s="46"/>
      <c r="KYD99" s="46"/>
      <c r="KYE99" s="46"/>
      <c r="KYF99" s="46"/>
      <c r="KYG99" s="46"/>
      <c r="KYH99" s="46"/>
      <c r="KYI99" s="46"/>
      <c r="KYJ99" s="46"/>
      <c r="KYK99" s="46"/>
      <c r="KYL99" s="46"/>
      <c r="KYM99" s="46"/>
      <c r="KYN99" s="46"/>
      <c r="KYO99" s="46"/>
      <c r="KYP99" s="46"/>
      <c r="KYQ99" s="46"/>
      <c r="KYR99" s="46"/>
      <c r="KYS99" s="46"/>
      <c r="KYT99" s="46"/>
      <c r="KYU99" s="46"/>
      <c r="KYV99" s="46"/>
      <c r="KYW99" s="46"/>
      <c r="KYX99" s="46"/>
      <c r="KYY99" s="46"/>
      <c r="KYZ99" s="46"/>
      <c r="KZA99" s="46"/>
      <c r="KZB99" s="46"/>
      <c r="KZC99" s="46"/>
      <c r="KZD99" s="46"/>
      <c r="KZE99" s="46"/>
      <c r="KZF99" s="46"/>
      <c r="KZG99" s="46"/>
      <c r="KZH99" s="46"/>
      <c r="KZI99" s="46"/>
      <c r="KZJ99" s="46"/>
      <c r="KZK99" s="46"/>
      <c r="KZL99" s="46"/>
      <c r="KZM99" s="46"/>
      <c r="KZN99" s="46"/>
      <c r="KZO99" s="46"/>
      <c r="KZP99" s="46"/>
      <c r="KZQ99" s="46"/>
      <c r="KZR99" s="46"/>
      <c r="KZS99" s="46"/>
      <c r="KZT99" s="46"/>
      <c r="KZU99" s="46"/>
      <c r="KZV99" s="46"/>
      <c r="KZW99" s="46"/>
      <c r="KZX99" s="46"/>
      <c r="KZY99" s="46"/>
      <c r="KZZ99" s="46"/>
      <c r="LAA99" s="46"/>
      <c r="LAB99" s="46"/>
      <c r="LAC99" s="46"/>
      <c r="LAD99" s="46"/>
      <c r="LAE99" s="46"/>
      <c r="LAF99" s="46"/>
      <c r="LAG99" s="46"/>
      <c r="LAH99" s="46"/>
      <c r="LAI99" s="46"/>
      <c r="LAJ99" s="46"/>
      <c r="LAK99" s="46"/>
      <c r="LAL99" s="46"/>
      <c r="LAM99" s="46"/>
      <c r="LAN99" s="46"/>
      <c r="LAO99" s="46"/>
      <c r="LAP99" s="46"/>
      <c r="LAQ99" s="46"/>
      <c r="LAR99" s="46"/>
      <c r="LAS99" s="46"/>
      <c r="LAT99" s="46"/>
      <c r="LAU99" s="46"/>
      <c r="LAV99" s="46"/>
      <c r="LAW99" s="46"/>
      <c r="LAX99" s="46"/>
      <c r="LAY99" s="46"/>
      <c r="LAZ99" s="46"/>
      <c r="LBA99" s="46"/>
      <c r="LBB99" s="46"/>
      <c r="LBC99" s="46"/>
      <c r="LBD99" s="46"/>
      <c r="LBE99" s="46"/>
      <c r="LBF99" s="46"/>
      <c r="LBG99" s="46"/>
      <c r="LBH99" s="46"/>
      <c r="LBI99" s="46"/>
      <c r="LBJ99" s="46"/>
      <c r="LBK99" s="46"/>
      <c r="LBL99" s="46"/>
      <c r="LBM99" s="46"/>
      <c r="LBN99" s="46"/>
      <c r="LBO99" s="46"/>
      <c r="LBP99" s="46"/>
      <c r="LBQ99" s="46"/>
      <c r="LBR99" s="46"/>
      <c r="LBS99" s="46"/>
      <c r="LBT99" s="46"/>
      <c r="LBU99" s="46"/>
      <c r="LBV99" s="46"/>
      <c r="LBW99" s="46"/>
      <c r="LBX99" s="46"/>
      <c r="LBY99" s="46"/>
      <c r="LBZ99" s="46"/>
      <c r="LCA99" s="46"/>
      <c r="LCB99" s="46"/>
      <c r="LCC99" s="46"/>
      <c r="LCD99" s="46"/>
      <c r="LCE99" s="46"/>
      <c r="LCF99" s="46"/>
      <c r="LCG99" s="46"/>
      <c r="LCH99" s="46"/>
      <c r="LCI99" s="46"/>
      <c r="LCJ99" s="46"/>
      <c r="LCK99" s="46"/>
      <c r="LCL99" s="46"/>
      <c r="LCM99" s="46"/>
      <c r="LCN99" s="46"/>
      <c r="LCO99" s="46"/>
      <c r="LCP99" s="46"/>
      <c r="LCQ99" s="46"/>
      <c r="LCR99" s="46"/>
      <c r="LCS99" s="46"/>
      <c r="LCT99" s="46"/>
      <c r="LCU99" s="46"/>
      <c r="LCV99" s="46"/>
      <c r="LCW99" s="46"/>
      <c r="LCX99" s="46"/>
      <c r="LCY99" s="46"/>
      <c r="LCZ99" s="46"/>
      <c r="LDA99" s="46"/>
      <c r="LDB99" s="46"/>
      <c r="LDC99" s="46"/>
      <c r="LDD99" s="46"/>
      <c r="LDE99" s="46"/>
      <c r="LDF99" s="46"/>
      <c r="LDG99" s="46"/>
      <c r="LDH99" s="46"/>
      <c r="LDI99" s="46"/>
      <c r="LDJ99" s="46"/>
      <c r="LDK99" s="46"/>
      <c r="LDL99" s="46"/>
      <c r="LDM99" s="46"/>
      <c r="LDN99" s="46"/>
      <c r="LDO99" s="46"/>
      <c r="LDP99" s="46"/>
      <c r="LDQ99" s="46"/>
      <c r="LDR99" s="46"/>
      <c r="LDS99" s="46"/>
      <c r="LDT99" s="46"/>
      <c r="LDU99" s="46"/>
      <c r="LDV99" s="46"/>
      <c r="LDW99" s="46"/>
      <c r="LDX99" s="46"/>
      <c r="LDY99" s="46"/>
      <c r="LDZ99" s="46"/>
      <c r="LEA99" s="46"/>
      <c r="LEB99" s="46"/>
      <c r="LEC99" s="46"/>
      <c r="LED99" s="46"/>
      <c r="LEE99" s="46"/>
      <c r="LEF99" s="46"/>
      <c r="LEG99" s="46"/>
      <c r="LEH99" s="46"/>
      <c r="LEI99" s="46"/>
      <c r="LEJ99" s="46"/>
      <c r="LEK99" s="46"/>
      <c r="LEL99" s="46"/>
      <c r="LEM99" s="46"/>
      <c r="LEN99" s="46"/>
      <c r="LEO99" s="46"/>
      <c r="LEP99" s="46"/>
      <c r="LEQ99" s="46"/>
      <c r="LER99" s="46"/>
      <c r="LES99" s="46"/>
      <c r="LET99" s="46"/>
      <c r="LEU99" s="46"/>
      <c r="LEV99" s="46"/>
      <c r="LEW99" s="46"/>
      <c r="LEX99" s="46"/>
      <c r="LEY99" s="46"/>
      <c r="LEZ99" s="46"/>
      <c r="LFA99" s="46"/>
      <c r="LFB99" s="46"/>
      <c r="LFC99" s="46"/>
      <c r="LFD99" s="46"/>
      <c r="LFE99" s="46"/>
      <c r="LFF99" s="46"/>
      <c r="LFG99" s="46"/>
      <c r="LFH99" s="46"/>
      <c r="LFI99" s="46"/>
      <c r="LFJ99" s="46"/>
      <c r="LFK99" s="46"/>
      <c r="LFL99" s="46"/>
      <c r="LFM99" s="46"/>
      <c r="LFN99" s="46"/>
      <c r="LFO99" s="46"/>
      <c r="LFP99" s="46"/>
      <c r="LFQ99" s="46"/>
      <c r="LFR99" s="46"/>
      <c r="LFS99" s="46"/>
      <c r="LFT99" s="46"/>
      <c r="LFU99" s="46"/>
      <c r="LFV99" s="46"/>
      <c r="LFW99" s="46"/>
      <c r="LFX99" s="46"/>
      <c r="LFY99" s="46"/>
      <c r="LFZ99" s="46"/>
      <c r="LGA99" s="46"/>
      <c r="LGB99" s="46"/>
      <c r="LGC99" s="46"/>
      <c r="LGD99" s="46"/>
      <c r="LGE99" s="46"/>
      <c r="LGF99" s="46"/>
      <c r="LGG99" s="46"/>
      <c r="LGH99" s="46"/>
      <c r="LGI99" s="46"/>
      <c r="LGJ99" s="46"/>
      <c r="LGK99" s="46"/>
      <c r="LGL99" s="46"/>
      <c r="LGM99" s="46"/>
      <c r="LGN99" s="46"/>
      <c r="LGO99" s="46"/>
      <c r="LGP99" s="46"/>
      <c r="LGQ99" s="46"/>
      <c r="LGR99" s="46"/>
      <c r="LGS99" s="46"/>
      <c r="LGT99" s="46"/>
      <c r="LGU99" s="46"/>
      <c r="LGV99" s="46"/>
      <c r="LGW99" s="46"/>
      <c r="LGX99" s="46"/>
      <c r="LGY99" s="46"/>
      <c r="LGZ99" s="46"/>
      <c r="LHA99" s="46"/>
      <c r="LHB99" s="46"/>
      <c r="LHC99" s="46"/>
      <c r="LHD99" s="46"/>
      <c r="LHE99" s="46"/>
      <c r="LHF99" s="46"/>
      <c r="LHG99" s="46"/>
      <c r="LHH99" s="46"/>
      <c r="LHI99" s="46"/>
      <c r="LHJ99" s="46"/>
      <c r="LHK99" s="46"/>
      <c r="LHL99" s="46"/>
      <c r="LHM99" s="46"/>
      <c r="LHN99" s="46"/>
      <c r="LHO99" s="46"/>
      <c r="LHP99" s="46"/>
      <c r="LHQ99" s="46"/>
      <c r="LHR99" s="46"/>
      <c r="LHS99" s="46"/>
      <c r="LHT99" s="46"/>
      <c r="LHU99" s="46"/>
      <c r="LHV99" s="46"/>
      <c r="LHW99" s="46"/>
      <c r="LHX99" s="46"/>
      <c r="LHY99" s="46"/>
      <c r="LHZ99" s="46"/>
      <c r="LIA99" s="46"/>
      <c r="LIB99" s="46"/>
      <c r="LIC99" s="46"/>
      <c r="LID99" s="46"/>
      <c r="LIE99" s="46"/>
      <c r="LIF99" s="46"/>
      <c r="LIG99" s="46"/>
      <c r="LIH99" s="46"/>
      <c r="LII99" s="46"/>
      <c r="LIJ99" s="46"/>
      <c r="LIK99" s="46"/>
      <c r="LIL99" s="46"/>
      <c r="LIM99" s="46"/>
      <c r="LIN99" s="46"/>
      <c r="LIO99" s="46"/>
      <c r="LIP99" s="46"/>
      <c r="LIQ99" s="46"/>
      <c r="LIR99" s="46"/>
      <c r="LIS99" s="46"/>
      <c r="LIT99" s="46"/>
      <c r="LIU99" s="46"/>
      <c r="LIV99" s="46"/>
      <c r="LIW99" s="46"/>
      <c r="LIX99" s="46"/>
      <c r="LIY99" s="46"/>
      <c r="LIZ99" s="46"/>
      <c r="LJA99" s="46"/>
      <c r="LJB99" s="46"/>
      <c r="LJC99" s="46"/>
      <c r="LJD99" s="46"/>
      <c r="LJE99" s="46"/>
      <c r="LJF99" s="46"/>
      <c r="LJG99" s="46"/>
      <c r="LJH99" s="46"/>
      <c r="LJI99" s="46"/>
      <c r="LJJ99" s="46"/>
      <c r="LJK99" s="46"/>
      <c r="LJL99" s="46"/>
      <c r="LJM99" s="46"/>
      <c r="LJN99" s="46"/>
      <c r="LJO99" s="46"/>
      <c r="LJP99" s="46"/>
      <c r="LJQ99" s="46"/>
      <c r="LJR99" s="46"/>
      <c r="LJS99" s="46"/>
      <c r="LJT99" s="46"/>
      <c r="LJU99" s="46"/>
      <c r="LJV99" s="46"/>
      <c r="LJW99" s="46"/>
      <c r="LJX99" s="46"/>
      <c r="LJY99" s="46"/>
      <c r="LJZ99" s="46"/>
      <c r="LKA99" s="46"/>
      <c r="LKB99" s="46"/>
      <c r="LKC99" s="46"/>
      <c r="LKD99" s="46"/>
      <c r="LKE99" s="46"/>
      <c r="LKF99" s="46"/>
      <c r="LKG99" s="46"/>
      <c r="LKH99" s="46"/>
      <c r="LKI99" s="46"/>
      <c r="LKJ99" s="46"/>
      <c r="LKK99" s="46"/>
      <c r="LKL99" s="46"/>
      <c r="LKM99" s="46"/>
      <c r="LKN99" s="46"/>
      <c r="LKO99" s="46"/>
      <c r="LKP99" s="46"/>
      <c r="LKQ99" s="46"/>
      <c r="LKR99" s="46"/>
      <c r="LKS99" s="46"/>
      <c r="LKT99" s="46"/>
      <c r="LKU99" s="46"/>
      <c r="LKV99" s="46"/>
      <c r="LKW99" s="46"/>
      <c r="LKX99" s="46"/>
      <c r="LKY99" s="46"/>
      <c r="LKZ99" s="46"/>
      <c r="LLA99" s="46"/>
      <c r="LLB99" s="46"/>
      <c r="LLC99" s="46"/>
      <c r="LLD99" s="46"/>
      <c r="LLE99" s="46"/>
      <c r="LLF99" s="46"/>
      <c r="LLG99" s="46"/>
      <c r="LLH99" s="46"/>
      <c r="LLI99" s="46"/>
      <c r="LLJ99" s="46"/>
      <c r="LLK99" s="46"/>
      <c r="LLL99" s="46"/>
      <c r="LLM99" s="46"/>
      <c r="LLN99" s="46"/>
      <c r="LLO99" s="46"/>
      <c r="LLP99" s="46"/>
      <c r="LLQ99" s="46"/>
      <c r="LLR99" s="46"/>
      <c r="LLS99" s="46"/>
      <c r="LLT99" s="46"/>
      <c r="LLU99" s="46"/>
      <c r="LLV99" s="46"/>
      <c r="LLW99" s="46"/>
      <c r="LLX99" s="46"/>
      <c r="LLY99" s="46"/>
      <c r="LLZ99" s="46"/>
      <c r="LMA99" s="46"/>
      <c r="LMB99" s="46"/>
      <c r="LMC99" s="46"/>
      <c r="LMD99" s="46"/>
      <c r="LME99" s="46"/>
      <c r="LMF99" s="46"/>
      <c r="LMG99" s="46"/>
      <c r="LMH99" s="46"/>
      <c r="LMI99" s="46"/>
      <c r="LMJ99" s="46"/>
      <c r="LMK99" s="46"/>
      <c r="LML99" s="46"/>
      <c r="LMM99" s="46"/>
      <c r="LMN99" s="46"/>
      <c r="LMO99" s="46"/>
      <c r="LMP99" s="46"/>
      <c r="LMQ99" s="46"/>
      <c r="LMR99" s="46"/>
      <c r="LMS99" s="46"/>
      <c r="LMT99" s="46"/>
      <c r="LMU99" s="46"/>
      <c r="LMV99" s="46"/>
      <c r="LMW99" s="46"/>
      <c r="LMX99" s="46"/>
      <c r="LMY99" s="46"/>
      <c r="LMZ99" s="46"/>
      <c r="LNA99" s="46"/>
      <c r="LNB99" s="46"/>
      <c r="LNC99" s="46"/>
      <c r="LND99" s="46"/>
      <c r="LNE99" s="46"/>
      <c r="LNF99" s="46"/>
      <c r="LNG99" s="46"/>
      <c r="LNH99" s="46"/>
      <c r="LNI99" s="46"/>
      <c r="LNJ99" s="46"/>
      <c r="LNK99" s="46"/>
      <c r="LNL99" s="46"/>
      <c r="LNM99" s="46"/>
      <c r="LNN99" s="46"/>
      <c r="LNO99" s="46"/>
      <c r="LNP99" s="46"/>
      <c r="LNQ99" s="46"/>
      <c r="LNR99" s="46"/>
      <c r="LNS99" s="46"/>
      <c r="LNT99" s="46"/>
      <c r="LNU99" s="46"/>
      <c r="LNV99" s="46"/>
      <c r="LNW99" s="46"/>
      <c r="LNX99" s="46"/>
      <c r="LNY99" s="46"/>
      <c r="LNZ99" s="46"/>
      <c r="LOA99" s="46"/>
      <c r="LOB99" s="46"/>
      <c r="LOC99" s="46"/>
      <c r="LOD99" s="46"/>
      <c r="LOE99" s="46"/>
      <c r="LOF99" s="46"/>
      <c r="LOG99" s="46"/>
      <c r="LOH99" s="46"/>
      <c r="LOI99" s="46"/>
      <c r="LOJ99" s="46"/>
      <c r="LOK99" s="46"/>
      <c r="LOL99" s="46"/>
      <c r="LOM99" s="46"/>
      <c r="LON99" s="46"/>
      <c r="LOO99" s="46"/>
      <c r="LOP99" s="46"/>
      <c r="LOQ99" s="46"/>
      <c r="LOR99" s="46"/>
      <c r="LOS99" s="46"/>
      <c r="LOT99" s="46"/>
      <c r="LOU99" s="46"/>
      <c r="LOV99" s="46"/>
      <c r="LOW99" s="46"/>
      <c r="LOX99" s="46"/>
      <c r="LOY99" s="46"/>
      <c r="LOZ99" s="46"/>
      <c r="LPA99" s="46"/>
      <c r="LPB99" s="46"/>
      <c r="LPC99" s="46"/>
      <c r="LPD99" s="46"/>
      <c r="LPE99" s="46"/>
      <c r="LPF99" s="46"/>
      <c r="LPG99" s="46"/>
      <c r="LPH99" s="46"/>
      <c r="LPI99" s="46"/>
      <c r="LPJ99" s="46"/>
      <c r="LPK99" s="46"/>
      <c r="LPL99" s="46"/>
      <c r="LPM99" s="46"/>
      <c r="LPN99" s="46"/>
      <c r="LPO99" s="46"/>
      <c r="LPP99" s="46"/>
      <c r="LPQ99" s="46"/>
      <c r="LPR99" s="46"/>
      <c r="LPS99" s="46"/>
      <c r="LPT99" s="46"/>
      <c r="LPU99" s="46"/>
      <c r="LPV99" s="46"/>
      <c r="LPW99" s="46"/>
      <c r="LPX99" s="46"/>
      <c r="LPY99" s="46"/>
      <c r="LPZ99" s="46"/>
      <c r="LQA99" s="46"/>
      <c r="LQB99" s="46"/>
      <c r="LQC99" s="46"/>
      <c r="LQD99" s="46"/>
      <c r="LQE99" s="46"/>
      <c r="LQF99" s="46"/>
      <c r="LQG99" s="46"/>
      <c r="LQH99" s="46"/>
      <c r="LQI99" s="46"/>
      <c r="LQJ99" s="46"/>
      <c r="LQK99" s="46"/>
      <c r="LQL99" s="46"/>
      <c r="LQM99" s="46"/>
      <c r="LQN99" s="46"/>
      <c r="LQO99" s="46"/>
      <c r="LQP99" s="46"/>
      <c r="LQQ99" s="46"/>
      <c r="LQR99" s="46"/>
      <c r="LQS99" s="46"/>
      <c r="LQT99" s="46"/>
      <c r="LQU99" s="46"/>
      <c r="LQV99" s="46"/>
      <c r="LQW99" s="46"/>
      <c r="LQX99" s="46"/>
      <c r="LQY99" s="46"/>
      <c r="LQZ99" s="46"/>
      <c r="LRA99" s="46"/>
      <c r="LRB99" s="46"/>
      <c r="LRC99" s="46"/>
      <c r="LRD99" s="46"/>
      <c r="LRE99" s="46"/>
      <c r="LRF99" s="46"/>
      <c r="LRG99" s="46"/>
      <c r="LRH99" s="46"/>
      <c r="LRI99" s="46"/>
      <c r="LRJ99" s="46"/>
      <c r="LRK99" s="46"/>
      <c r="LRL99" s="46"/>
      <c r="LRM99" s="46"/>
      <c r="LRN99" s="46"/>
      <c r="LRO99" s="46"/>
      <c r="LRP99" s="46"/>
      <c r="LRQ99" s="46"/>
      <c r="LRR99" s="46"/>
      <c r="LRS99" s="46"/>
      <c r="LRT99" s="46"/>
      <c r="LRU99" s="46"/>
      <c r="LRV99" s="46"/>
      <c r="LRW99" s="46"/>
      <c r="LRX99" s="46"/>
      <c r="LRY99" s="46"/>
      <c r="LRZ99" s="46"/>
      <c r="LSA99" s="46"/>
      <c r="LSB99" s="46"/>
      <c r="LSC99" s="46"/>
      <c r="LSD99" s="46"/>
      <c r="LSE99" s="46"/>
      <c r="LSF99" s="46"/>
      <c r="LSG99" s="46"/>
      <c r="LSH99" s="46"/>
      <c r="LSI99" s="46"/>
      <c r="LSJ99" s="46"/>
      <c r="LSK99" s="46"/>
      <c r="LSL99" s="46"/>
      <c r="LSM99" s="46"/>
      <c r="LSN99" s="46"/>
      <c r="LSO99" s="46"/>
      <c r="LSP99" s="46"/>
      <c r="LSQ99" s="46"/>
      <c r="LSR99" s="46"/>
      <c r="LSS99" s="46"/>
      <c r="LST99" s="46"/>
      <c r="LSU99" s="46"/>
      <c r="LSV99" s="46"/>
      <c r="LSW99" s="46"/>
      <c r="LSX99" s="46"/>
      <c r="LSY99" s="46"/>
      <c r="LSZ99" s="46"/>
      <c r="LTA99" s="46"/>
      <c r="LTB99" s="46"/>
      <c r="LTC99" s="46"/>
      <c r="LTD99" s="46"/>
      <c r="LTE99" s="46"/>
      <c r="LTF99" s="46"/>
      <c r="LTG99" s="46"/>
      <c r="LTH99" s="46"/>
      <c r="LTI99" s="46"/>
      <c r="LTJ99" s="46"/>
      <c r="LTK99" s="46"/>
      <c r="LTL99" s="46"/>
      <c r="LTM99" s="46"/>
      <c r="LTN99" s="46"/>
      <c r="LTO99" s="46"/>
      <c r="LTP99" s="46"/>
      <c r="LTQ99" s="46"/>
      <c r="LTR99" s="46"/>
      <c r="LTS99" s="46"/>
      <c r="LTT99" s="46"/>
      <c r="LTU99" s="46"/>
      <c r="LTV99" s="46"/>
      <c r="LTW99" s="46"/>
      <c r="LTX99" s="46"/>
      <c r="LTY99" s="46"/>
      <c r="LTZ99" s="46"/>
      <c r="LUA99" s="46"/>
      <c r="LUB99" s="46"/>
      <c r="LUC99" s="46"/>
      <c r="LUD99" s="46"/>
      <c r="LUE99" s="46"/>
      <c r="LUF99" s="46"/>
      <c r="LUG99" s="46"/>
      <c r="LUH99" s="46"/>
      <c r="LUI99" s="46"/>
      <c r="LUJ99" s="46"/>
      <c r="LUK99" s="46"/>
      <c r="LUL99" s="46"/>
      <c r="LUM99" s="46"/>
      <c r="LUN99" s="46"/>
      <c r="LUO99" s="46"/>
      <c r="LUP99" s="46"/>
      <c r="LUQ99" s="46"/>
      <c r="LUR99" s="46"/>
      <c r="LUS99" s="46"/>
      <c r="LUT99" s="46"/>
      <c r="LUU99" s="46"/>
      <c r="LUV99" s="46"/>
      <c r="LUW99" s="46"/>
      <c r="LUX99" s="46"/>
      <c r="LUY99" s="46"/>
      <c r="LUZ99" s="46"/>
      <c r="LVA99" s="46"/>
      <c r="LVB99" s="46"/>
      <c r="LVC99" s="46"/>
      <c r="LVD99" s="46"/>
      <c r="LVE99" s="46"/>
      <c r="LVF99" s="46"/>
      <c r="LVG99" s="46"/>
      <c r="LVH99" s="46"/>
      <c r="LVI99" s="46"/>
      <c r="LVJ99" s="46"/>
      <c r="LVK99" s="46"/>
      <c r="LVL99" s="46"/>
      <c r="LVM99" s="46"/>
      <c r="LVN99" s="46"/>
      <c r="LVO99" s="46"/>
      <c r="LVP99" s="46"/>
      <c r="LVQ99" s="46"/>
      <c r="LVR99" s="46"/>
      <c r="LVS99" s="46"/>
      <c r="LVT99" s="46"/>
      <c r="LVU99" s="46"/>
      <c r="LVV99" s="46"/>
      <c r="LVW99" s="46"/>
      <c r="LVX99" s="46"/>
      <c r="LVY99" s="46"/>
      <c r="LVZ99" s="46"/>
      <c r="LWA99" s="46"/>
      <c r="LWB99" s="46"/>
      <c r="LWC99" s="46"/>
      <c r="LWD99" s="46"/>
      <c r="LWE99" s="46"/>
      <c r="LWF99" s="46"/>
      <c r="LWG99" s="46"/>
      <c r="LWH99" s="46"/>
      <c r="LWI99" s="46"/>
      <c r="LWJ99" s="46"/>
      <c r="LWK99" s="46"/>
      <c r="LWL99" s="46"/>
      <c r="LWM99" s="46"/>
      <c r="LWN99" s="46"/>
      <c r="LWO99" s="46"/>
      <c r="LWP99" s="46"/>
      <c r="LWQ99" s="46"/>
      <c r="LWR99" s="46"/>
      <c r="LWS99" s="46"/>
      <c r="LWT99" s="46"/>
      <c r="LWU99" s="46"/>
      <c r="LWV99" s="46"/>
      <c r="LWW99" s="46"/>
      <c r="LWX99" s="46"/>
      <c r="LWY99" s="46"/>
      <c r="LWZ99" s="46"/>
      <c r="LXA99" s="46"/>
      <c r="LXB99" s="46"/>
      <c r="LXC99" s="46"/>
      <c r="LXD99" s="46"/>
      <c r="LXE99" s="46"/>
      <c r="LXF99" s="46"/>
      <c r="LXG99" s="46"/>
      <c r="LXH99" s="46"/>
      <c r="LXI99" s="46"/>
      <c r="LXJ99" s="46"/>
      <c r="LXK99" s="46"/>
      <c r="LXL99" s="46"/>
      <c r="LXM99" s="46"/>
      <c r="LXN99" s="46"/>
      <c r="LXO99" s="46"/>
      <c r="LXP99" s="46"/>
      <c r="LXQ99" s="46"/>
      <c r="LXR99" s="46"/>
      <c r="LXS99" s="46"/>
      <c r="LXT99" s="46"/>
      <c r="LXU99" s="46"/>
      <c r="LXV99" s="46"/>
      <c r="LXW99" s="46"/>
      <c r="LXX99" s="46"/>
      <c r="LXY99" s="46"/>
      <c r="LXZ99" s="46"/>
      <c r="LYA99" s="46"/>
      <c r="LYB99" s="46"/>
      <c r="LYC99" s="46"/>
      <c r="LYD99" s="46"/>
      <c r="LYE99" s="46"/>
      <c r="LYF99" s="46"/>
      <c r="LYG99" s="46"/>
      <c r="LYH99" s="46"/>
      <c r="LYI99" s="46"/>
      <c r="LYJ99" s="46"/>
      <c r="LYK99" s="46"/>
      <c r="LYL99" s="46"/>
      <c r="LYM99" s="46"/>
      <c r="LYN99" s="46"/>
      <c r="LYO99" s="46"/>
      <c r="LYP99" s="46"/>
      <c r="LYQ99" s="46"/>
      <c r="LYR99" s="46"/>
      <c r="LYS99" s="46"/>
      <c r="LYT99" s="46"/>
      <c r="LYU99" s="46"/>
      <c r="LYV99" s="46"/>
      <c r="LYW99" s="46"/>
      <c r="LYX99" s="46"/>
      <c r="LYY99" s="46"/>
      <c r="LYZ99" s="46"/>
      <c r="LZA99" s="46"/>
      <c r="LZB99" s="46"/>
      <c r="LZC99" s="46"/>
      <c r="LZD99" s="46"/>
      <c r="LZE99" s="46"/>
      <c r="LZF99" s="46"/>
      <c r="LZG99" s="46"/>
      <c r="LZH99" s="46"/>
      <c r="LZI99" s="46"/>
      <c r="LZJ99" s="46"/>
      <c r="LZK99" s="46"/>
      <c r="LZL99" s="46"/>
      <c r="LZM99" s="46"/>
      <c r="LZN99" s="46"/>
      <c r="LZO99" s="46"/>
      <c r="LZP99" s="46"/>
      <c r="LZQ99" s="46"/>
      <c r="LZR99" s="46"/>
      <c r="LZS99" s="46"/>
      <c r="LZT99" s="46"/>
      <c r="LZU99" s="46"/>
      <c r="LZV99" s="46"/>
      <c r="LZW99" s="46"/>
      <c r="LZX99" s="46"/>
      <c r="LZY99" s="46"/>
      <c r="LZZ99" s="46"/>
      <c r="MAA99" s="46"/>
      <c r="MAB99" s="46"/>
      <c r="MAC99" s="46"/>
      <c r="MAD99" s="46"/>
      <c r="MAE99" s="46"/>
      <c r="MAF99" s="46"/>
      <c r="MAG99" s="46"/>
      <c r="MAH99" s="46"/>
      <c r="MAI99" s="46"/>
      <c r="MAJ99" s="46"/>
      <c r="MAK99" s="46"/>
      <c r="MAL99" s="46"/>
      <c r="MAM99" s="46"/>
      <c r="MAN99" s="46"/>
      <c r="MAO99" s="46"/>
      <c r="MAP99" s="46"/>
      <c r="MAQ99" s="46"/>
      <c r="MAR99" s="46"/>
      <c r="MAS99" s="46"/>
      <c r="MAT99" s="46"/>
      <c r="MAU99" s="46"/>
      <c r="MAV99" s="46"/>
      <c r="MAW99" s="46"/>
      <c r="MAX99" s="46"/>
      <c r="MAY99" s="46"/>
      <c r="MAZ99" s="46"/>
      <c r="MBA99" s="46"/>
      <c r="MBB99" s="46"/>
      <c r="MBC99" s="46"/>
      <c r="MBD99" s="46"/>
      <c r="MBE99" s="46"/>
      <c r="MBF99" s="46"/>
      <c r="MBG99" s="46"/>
      <c r="MBH99" s="46"/>
      <c r="MBI99" s="46"/>
      <c r="MBJ99" s="46"/>
      <c r="MBK99" s="46"/>
      <c r="MBL99" s="46"/>
      <c r="MBM99" s="46"/>
      <c r="MBN99" s="46"/>
      <c r="MBO99" s="46"/>
      <c r="MBP99" s="46"/>
      <c r="MBQ99" s="46"/>
      <c r="MBR99" s="46"/>
      <c r="MBS99" s="46"/>
      <c r="MBT99" s="46"/>
      <c r="MBU99" s="46"/>
      <c r="MBV99" s="46"/>
      <c r="MBW99" s="46"/>
      <c r="MBX99" s="46"/>
      <c r="MBY99" s="46"/>
      <c r="MBZ99" s="46"/>
      <c r="MCA99" s="46"/>
      <c r="MCB99" s="46"/>
      <c r="MCC99" s="46"/>
      <c r="MCD99" s="46"/>
      <c r="MCE99" s="46"/>
      <c r="MCF99" s="46"/>
      <c r="MCG99" s="46"/>
      <c r="MCH99" s="46"/>
      <c r="MCI99" s="46"/>
      <c r="MCJ99" s="46"/>
      <c r="MCK99" s="46"/>
      <c r="MCL99" s="46"/>
      <c r="MCM99" s="46"/>
      <c r="MCN99" s="46"/>
      <c r="MCO99" s="46"/>
      <c r="MCP99" s="46"/>
      <c r="MCQ99" s="46"/>
      <c r="MCR99" s="46"/>
      <c r="MCS99" s="46"/>
      <c r="MCT99" s="46"/>
      <c r="MCU99" s="46"/>
      <c r="MCV99" s="46"/>
      <c r="MCW99" s="46"/>
      <c r="MCX99" s="46"/>
      <c r="MCY99" s="46"/>
      <c r="MCZ99" s="46"/>
      <c r="MDA99" s="46"/>
      <c r="MDB99" s="46"/>
      <c r="MDC99" s="46"/>
      <c r="MDD99" s="46"/>
      <c r="MDE99" s="46"/>
      <c r="MDF99" s="46"/>
      <c r="MDG99" s="46"/>
      <c r="MDH99" s="46"/>
      <c r="MDI99" s="46"/>
      <c r="MDJ99" s="46"/>
      <c r="MDK99" s="46"/>
      <c r="MDL99" s="46"/>
      <c r="MDM99" s="46"/>
      <c r="MDN99" s="46"/>
      <c r="MDO99" s="46"/>
      <c r="MDP99" s="46"/>
      <c r="MDQ99" s="46"/>
      <c r="MDR99" s="46"/>
      <c r="MDS99" s="46"/>
      <c r="MDT99" s="46"/>
      <c r="MDU99" s="46"/>
      <c r="MDV99" s="46"/>
      <c r="MDW99" s="46"/>
      <c r="MDX99" s="46"/>
      <c r="MDY99" s="46"/>
      <c r="MDZ99" s="46"/>
      <c r="MEA99" s="46"/>
      <c r="MEB99" s="46"/>
      <c r="MEC99" s="46"/>
      <c r="MED99" s="46"/>
      <c r="MEE99" s="46"/>
      <c r="MEF99" s="46"/>
      <c r="MEG99" s="46"/>
      <c r="MEH99" s="46"/>
      <c r="MEI99" s="46"/>
      <c r="MEJ99" s="46"/>
      <c r="MEK99" s="46"/>
      <c r="MEL99" s="46"/>
      <c r="MEM99" s="46"/>
      <c r="MEN99" s="46"/>
      <c r="MEO99" s="46"/>
      <c r="MEP99" s="46"/>
      <c r="MEQ99" s="46"/>
      <c r="MER99" s="46"/>
      <c r="MES99" s="46"/>
      <c r="MET99" s="46"/>
      <c r="MEU99" s="46"/>
      <c r="MEV99" s="46"/>
      <c r="MEW99" s="46"/>
      <c r="MEX99" s="46"/>
      <c r="MEY99" s="46"/>
      <c r="MEZ99" s="46"/>
      <c r="MFA99" s="46"/>
      <c r="MFB99" s="46"/>
      <c r="MFC99" s="46"/>
      <c r="MFD99" s="46"/>
      <c r="MFE99" s="46"/>
      <c r="MFF99" s="46"/>
      <c r="MFG99" s="46"/>
      <c r="MFH99" s="46"/>
      <c r="MFI99" s="46"/>
      <c r="MFJ99" s="46"/>
      <c r="MFK99" s="46"/>
      <c r="MFL99" s="46"/>
      <c r="MFM99" s="46"/>
      <c r="MFN99" s="46"/>
      <c r="MFO99" s="46"/>
      <c r="MFP99" s="46"/>
      <c r="MFQ99" s="46"/>
      <c r="MFR99" s="46"/>
      <c r="MFS99" s="46"/>
      <c r="MFT99" s="46"/>
      <c r="MFU99" s="46"/>
      <c r="MFV99" s="46"/>
      <c r="MFW99" s="46"/>
      <c r="MFX99" s="46"/>
      <c r="MFY99" s="46"/>
      <c r="MFZ99" s="46"/>
      <c r="MGA99" s="46"/>
      <c r="MGB99" s="46"/>
      <c r="MGC99" s="46"/>
      <c r="MGD99" s="46"/>
      <c r="MGE99" s="46"/>
      <c r="MGF99" s="46"/>
      <c r="MGG99" s="46"/>
      <c r="MGH99" s="46"/>
      <c r="MGI99" s="46"/>
      <c r="MGJ99" s="46"/>
      <c r="MGK99" s="46"/>
      <c r="MGL99" s="46"/>
      <c r="MGM99" s="46"/>
      <c r="MGN99" s="46"/>
      <c r="MGO99" s="46"/>
      <c r="MGP99" s="46"/>
      <c r="MGQ99" s="46"/>
      <c r="MGR99" s="46"/>
      <c r="MGS99" s="46"/>
      <c r="MGT99" s="46"/>
      <c r="MGU99" s="46"/>
      <c r="MGV99" s="46"/>
      <c r="MGW99" s="46"/>
      <c r="MGX99" s="46"/>
      <c r="MGY99" s="46"/>
      <c r="MGZ99" s="46"/>
      <c r="MHA99" s="46"/>
      <c r="MHB99" s="46"/>
      <c r="MHC99" s="46"/>
      <c r="MHD99" s="46"/>
      <c r="MHE99" s="46"/>
      <c r="MHF99" s="46"/>
      <c r="MHG99" s="46"/>
      <c r="MHH99" s="46"/>
      <c r="MHI99" s="46"/>
      <c r="MHJ99" s="46"/>
      <c r="MHK99" s="46"/>
      <c r="MHL99" s="46"/>
      <c r="MHM99" s="46"/>
      <c r="MHN99" s="46"/>
      <c r="MHO99" s="46"/>
      <c r="MHP99" s="46"/>
      <c r="MHQ99" s="46"/>
      <c r="MHR99" s="46"/>
      <c r="MHS99" s="46"/>
      <c r="MHT99" s="46"/>
      <c r="MHU99" s="46"/>
      <c r="MHV99" s="46"/>
      <c r="MHW99" s="46"/>
      <c r="MHX99" s="46"/>
      <c r="MHY99" s="46"/>
      <c r="MHZ99" s="46"/>
      <c r="MIA99" s="46"/>
      <c r="MIB99" s="46"/>
      <c r="MIC99" s="46"/>
      <c r="MID99" s="46"/>
      <c r="MIE99" s="46"/>
      <c r="MIF99" s="46"/>
      <c r="MIG99" s="46"/>
      <c r="MIH99" s="46"/>
      <c r="MII99" s="46"/>
      <c r="MIJ99" s="46"/>
      <c r="MIK99" s="46"/>
      <c r="MIL99" s="46"/>
      <c r="MIM99" s="46"/>
      <c r="MIN99" s="46"/>
      <c r="MIO99" s="46"/>
      <c r="MIP99" s="46"/>
      <c r="MIQ99" s="46"/>
      <c r="MIR99" s="46"/>
      <c r="MIS99" s="46"/>
      <c r="MIT99" s="46"/>
      <c r="MIU99" s="46"/>
      <c r="MIV99" s="46"/>
      <c r="MIW99" s="46"/>
      <c r="MIX99" s="46"/>
      <c r="MIY99" s="46"/>
      <c r="MIZ99" s="46"/>
      <c r="MJA99" s="46"/>
      <c r="MJB99" s="46"/>
      <c r="MJC99" s="46"/>
      <c r="MJD99" s="46"/>
      <c r="MJE99" s="46"/>
      <c r="MJF99" s="46"/>
      <c r="MJG99" s="46"/>
      <c r="MJH99" s="46"/>
      <c r="MJI99" s="46"/>
      <c r="MJJ99" s="46"/>
      <c r="MJK99" s="46"/>
      <c r="MJL99" s="46"/>
      <c r="MJM99" s="46"/>
      <c r="MJN99" s="46"/>
      <c r="MJO99" s="46"/>
      <c r="MJP99" s="46"/>
      <c r="MJQ99" s="46"/>
      <c r="MJR99" s="46"/>
      <c r="MJS99" s="46"/>
      <c r="MJT99" s="46"/>
      <c r="MJU99" s="46"/>
      <c r="MJV99" s="46"/>
      <c r="MJW99" s="46"/>
      <c r="MJX99" s="46"/>
      <c r="MJY99" s="46"/>
      <c r="MJZ99" s="46"/>
      <c r="MKA99" s="46"/>
      <c r="MKB99" s="46"/>
      <c r="MKC99" s="46"/>
      <c r="MKD99" s="46"/>
      <c r="MKE99" s="46"/>
      <c r="MKF99" s="46"/>
      <c r="MKG99" s="46"/>
      <c r="MKH99" s="46"/>
      <c r="MKI99" s="46"/>
      <c r="MKJ99" s="46"/>
      <c r="MKK99" s="46"/>
      <c r="MKL99" s="46"/>
      <c r="MKM99" s="46"/>
      <c r="MKN99" s="46"/>
      <c r="MKO99" s="46"/>
      <c r="MKP99" s="46"/>
      <c r="MKQ99" s="46"/>
      <c r="MKR99" s="46"/>
      <c r="MKS99" s="46"/>
      <c r="MKT99" s="46"/>
      <c r="MKU99" s="46"/>
      <c r="MKV99" s="46"/>
      <c r="MKW99" s="46"/>
      <c r="MKX99" s="46"/>
      <c r="MKY99" s="46"/>
      <c r="MKZ99" s="46"/>
      <c r="MLA99" s="46"/>
      <c r="MLB99" s="46"/>
      <c r="MLC99" s="46"/>
      <c r="MLD99" s="46"/>
      <c r="MLE99" s="46"/>
      <c r="MLF99" s="46"/>
      <c r="MLG99" s="46"/>
      <c r="MLH99" s="46"/>
      <c r="MLI99" s="46"/>
      <c r="MLJ99" s="46"/>
      <c r="MLK99" s="46"/>
      <c r="MLL99" s="46"/>
      <c r="MLM99" s="46"/>
      <c r="MLN99" s="46"/>
      <c r="MLO99" s="46"/>
      <c r="MLP99" s="46"/>
      <c r="MLQ99" s="46"/>
      <c r="MLR99" s="46"/>
      <c r="MLS99" s="46"/>
      <c r="MLT99" s="46"/>
      <c r="MLU99" s="46"/>
      <c r="MLV99" s="46"/>
      <c r="MLW99" s="46"/>
      <c r="MLX99" s="46"/>
      <c r="MLY99" s="46"/>
      <c r="MLZ99" s="46"/>
      <c r="MMA99" s="46"/>
      <c r="MMB99" s="46"/>
      <c r="MMC99" s="46"/>
      <c r="MMD99" s="46"/>
      <c r="MME99" s="46"/>
      <c r="MMF99" s="46"/>
      <c r="MMG99" s="46"/>
      <c r="MMH99" s="46"/>
      <c r="MMI99" s="46"/>
      <c r="MMJ99" s="46"/>
      <c r="MMK99" s="46"/>
      <c r="MML99" s="46"/>
      <c r="MMM99" s="46"/>
      <c r="MMN99" s="46"/>
      <c r="MMO99" s="46"/>
      <c r="MMP99" s="46"/>
      <c r="MMQ99" s="46"/>
      <c r="MMR99" s="46"/>
      <c r="MMS99" s="46"/>
      <c r="MMT99" s="46"/>
      <c r="MMU99" s="46"/>
      <c r="MMV99" s="46"/>
      <c r="MMW99" s="46"/>
      <c r="MMX99" s="46"/>
      <c r="MMY99" s="46"/>
      <c r="MMZ99" s="46"/>
      <c r="MNA99" s="46"/>
      <c r="MNB99" s="46"/>
      <c r="MNC99" s="46"/>
      <c r="MND99" s="46"/>
      <c r="MNE99" s="46"/>
      <c r="MNF99" s="46"/>
      <c r="MNG99" s="46"/>
      <c r="MNH99" s="46"/>
      <c r="MNI99" s="46"/>
      <c r="MNJ99" s="46"/>
      <c r="MNK99" s="46"/>
      <c r="MNL99" s="46"/>
      <c r="MNM99" s="46"/>
      <c r="MNN99" s="46"/>
      <c r="MNO99" s="46"/>
      <c r="MNP99" s="46"/>
      <c r="MNQ99" s="46"/>
      <c r="MNR99" s="46"/>
      <c r="MNS99" s="46"/>
      <c r="MNT99" s="46"/>
      <c r="MNU99" s="46"/>
      <c r="MNV99" s="46"/>
      <c r="MNW99" s="46"/>
      <c r="MNX99" s="46"/>
      <c r="MNY99" s="46"/>
      <c r="MNZ99" s="46"/>
      <c r="MOA99" s="46"/>
      <c r="MOB99" s="46"/>
      <c r="MOC99" s="46"/>
      <c r="MOD99" s="46"/>
      <c r="MOE99" s="46"/>
      <c r="MOF99" s="46"/>
      <c r="MOG99" s="46"/>
      <c r="MOH99" s="46"/>
      <c r="MOI99" s="46"/>
      <c r="MOJ99" s="46"/>
      <c r="MOK99" s="46"/>
      <c r="MOL99" s="46"/>
      <c r="MOM99" s="46"/>
      <c r="MON99" s="46"/>
      <c r="MOO99" s="46"/>
      <c r="MOP99" s="46"/>
      <c r="MOQ99" s="46"/>
      <c r="MOR99" s="46"/>
      <c r="MOS99" s="46"/>
      <c r="MOT99" s="46"/>
      <c r="MOU99" s="46"/>
      <c r="MOV99" s="46"/>
      <c r="MOW99" s="46"/>
      <c r="MOX99" s="46"/>
      <c r="MOY99" s="46"/>
      <c r="MOZ99" s="46"/>
      <c r="MPA99" s="46"/>
      <c r="MPB99" s="46"/>
      <c r="MPC99" s="46"/>
      <c r="MPD99" s="46"/>
      <c r="MPE99" s="46"/>
      <c r="MPF99" s="46"/>
      <c r="MPG99" s="46"/>
      <c r="MPH99" s="46"/>
      <c r="MPI99" s="46"/>
      <c r="MPJ99" s="46"/>
      <c r="MPK99" s="46"/>
      <c r="MPL99" s="46"/>
      <c r="MPM99" s="46"/>
      <c r="MPN99" s="46"/>
      <c r="MPO99" s="46"/>
      <c r="MPP99" s="46"/>
      <c r="MPQ99" s="46"/>
      <c r="MPR99" s="46"/>
      <c r="MPS99" s="46"/>
      <c r="MPT99" s="46"/>
      <c r="MPU99" s="46"/>
      <c r="MPV99" s="46"/>
      <c r="MPW99" s="46"/>
      <c r="MPX99" s="46"/>
      <c r="MPY99" s="46"/>
      <c r="MPZ99" s="46"/>
      <c r="MQA99" s="46"/>
      <c r="MQB99" s="46"/>
      <c r="MQC99" s="46"/>
      <c r="MQD99" s="46"/>
      <c r="MQE99" s="46"/>
      <c r="MQF99" s="46"/>
      <c r="MQG99" s="46"/>
      <c r="MQH99" s="46"/>
      <c r="MQI99" s="46"/>
      <c r="MQJ99" s="46"/>
      <c r="MQK99" s="46"/>
      <c r="MQL99" s="46"/>
      <c r="MQM99" s="46"/>
      <c r="MQN99" s="46"/>
      <c r="MQO99" s="46"/>
      <c r="MQP99" s="46"/>
      <c r="MQQ99" s="46"/>
      <c r="MQR99" s="46"/>
      <c r="MQS99" s="46"/>
      <c r="MQT99" s="46"/>
      <c r="MQU99" s="46"/>
      <c r="MQV99" s="46"/>
      <c r="MQW99" s="46"/>
      <c r="MQX99" s="46"/>
      <c r="MQY99" s="46"/>
      <c r="MQZ99" s="46"/>
      <c r="MRA99" s="46"/>
      <c r="MRB99" s="46"/>
      <c r="MRC99" s="46"/>
      <c r="MRD99" s="46"/>
      <c r="MRE99" s="46"/>
      <c r="MRF99" s="46"/>
      <c r="MRG99" s="46"/>
      <c r="MRH99" s="46"/>
      <c r="MRI99" s="46"/>
      <c r="MRJ99" s="46"/>
      <c r="MRK99" s="46"/>
      <c r="MRL99" s="46"/>
      <c r="MRM99" s="46"/>
      <c r="MRN99" s="46"/>
      <c r="MRO99" s="46"/>
      <c r="MRP99" s="46"/>
      <c r="MRQ99" s="46"/>
      <c r="MRR99" s="46"/>
      <c r="MRS99" s="46"/>
      <c r="MRT99" s="46"/>
      <c r="MRU99" s="46"/>
      <c r="MRV99" s="46"/>
      <c r="MRW99" s="46"/>
      <c r="MRX99" s="46"/>
      <c r="MRY99" s="46"/>
      <c r="MRZ99" s="46"/>
      <c r="MSA99" s="46"/>
      <c r="MSB99" s="46"/>
      <c r="MSC99" s="46"/>
      <c r="MSD99" s="46"/>
      <c r="MSE99" s="46"/>
      <c r="MSF99" s="46"/>
      <c r="MSG99" s="46"/>
      <c r="MSH99" s="46"/>
      <c r="MSI99" s="46"/>
      <c r="MSJ99" s="46"/>
      <c r="MSK99" s="46"/>
      <c r="MSL99" s="46"/>
      <c r="MSM99" s="46"/>
      <c r="MSN99" s="46"/>
      <c r="MSO99" s="46"/>
      <c r="MSP99" s="46"/>
      <c r="MSQ99" s="46"/>
      <c r="MSR99" s="46"/>
      <c r="MSS99" s="46"/>
      <c r="MST99" s="46"/>
      <c r="MSU99" s="46"/>
      <c r="MSV99" s="46"/>
      <c r="MSW99" s="46"/>
      <c r="MSX99" s="46"/>
      <c r="MSY99" s="46"/>
      <c r="MSZ99" s="46"/>
      <c r="MTA99" s="46"/>
      <c r="MTB99" s="46"/>
      <c r="MTC99" s="46"/>
      <c r="MTD99" s="46"/>
      <c r="MTE99" s="46"/>
      <c r="MTF99" s="46"/>
      <c r="MTG99" s="46"/>
      <c r="MTH99" s="46"/>
      <c r="MTI99" s="46"/>
      <c r="MTJ99" s="46"/>
      <c r="MTK99" s="46"/>
      <c r="MTL99" s="46"/>
      <c r="MTM99" s="46"/>
      <c r="MTN99" s="46"/>
      <c r="MTO99" s="46"/>
      <c r="MTP99" s="46"/>
      <c r="MTQ99" s="46"/>
      <c r="MTR99" s="46"/>
      <c r="MTS99" s="46"/>
      <c r="MTT99" s="46"/>
      <c r="MTU99" s="46"/>
      <c r="MTV99" s="46"/>
      <c r="MTW99" s="46"/>
      <c r="MTX99" s="46"/>
      <c r="MTY99" s="46"/>
      <c r="MTZ99" s="46"/>
      <c r="MUA99" s="46"/>
      <c r="MUB99" s="46"/>
      <c r="MUC99" s="46"/>
      <c r="MUD99" s="46"/>
      <c r="MUE99" s="46"/>
      <c r="MUF99" s="46"/>
      <c r="MUG99" s="46"/>
      <c r="MUH99" s="46"/>
      <c r="MUI99" s="46"/>
      <c r="MUJ99" s="46"/>
      <c r="MUK99" s="46"/>
      <c r="MUL99" s="46"/>
      <c r="MUM99" s="46"/>
      <c r="MUN99" s="46"/>
      <c r="MUO99" s="46"/>
      <c r="MUP99" s="46"/>
      <c r="MUQ99" s="46"/>
      <c r="MUR99" s="46"/>
      <c r="MUS99" s="46"/>
      <c r="MUT99" s="46"/>
      <c r="MUU99" s="46"/>
      <c r="MUV99" s="46"/>
      <c r="MUW99" s="46"/>
      <c r="MUX99" s="46"/>
      <c r="MUY99" s="46"/>
      <c r="MUZ99" s="46"/>
      <c r="MVA99" s="46"/>
      <c r="MVB99" s="46"/>
      <c r="MVC99" s="46"/>
      <c r="MVD99" s="46"/>
      <c r="MVE99" s="46"/>
      <c r="MVF99" s="46"/>
      <c r="MVG99" s="46"/>
      <c r="MVH99" s="46"/>
      <c r="MVI99" s="46"/>
      <c r="MVJ99" s="46"/>
      <c r="MVK99" s="46"/>
      <c r="MVL99" s="46"/>
      <c r="MVM99" s="46"/>
      <c r="MVN99" s="46"/>
      <c r="MVO99" s="46"/>
      <c r="MVP99" s="46"/>
      <c r="MVQ99" s="46"/>
      <c r="MVR99" s="46"/>
      <c r="MVS99" s="46"/>
      <c r="MVT99" s="46"/>
      <c r="MVU99" s="46"/>
      <c r="MVV99" s="46"/>
      <c r="MVW99" s="46"/>
      <c r="MVX99" s="46"/>
      <c r="MVY99" s="46"/>
      <c r="MVZ99" s="46"/>
      <c r="MWA99" s="46"/>
      <c r="MWB99" s="46"/>
      <c r="MWC99" s="46"/>
      <c r="MWD99" s="46"/>
      <c r="MWE99" s="46"/>
      <c r="MWF99" s="46"/>
      <c r="MWG99" s="46"/>
      <c r="MWH99" s="46"/>
      <c r="MWI99" s="46"/>
      <c r="MWJ99" s="46"/>
      <c r="MWK99" s="46"/>
      <c r="MWL99" s="46"/>
      <c r="MWM99" s="46"/>
      <c r="MWN99" s="46"/>
      <c r="MWO99" s="46"/>
      <c r="MWP99" s="46"/>
      <c r="MWQ99" s="46"/>
      <c r="MWR99" s="46"/>
      <c r="MWS99" s="46"/>
      <c r="MWT99" s="46"/>
      <c r="MWU99" s="46"/>
      <c r="MWV99" s="46"/>
      <c r="MWW99" s="46"/>
      <c r="MWX99" s="46"/>
      <c r="MWY99" s="46"/>
      <c r="MWZ99" s="46"/>
      <c r="MXA99" s="46"/>
      <c r="MXB99" s="46"/>
      <c r="MXC99" s="46"/>
      <c r="MXD99" s="46"/>
      <c r="MXE99" s="46"/>
      <c r="MXF99" s="46"/>
      <c r="MXG99" s="46"/>
      <c r="MXH99" s="46"/>
      <c r="MXI99" s="46"/>
      <c r="MXJ99" s="46"/>
      <c r="MXK99" s="46"/>
      <c r="MXL99" s="46"/>
      <c r="MXM99" s="46"/>
      <c r="MXN99" s="46"/>
      <c r="MXO99" s="46"/>
      <c r="MXP99" s="46"/>
      <c r="MXQ99" s="46"/>
      <c r="MXR99" s="46"/>
      <c r="MXS99" s="46"/>
      <c r="MXT99" s="46"/>
      <c r="MXU99" s="46"/>
      <c r="MXV99" s="46"/>
      <c r="MXW99" s="46"/>
      <c r="MXX99" s="46"/>
      <c r="MXY99" s="46"/>
      <c r="MXZ99" s="46"/>
      <c r="MYA99" s="46"/>
      <c r="MYB99" s="46"/>
      <c r="MYC99" s="46"/>
      <c r="MYD99" s="46"/>
      <c r="MYE99" s="46"/>
      <c r="MYF99" s="46"/>
      <c r="MYG99" s="46"/>
      <c r="MYH99" s="46"/>
      <c r="MYI99" s="46"/>
      <c r="MYJ99" s="46"/>
      <c r="MYK99" s="46"/>
      <c r="MYL99" s="46"/>
      <c r="MYM99" s="46"/>
      <c r="MYN99" s="46"/>
      <c r="MYO99" s="46"/>
      <c r="MYP99" s="46"/>
      <c r="MYQ99" s="46"/>
      <c r="MYR99" s="46"/>
      <c r="MYS99" s="46"/>
      <c r="MYT99" s="46"/>
      <c r="MYU99" s="46"/>
      <c r="MYV99" s="46"/>
      <c r="MYW99" s="46"/>
      <c r="MYX99" s="46"/>
      <c r="MYY99" s="46"/>
      <c r="MYZ99" s="46"/>
      <c r="MZA99" s="46"/>
      <c r="MZB99" s="46"/>
      <c r="MZC99" s="46"/>
      <c r="MZD99" s="46"/>
      <c r="MZE99" s="46"/>
      <c r="MZF99" s="46"/>
      <c r="MZG99" s="46"/>
      <c r="MZH99" s="46"/>
      <c r="MZI99" s="46"/>
      <c r="MZJ99" s="46"/>
      <c r="MZK99" s="46"/>
      <c r="MZL99" s="46"/>
      <c r="MZM99" s="46"/>
      <c r="MZN99" s="46"/>
      <c r="MZO99" s="46"/>
      <c r="MZP99" s="46"/>
      <c r="MZQ99" s="46"/>
      <c r="MZR99" s="46"/>
      <c r="MZS99" s="46"/>
      <c r="MZT99" s="46"/>
      <c r="MZU99" s="46"/>
      <c r="MZV99" s="46"/>
      <c r="MZW99" s="46"/>
      <c r="MZX99" s="46"/>
      <c r="MZY99" s="46"/>
      <c r="MZZ99" s="46"/>
      <c r="NAA99" s="46"/>
      <c r="NAB99" s="46"/>
      <c r="NAC99" s="46"/>
      <c r="NAD99" s="46"/>
      <c r="NAE99" s="46"/>
      <c r="NAF99" s="46"/>
      <c r="NAG99" s="46"/>
      <c r="NAH99" s="46"/>
      <c r="NAI99" s="46"/>
      <c r="NAJ99" s="46"/>
      <c r="NAK99" s="46"/>
      <c r="NAL99" s="46"/>
      <c r="NAM99" s="46"/>
      <c r="NAN99" s="46"/>
      <c r="NAO99" s="46"/>
      <c r="NAP99" s="46"/>
      <c r="NAQ99" s="46"/>
      <c r="NAR99" s="46"/>
      <c r="NAS99" s="46"/>
      <c r="NAT99" s="46"/>
      <c r="NAU99" s="46"/>
      <c r="NAV99" s="46"/>
      <c r="NAW99" s="46"/>
      <c r="NAX99" s="46"/>
      <c r="NAY99" s="46"/>
      <c r="NAZ99" s="46"/>
      <c r="NBA99" s="46"/>
      <c r="NBB99" s="46"/>
      <c r="NBC99" s="46"/>
      <c r="NBD99" s="46"/>
      <c r="NBE99" s="46"/>
      <c r="NBF99" s="46"/>
      <c r="NBG99" s="46"/>
      <c r="NBH99" s="46"/>
      <c r="NBI99" s="46"/>
      <c r="NBJ99" s="46"/>
      <c r="NBK99" s="46"/>
      <c r="NBL99" s="46"/>
      <c r="NBM99" s="46"/>
      <c r="NBN99" s="46"/>
      <c r="NBO99" s="46"/>
      <c r="NBP99" s="46"/>
      <c r="NBQ99" s="46"/>
      <c r="NBR99" s="46"/>
      <c r="NBS99" s="46"/>
      <c r="NBT99" s="46"/>
      <c r="NBU99" s="46"/>
      <c r="NBV99" s="46"/>
      <c r="NBW99" s="46"/>
      <c r="NBX99" s="46"/>
      <c r="NBY99" s="46"/>
      <c r="NBZ99" s="46"/>
      <c r="NCA99" s="46"/>
      <c r="NCB99" s="46"/>
      <c r="NCC99" s="46"/>
      <c r="NCD99" s="46"/>
      <c r="NCE99" s="46"/>
      <c r="NCF99" s="46"/>
      <c r="NCG99" s="46"/>
      <c r="NCH99" s="46"/>
      <c r="NCI99" s="46"/>
      <c r="NCJ99" s="46"/>
      <c r="NCK99" s="46"/>
      <c r="NCL99" s="46"/>
      <c r="NCM99" s="46"/>
      <c r="NCN99" s="46"/>
      <c r="NCO99" s="46"/>
      <c r="NCP99" s="46"/>
      <c r="NCQ99" s="46"/>
      <c r="NCR99" s="46"/>
      <c r="NCS99" s="46"/>
      <c r="NCT99" s="46"/>
      <c r="NCU99" s="46"/>
      <c r="NCV99" s="46"/>
      <c r="NCW99" s="46"/>
      <c r="NCX99" s="46"/>
      <c r="NCY99" s="46"/>
      <c r="NCZ99" s="46"/>
      <c r="NDA99" s="46"/>
      <c r="NDB99" s="46"/>
      <c r="NDC99" s="46"/>
      <c r="NDD99" s="46"/>
      <c r="NDE99" s="46"/>
      <c r="NDF99" s="46"/>
      <c r="NDG99" s="46"/>
      <c r="NDH99" s="46"/>
      <c r="NDI99" s="46"/>
      <c r="NDJ99" s="46"/>
      <c r="NDK99" s="46"/>
      <c r="NDL99" s="46"/>
      <c r="NDM99" s="46"/>
      <c r="NDN99" s="46"/>
      <c r="NDO99" s="46"/>
      <c r="NDP99" s="46"/>
      <c r="NDQ99" s="46"/>
      <c r="NDR99" s="46"/>
      <c r="NDS99" s="46"/>
      <c r="NDT99" s="46"/>
      <c r="NDU99" s="46"/>
      <c r="NDV99" s="46"/>
      <c r="NDW99" s="46"/>
      <c r="NDX99" s="46"/>
      <c r="NDY99" s="46"/>
      <c r="NDZ99" s="46"/>
      <c r="NEA99" s="46"/>
      <c r="NEB99" s="46"/>
      <c r="NEC99" s="46"/>
      <c r="NED99" s="46"/>
      <c r="NEE99" s="46"/>
      <c r="NEF99" s="46"/>
      <c r="NEG99" s="46"/>
      <c r="NEH99" s="46"/>
      <c r="NEI99" s="46"/>
      <c r="NEJ99" s="46"/>
      <c r="NEK99" s="46"/>
      <c r="NEL99" s="46"/>
      <c r="NEM99" s="46"/>
      <c r="NEN99" s="46"/>
      <c r="NEO99" s="46"/>
      <c r="NEP99" s="46"/>
      <c r="NEQ99" s="46"/>
      <c r="NER99" s="46"/>
      <c r="NES99" s="46"/>
      <c r="NET99" s="46"/>
      <c r="NEU99" s="46"/>
      <c r="NEV99" s="46"/>
      <c r="NEW99" s="46"/>
      <c r="NEX99" s="46"/>
      <c r="NEY99" s="46"/>
      <c r="NEZ99" s="46"/>
      <c r="NFA99" s="46"/>
      <c r="NFB99" s="46"/>
      <c r="NFC99" s="46"/>
      <c r="NFD99" s="46"/>
      <c r="NFE99" s="46"/>
      <c r="NFF99" s="46"/>
      <c r="NFG99" s="46"/>
      <c r="NFH99" s="46"/>
      <c r="NFI99" s="46"/>
      <c r="NFJ99" s="46"/>
      <c r="NFK99" s="46"/>
      <c r="NFL99" s="46"/>
      <c r="NFM99" s="46"/>
      <c r="NFN99" s="46"/>
      <c r="NFO99" s="46"/>
      <c r="NFP99" s="46"/>
      <c r="NFQ99" s="46"/>
      <c r="NFR99" s="46"/>
      <c r="NFS99" s="46"/>
      <c r="NFT99" s="46"/>
      <c r="NFU99" s="46"/>
      <c r="NFV99" s="46"/>
      <c r="NFW99" s="46"/>
      <c r="NFX99" s="46"/>
      <c r="NFY99" s="46"/>
      <c r="NFZ99" s="46"/>
      <c r="NGA99" s="46"/>
      <c r="NGB99" s="46"/>
      <c r="NGC99" s="46"/>
      <c r="NGD99" s="46"/>
      <c r="NGE99" s="46"/>
      <c r="NGF99" s="46"/>
      <c r="NGG99" s="46"/>
      <c r="NGH99" s="46"/>
      <c r="NGI99" s="46"/>
      <c r="NGJ99" s="46"/>
      <c r="NGK99" s="46"/>
      <c r="NGL99" s="46"/>
      <c r="NGM99" s="46"/>
      <c r="NGN99" s="46"/>
      <c r="NGO99" s="46"/>
      <c r="NGP99" s="46"/>
      <c r="NGQ99" s="46"/>
      <c r="NGR99" s="46"/>
      <c r="NGS99" s="46"/>
      <c r="NGT99" s="46"/>
      <c r="NGU99" s="46"/>
      <c r="NGV99" s="46"/>
      <c r="NGW99" s="46"/>
      <c r="NGX99" s="46"/>
      <c r="NGY99" s="46"/>
      <c r="NGZ99" s="46"/>
      <c r="NHA99" s="46"/>
      <c r="NHB99" s="46"/>
      <c r="NHC99" s="46"/>
      <c r="NHD99" s="46"/>
      <c r="NHE99" s="46"/>
      <c r="NHF99" s="46"/>
      <c r="NHG99" s="46"/>
      <c r="NHH99" s="46"/>
      <c r="NHI99" s="46"/>
      <c r="NHJ99" s="46"/>
      <c r="NHK99" s="46"/>
      <c r="NHL99" s="46"/>
      <c r="NHM99" s="46"/>
      <c r="NHN99" s="46"/>
      <c r="NHO99" s="46"/>
      <c r="NHP99" s="46"/>
      <c r="NHQ99" s="46"/>
      <c r="NHR99" s="46"/>
      <c r="NHS99" s="46"/>
      <c r="NHT99" s="46"/>
      <c r="NHU99" s="46"/>
      <c r="NHV99" s="46"/>
      <c r="NHW99" s="46"/>
      <c r="NHX99" s="46"/>
      <c r="NHY99" s="46"/>
      <c r="NHZ99" s="46"/>
      <c r="NIA99" s="46"/>
      <c r="NIB99" s="46"/>
      <c r="NIC99" s="46"/>
      <c r="NID99" s="46"/>
      <c r="NIE99" s="46"/>
      <c r="NIF99" s="46"/>
      <c r="NIG99" s="46"/>
      <c r="NIH99" s="46"/>
      <c r="NII99" s="46"/>
      <c r="NIJ99" s="46"/>
      <c r="NIK99" s="46"/>
      <c r="NIL99" s="46"/>
      <c r="NIM99" s="46"/>
      <c r="NIN99" s="46"/>
      <c r="NIO99" s="46"/>
      <c r="NIP99" s="46"/>
      <c r="NIQ99" s="46"/>
      <c r="NIR99" s="46"/>
      <c r="NIS99" s="46"/>
      <c r="NIT99" s="46"/>
      <c r="NIU99" s="46"/>
      <c r="NIV99" s="46"/>
      <c r="NIW99" s="46"/>
      <c r="NIX99" s="46"/>
      <c r="NIY99" s="46"/>
      <c r="NIZ99" s="46"/>
      <c r="NJA99" s="46"/>
      <c r="NJB99" s="46"/>
      <c r="NJC99" s="46"/>
      <c r="NJD99" s="46"/>
      <c r="NJE99" s="46"/>
      <c r="NJF99" s="46"/>
      <c r="NJG99" s="46"/>
      <c r="NJH99" s="46"/>
      <c r="NJI99" s="46"/>
      <c r="NJJ99" s="46"/>
      <c r="NJK99" s="46"/>
      <c r="NJL99" s="46"/>
      <c r="NJM99" s="46"/>
      <c r="NJN99" s="46"/>
      <c r="NJO99" s="46"/>
      <c r="NJP99" s="46"/>
      <c r="NJQ99" s="46"/>
      <c r="NJR99" s="46"/>
      <c r="NJS99" s="46"/>
      <c r="NJT99" s="46"/>
      <c r="NJU99" s="46"/>
      <c r="NJV99" s="46"/>
      <c r="NJW99" s="46"/>
      <c r="NJX99" s="46"/>
      <c r="NJY99" s="46"/>
      <c r="NJZ99" s="46"/>
      <c r="NKA99" s="46"/>
      <c r="NKB99" s="46"/>
      <c r="NKC99" s="46"/>
      <c r="NKD99" s="46"/>
      <c r="NKE99" s="46"/>
      <c r="NKF99" s="46"/>
      <c r="NKG99" s="46"/>
      <c r="NKH99" s="46"/>
      <c r="NKI99" s="46"/>
      <c r="NKJ99" s="46"/>
      <c r="NKK99" s="46"/>
      <c r="NKL99" s="46"/>
      <c r="NKM99" s="46"/>
      <c r="NKN99" s="46"/>
      <c r="NKO99" s="46"/>
      <c r="NKP99" s="46"/>
      <c r="NKQ99" s="46"/>
      <c r="NKR99" s="46"/>
      <c r="NKS99" s="46"/>
      <c r="NKT99" s="46"/>
      <c r="NKU99" s="46"/>
      <c r="NKV99" s="46"/>
      <c r="NKW99" s="46"/>
      <c r="NKX99" s="46"/>
      <c r="NKY99" s="46"/>
      <c r="NKZ99" s="46"/>
      <c r="NLA99" s="46"/>
      <c r="NLB99" s="46"/>
      <c r="NLC99" s="46"/>
      <c r="NLD99" s="46"/>
      <c r="NLE99" s="46"/>
      <c r="NLF99" s="46"/>
      <c r="NLG99" s="46"/>
      <c r="NLH99" s="46"/>
      <c r="NLI99" s="46"/>
      <c r="NLJ99" s="46"/>
      <c r="NLK99" s="46"/>
      <c r="NLL99" s="46"/>
      <c r="NLM99" s="46"/>
      <c r="NLN99" s="46"/>
      <c r="NLO99" s="46"/>
      <c r="NLP99" s="46"/>
      <c r="NLQ99" s="46"/>
      <c r="NLR99" s="46"/>
      <c r="NLS99" s="46"/>
      <c r="NLT99" s="46"/>
      <c r="NLU99" s="46"/>
      <c r="NLV99" s="46"/>
      <c r="NLW99" s="46"/>
      <c r="NLX99" s="46"/>
      <c r="NLY99" s="46"/>
      <c r="NLZ99" s="46"/>
      <c r="NMA99" s="46"/>
      <c r="NMB99" s="46"/>
      <c r="NMC99" s="46"/>
      <c r="NMD99" s="46"/>
      <c r="NME99" s="46"/>
      <c r="NMF99" s="46"/>
      <c r="NMG99" s="46"/>
      <c r="NMH99" s="46"/>
      <c r="NMI99" s="46"/>
      <c r="NMJ99" s="46"/>
      <c r="NMK99" s="46"/>
      <c r="NML99" s="46"/>
      <c r="NMM99" s="46"/>
      <c r="NMN99" s="46"/>
      <c r="NMO99" s="46"/>
      <c r="NMP99" s="46"/>
      <c r="NMQ99" s="46"/>
      <c r="NMR99" s="46"/>
      <c r="NMS99" s="46"/>
      <c r="NMT99" s="46"/>
      <c r="NMU99" s="46"/>
      <c r="NMV99" s="46"/>
      <c r="NMW99" s="46"/>
      <c r="NMX99" s="46"/>
      <c r="NMY99" s="46"/>
      <c r="NMZ99" s="46"/>
      <c r="NNA99" s="46"/>
      <c r="NNB99" s="46"/>
      <c r="NNC99" s="46"/>
      <c r="NND99" s="46"/>
      <c r="NNE99" s="46"/>
      <c r="NNF99" s="46"/>
      <c r="NNG99" s="46"/>
      <c r="NNH99" s="46"/>
      <c r="NNI99" s="46"/>
      <c r="NNJ99" s="46"/>
      <c r="NNK99" s="46"/>
      <c r="NNL99" s="46"/>
      <c r="NNM99" s="46"/>
      <c r="NNN99" s="46"/>
      <c r="NNO99" s="46"/>
      <c r="NNP99" s="46"/>
      <c r="NNQ99" s="46"/>
      <c r="NNR99" s="46"/>
      <c r="NNS99" s="46"/>
      <c r="NNT99" s="46"/>
      <c r="NNU99" s="46"/>
      <c r="NNV99" s="46"/>
      <c r="NNW99" s="46"/>
      <c r="NNX99" s="46"/>
      <c r="NNY99" s="46"/>
      <c r="NNZ99" s="46"/>
      <c r="NOA99" s="46"/>
      <c r="NOB99" s="46"/>
      <c r="NOC99" s="46"/>
      <c r="NOD99" s="46"/>
      <c r="NOE99" s="46"/>
      <c r="NOF99" s="46"/>
      <c r="NOG99" s="46"/>
      <c r="NOH99" s="46"/>
      <c r="NOI99" s="46"/>
      <c r="NOJ99" s="46"/>
      <c r="NOK99" s="46"/>
      <c r="NOL99" s="46"/>
      <c r="NOM99" s="46"/>
      <c r="NON99" s="46"/>
      <c r="NOO99" s="46"/>
      <c r="NOP99" s="46"/>
      <c r="NOQ99" s="46"/>
      <c r="NOR99" s="46"/>
      <c r="NOS99" s="46"/>
      <c r="NOT99" s="46"/>
      <c r="NOU99" s="46"/>
      <c r="NOV99" s="46"/>
      <c r="NOW99" s="46"/>
      <c r="NOX99" s="46"/>
      <c r="NOY99" s="46"/>
      <c r="NOZ99" s="46"/>
      <c r="NPA99" s="46"/>
      <c r="NPB99" s="46"/>
      <c r="NPC99" s="46"/>
      <c r="NPD99" s="46"/>
      <c r="NPE99" s="46"/>
      <c r="NPF99" s="46"/>
      <c r="NPG99" s="46"/>
      <c r="NPH99" s="46"/>
      <c r="NPI99" s="46"/>
      <c r="NPJ99" s="46"/>
      <c r="NPK99" s="46"/>
      <c r="NPL99" s="46"/>
      <c r="NPM99" s="46"/>
      <c r="NPN99" s="46"/>
      <c r="NPO99" s="46"/>
      <c r="NPP99" s="46"/>
      <c r="NPQ99" s="46"/>
      <c r="NPR99" s="46"/>
      <c r="NPS99" s="46"/>
      <c r="NPT99" s="46"/>
      <c r="NPU99" s="46"/>
      <c r="NPV99" s="46"/>
      <c r="NPW99" s="46"/>
      <c r="NPX99" s="46"/>
      <c r="NPY99" s="46"/>
      <c r="NPZ99" s="46"/>
      <c r="NQA99" s="46"/>
      <c r="NQB99" s="46"/>
      <c r="NQC99" s="46"/>
      <c r="NQD99" s="46"/>
      <c r="NQE99" s="46"/>
      <c r="NQF99" s="46"/>
      <c r="NQG99" s="46"/>
      <c r="NQH99" s="46"/>
      <c r="NQI99" s="46"/>
      <c r="NQJ99" s="46"/>
      <c r="NQK99" s="46"/>
      <c r="NQL99" s="46"/>
      <c r="NQM99" s="46"/>
      <c r="NQN99" s="46"/>
      <c r="NQO99" s="46"/>
      <c r="NQP99" s="46"/>
      <c r="NQQ99" s="46"/>
      <c r="NQR99" s="46"/>
      <c r="NQS99" s="46"/>
      <c r="NQT99" s="46"/>
      <c r="NQU99" s="46"/>
      <c r="NQV99" s="46"/>
      <c r="NQW99" s="46"/>
      <c r="NQX99" s="46"/>
      <c r="NQY99" s="46"/>
      <c r="NQZ99" s="46"/>
      <c r="NRA99" s="46"/>
      <c r="NRB99" s="46"/>
      <c r="NRC99" s="46"/>
      <c r="NRD99" s="46"/>
      <c r="NRE99" s="46"/>
      <c r="NRF99" s="46"/>
      <c r="NRG99" s="46"/>
      <c r="NRH99" s="46"/>
      <c r="NRI99" s="46"/>
      <c r="NRJ99" s="46"/>
      <c r="NRK99" s="46"/>
      <c r="NRL99" s="46"/>
      <c r="NRM99" s="46"/>
      <c r="NRN99" s="46"/>
      <c r="NRO99" s="46"/>
      <c r="NRP99" s="46"/>
      <c r="NRQ99" s="46"/>
      <c r="NRR99" s="46"/>
      <c r="NRS99" s="46"/>
      <c r="NRT99" s="46"/>
      <c r="NRU99" s="46"/>
      <c r="NRV99" s="46"/>
      <c r="NRW99" s="46"/>
      <c r="NRX99" s="46"/>
      <c r="NRY99" s="46"/>
      <c r="NRZ99" s="46"/>
      <c r="NSA99" s="46"/>
      <c r="NSB99" s="46"/>
      <c r="NSC99" s="46"/>
      <c r="NSD99" s="46"/>
      <c r="NSE99" s="46"/>
      <c r="NSF99" s="46"/>
      <c r="NSG99" s="46"/>
      <c r="NSH99" s="46"/>
      <c r="NSI99" s="46"/>
      <c r="NSJ99" s="46"/>
      <c r="NSK99" s="46"/>
      <c r="NSL99" s="46"/>
      <c r="NSM99" s="46"/>
      <c r="NSN99" s="46"/>
      <c r="NSO99" s="46"/>
      <c r="NSP99" s="46"/>
      <c r="NSQ99" s="46"/>
      <c r="NSR99" s="46"/>
      <c r="NSS99" s="46"/>
      <c r="NST99" s="46"/>
      <c r="NSU99" s="46"/>
      <c r="NSV99" s="46"/>
      <c r="NSW99" s="46"/>
      <c r="NSX99" s="46"/>
      <c r="NSY99" s="46"/>
      <c r="NSZ99" s="46"/>
      <c r="NTA99" s="46"/>
      <c r="NTB99" s="46"/>
      <c r="NTC99" s="46"/>
      <c r="NTD99" s="46"/>
      <c r="NTE99" s="46"/>
      <c r="NTF99" s="46"/>
      <c r="NTG99" s="46"/>
      <c r="NTH99" s="46"/>
      <c r="NTI99" s="46"/>
      <c r="NTJ99" s="46"/>
      <c r="NTK99" s="46"/>
      <c r="NTL99" s="46"/>
      <c r="NTM99" s="46"/>
      <c r="NTN99" s="46"/>
      <c r="NTO99" s="46"/>
      <c r="NTP99" s="46"/>
      <c r="NTQ99" s="46"/>
      <c r="NTR99" s="46"/>
      <c r="NTS99" s="46"/>
      <c r="NTT99" s="46"/>
      <c r="NTU99" s="46"/>
      <c r="NTV99" s="46"/>
      <c r="NTW99" s="46"/>
      <c r="NTX99" s="46"/>
      <c r="NTY99" s="46"/>
      <c r="NTZ99" s="46"/>
      <c r="NUA99" s="46"/>
      <c r="NUB99" s="46"/>
      <c r="NUC99" s="46"/>
      <c r="NUD99" s="46"/>
      <c r="NUE99" s="46"/>
      <c r="NUF99" s="46"/>
      <c r="NUG99" s="46"/>
      <c r="NUH99" s="46"/>
      <c r="NUI99" s="46"/>
      <c r="NUJ99" s="46"/>
      <c r="NUK99" s="46"/>
      <c r="NUL99" s="46"/>
      <c r="NUM99" s="46"/>
      <c r="NUN99" s="46"/>
      <c r="NUO99" s="46"/>
      <c r="NUP99" s="46"/>
      <c r="NUQ99" s="46"/>
      <c r="NUR99" s="46"/>
      <c r="NUS99" s="46"/>
      <c r="NUT99" s="46"/>
      <c r="NUU99" s="46"/>
      <c r="NUV99" s="46"/>
      <c r="NUW99" s="46"/>
      <c r="NUX99" s="46"/>
      <c r="NUY99" s="46"/>
      <c r="NUZ99" s="46"/>
      <c r="NVA99" s="46"/>
      <c r="NVB99" s="46"/>
      <c r="NVC99" s="46"/>
      <c r="NVD99" s="46"/>
      <c r="NVE99" s="46"/>
      <c r="NVF99" s="46"/>
      <c r="NVG99" s="46"/>
      <c r="NVH99" s="46"/>
      <c r="NVI99" s="46"/>
      <c r="NVJ99" s="46"/>
      <c r="NVK99" s="46"/>
      <c r="NVL99" s="46"/>
      <c r="NVM99" s="46"/>
      <c r="NVN99" s="46"/>
      <c r="NVO99" s="46"/>
      <c r="NVP99" s="46"/>
      <c r="NVQ99" s="46"/>
      <c r="NVR99" s="46"/>
      <c r="NVS99" s="46"/>
      <c r="NVT99" s="46"/>
      <c r="NVU99" s="46"/>
      <c r="NVV99" s="46"/>
      <c r="NVW99" s="46"/>
      <c r="NVX99" s="46"/>
      <c r="NVY99" s="46"/>
      <c r="NVZ99" s="46"/>
      <c r="NWA99" s="46"/>
      <c r="NWB99" s="46"/>
      <c r="NWC99" s="46"/>
      <c r="NWD99" s="46"/>
      <c r="NWE99" s="46"/>
      <c r="NWF99" s="46"/>
      <c r="NWG99" s="46"/>
      <c r="NWH99" s="46"/>
      <c r="NWI99" s="46"/>
      <c r="NWJ99" s="46"/>
      <c r="NWK99" s="46"/>
      <c r="NWL99" s="46"/>
      <c r="NWM99" s="46"/>
      <c r="NWN99" s="46"/>
      <c r="NWO99" s="46"/>
      <c r="NWP99" s="46"/>
      <c r="NWQ99" s="46"/>
      <c r="NWR99" s="46"/>
      <c r="NWS99" s="46"/>
      <c r="NWT99" s="46"/>
      <c r="NWU99" s="46"/>
      <c r="NWV99" s="46"/>
      <c r="NWW99" s="46"/>
      <c r="NWX99" s="46"/>
      <c r="NWY99" s="46"/>
      <c r="NWZ99" s="46"/>
      <c r="NXA99" s="46"/>
      <c r="NXB99" s="46"/>
      <c r="NXC99" s="46"/>
      <c r="NXD99" s="46"/>
      <c r="NXE99" s="46"/>
      <c r="NXF99" s="46"/>
      <c r="NXG99" s="46"/>
      <c r="NXH99" s="46"/>
      <c r="NXI99" s="46"/>
      <c r="NXJ99" s="46"/>
      <c r="NXK99" s="46"/>
      <c r="NXL99" s="46"/>
      <c r="NXM99" s="46"/>
      <c r="NXN99" s="46"/>
      <c r="NXO99" s="46"/>
      <c r="NXP99" s="46"/>
      <c r="NXQ99" s="46"/>
      <c r="NXR99" s="46"/>
      <c r="NXS99" s="46"/>
      <c r="NXT99" s="46"/>
      <c r="NXU99" s="46"/>
      <c r="NXV99" s="46"/>
      <c r="NXW99" s="46"/>
      <c r="NXX99" s="46"/>
      <c r="NXY99" s="46"/>
      <c r="NXZ99" s="46"/>
      <c r="NYA99" s="46"/>
      <c r="NYB99" s="46"/>
      <c r="NYC99" s="46"/>
      <c r="NYD99" s="46"/>
      <c r="NYE99" s="46"/>
      <c r="NYF99" s="46"/>
      <c r="NYG99" s="46"/>
      <c r="NYH99" s="46"/>
      <c r="NYI99" s="46"/>
      <c r="NYJ99" s="46"/>
      <c r="NYK99" s="46"/>
      <c r="NYL99" s="46"/>
      <c r="NYM99" s="46"/>
      <c r="NYN99" s="46"/>
      <c r="NYO99" s="46"/>
      <c r="NYP99" s="46"/>
      <c r="NYQ99" s="46"/>
      <c r="NYR99" s="46"/>
      <c r="NYS99" s="46"/>
      <c r="NYT99" s="46"/>
      <c r="NYU99" s="46"/>
      <c r="NYV99" s="46"/>
      <c r="NYW99" s="46"/>
      <c r="NYX99" s="46"/>
      <c r="NYY99" s="46"/>
      <c r="NYZ99" s="46"/>
      <c r="NZA99" s="46"/>
      <c r="NZB99" s="46"/>
      <c r="NZC99" s="46"/>
      <c r="NZD99" s="46"/>
      <c r="NZE99" s="46"/>
      <c r="NZF99" s="46"/>
      <c r="NZG99" s="46"/>
      <c r="NZH99" s="46"/>
      <c r="NZI99" s="46"/>
      <c r="NZJ99" s="46"/>
      <c r="NZK99" s="46"/>
      <c r="NZL99" s="46"/>
      <c r="NZM99" s="46"/>
      <c r="NZN99" s="46"/>
      <c r="NZO99" s="46"/>
      <c r="NZP99" s="46"/>
      <c r="NZQ99" s="46"/>
      <c r="NZR99" s="46"/>
      <c r="NZS99" s="46"/>
      <c r="NZT99" s="46"/>
      <c r="NZU99" s="46"/>
      <c r="NZV99" s="46"/>
      <c r="NZW99" s="46"/>
      <c r="NZX99" s="46"/>
      <c r="NZY99" s="46"/>
      <c r="NZZ99" s="46"/>
      <c r="OAA99" s="46"/>
      <c r="OAB99" s="46"/>
      <c r="OAC99" s="46"/>
      <c r="OAD99" s="46"/>
      <c r="OAE99" s="46"/>
      <c r="OAF99" s="46"/>
      <c r="OAG99" s="46"/>
      <c r="OAH99" s="46"/>
      <c r="OAI99" s="46"/>
      <c r="OAJ99" s="46"/>
      <c r="OAK99" s="46"/>
      <c r="OAL99" s="46"/>
      <c r="OAM99" s="46"/>
      <c r="OAN99" s="46"/>
      <c r="OAO99" s="46"/>
      <c r="OAP99" s="46"/>
      <c r="OAQ99" s="46"/>
      <c r="OAR99" s="46"/>
      <c r="OAS99" s="46"/>
      <c r="OAT99" s="46"/>
      <c r="OAU99" s="46"/>
      <c r="OAV99" s="46"/>
      <c r="OAW99" s="46"/>
      <c r="OAX99" s="46"/>
      <c r="OAY99" s="46"/>
      <c r="OAZ99" s="46"/>
      <c r="OBA99" s="46"/>
      <c r="OBB99" s="46"/>
      <c r="OBC99" s="46"/>
      <c r="OBD99" s="46"/>
      <c r="OBE99" s="46"/>
      <c r="OBF99" s="46"/>
      <c r="OBG99" s="46"/>
      <c r="OBH99" s="46"/>
      <c r="OBI99" s="46"/>
      <c r="OBJ99" s="46"/>
      <c r="OBK99" s="46"/>
      <c r="OBL99" s="46"/>
      <c r="OBM99" s="46"/>
      <c r="OBN99" s="46"/>
      <c r="OBO99" s="46"/>
      <c r="OBP99" s="46"/>
      <c r="OBQ99" s="46"/>
      <c r="OBR99" s="46"/>
      <c r="OBS99" s="46"/>
      <c r="OBT99" s="46"/>
      <c r="OBU99" s="46"/>
      <c r="OBV99" s="46"/>
      <c r="OBW99" s="46"/>
      <c r="OBX99" s="46"/>
      <c r="OBY99" s="46"/>
      <c r="OBZ99" s="46"/>
      <c r="OCA99" s="46"/>
      <c r="OCB99" s="46"/>
      <c r="OCC99" s="46"/>
      <c r="OCD99" s="46"/>
      <c r="OCE99" s="46"/>
      <c r="OCF99" s="46"/>
      <c r="OCG99" s="46"/>
      <c r="OCH99" s="46"/>
      <c r="OCI99" s="46"/>
      <c r="OCJ99" s="46"/>
      <c r="OCK99" s="46"/>
      <c r="OCL99" s="46"/>
      <c r="OCM99" s="46"/>
      <c r="OCN99" s="46"/>
      <c r="OCO99" s="46"/>
      <c r="OCP99" s="46"/>
      <c r="OCQ99" s="46"/>
      <c r="OCR99" s="46"/>
      <c r="OCS99" s="46"/>
      <c r="OCT99" s="46"/>
      <c r="OCU99" s="46"/>
      <c r="OCV99" s="46"/>
      <c r="OCW99" s="46"/>
      <c r="OCX99" s="46"/>
      <c r="OCY99" s="46"/>
      <c r="OCZ99" s="46"/>
      <c r="ODA99" s="46"/>
      <c r="ODB99" s="46"/>
      <c r="ODC99" s="46"/>
      <c r="ODD99" s="46"/>
      <c r="ODE99" s="46"/>
      <c r="ODF99" s="46"/>
      <c r="ODG99" s="46"/>
      <c r="ODH99" s="46"/>
      <c r="ODI99" s="46"/>
      <c r="ODJ99" s="46"/>
      <c r="ODK99" s="46"/>
      <c r="ODL99" s="46"/>
      <c r="ODM99" s="46"/>
      <c r="ODN99" s="46"/>
      <c r="ODO99" s="46"/>
      <c r="ODP99" s="46"/>
      <c r="ODQ99" s="46"/>
      <c r="ODR99" s="46"/>
      <c r="ODS99" s="46"/>
      <c r="ODT99" s="46"/>
      <c r="ODU99" s="46"/>
      <c r="ODV99" s="46"/>
      <c r="ODW99" s="46"/>
      <c r="ODX99" s="46"/>
      <c r="ODY99" s="46"/>
      <c r="ODZ99" s="46"/>
      <c r="OEA99" s="46"/>
      <c r="OEB99" s="46"/>
      <c r="OEC99" s="46"/>
      <c r="OED99" s="46"/>
      <c r="OEE99" s="46"/>
      <c r="OEF99" s="46"/>
      <c r="OEG99" s="46"/>
      <c r="OEH99" s="46"/>
      <c r="OEI99" s="46"/>
      <c r="OEJ99" s="46"/>
      <c r="OEK99" s="46"/>
      <c r="OEL99" s="46"/>
      <c r="OEM99" s="46"/>
      <c r="OEN99" s="46"/>
      <c r="OEO99" s="46"/>
      <c r="OEP99" s="46"/>
      <c r="OEQ99" s="46"/>
      <c r="OER99" s="46"/>
      <c r="OES99" s="46"/>
      <c r="OET99" s="46"/>
      <c r="OEU99" s="46"/>
      <c r="OEV99" s="46"/>
      <c r="OEW99" s="46"/>
      <c r="OEX99" s="46"/>
      <c r="OEY99" s="46"/>
      <c r="OEZ99" s="46"/>
      <c r="OFA99" s="46"/>
      <c r="OFB99" s="46"/>
      <c r="OFC99" s="46"/>
      <c r="OFD99" s="46"/>
      <c r="OFE99" s="46"/>
      <c r="OFF99" s="46"/>
      <c r="OFG99" s="46"/>
      <c r="OFH99" s="46"/>
      <c r="OFI99" s="46"/>
      <c r="OFJ99" s="46"/>
      <c r="OFK99" s="46"/>
      <c r="OFL99" s="46"/>
      <c r="OFM99" s="46"/>
      <c r="OFN99" s="46"/>
      <c r="OFO99" s="46"/>
      <c r="OFP99" s="46"/>
      <c r="OFQ99" s="46"/>
      <c r="OFR99" s="46"/>
      <c r="OFS99" s="46"/>
      <c r="OFT99" s="46"/>
      <c r="OFU99" s="46"/>
      <c r="OFV99" s="46"/>
      <c r="OFW99" s="46"/>
      <c r="OFX99" s="46"/>
      <c r="OFY99" s="46"/>
      <c r="OFZ99" s="46"/>
      <c r="OGA99" s="46"/>
      <c r="OGB99" s="46"/>
      <c r="OGC99" s="46"/>
      <c r="OGD99" s="46"/>
      <c r="OGE99" s="46"/>
      <c r="OGF99" s="46"/>
      <c r="OGG99" s="46"/>
      <c r="OGH99" s="46"/>
      <c r="OGI99" s="46"/>
      <c r="OGJ99" s="46"/>
      <c r="OGK99" s="46"/>
      <c r="OGL99" s="46"/>
      <c r="OGM99" s="46"/>
      <c r="OGN99" s="46"/>
      <c r="OGO99" s="46"/>
      <c r="OGP99" s="46"/>
      <c r="OGQ99" s="46"/>
      <c r="OGR99" s="46"/>
      <c r="OGS99" s="46"/>
      <c r="OGT99" s="46"/>
      <c r="OGU99" s="46"/>
      <c r="OGV99" s="46"/>
      <c r="OGW99" s="46"/>
      <c r="OGX99" s="46"/>
      <c r="OGY99" s="46"/>
      <c r="OGZ99" s="46"/>
      <c r="OHA99" s="46"/>
      <c r="OHB99" s="46"/>
      <c r="OHC99" s="46"/>
      <c r="OHD99" s="46"/>
      <c r="OHE99" s="46"/>
      <c r="OHF99" s="46"/>
      <c r="OHG99" s="46"/>
      <c r="OHH99" s="46"/>
      <c r="OHI99" s="46"/>
      <c r="OHJ99" s="46"/>
      <c r="OHK99" s="46"/>
      <c r="OHL99" s="46"/>
      <c r="OHM99" s="46"/>
      <c r="OHN99" s="46"/>
      <c r="OHO99" s="46"/>
      <c r="OHP99" s="46"/>
      <c r="OHQ99" s="46"/>
      <c r="OHR99" s="46"/>
      <c r="OHS99" s="46"/>
      <c r="OHT99" s="46"/>
      <c r="OHU99" s="46"/>
      <c r="OHV99" s="46"/>
      <c r="OHW99" s="46"/>
      <c r="OHX99" s="46"/>
      <c r="OHY99" s="46"/>
      <c r="OHZ99" s="46"/>
      <c r="OIA99" s="46"/>
      <c r="OIB99" s="46"/>
      <c r="OIC99" s="46"/>
      <c r="OID99" s="46"/>
      <c r="OIE99" s="46"/>
      <c r="OIF99" s="46"/>
      <c r="OIG99" s="46"/>
      <c r="OIH99" s="46"/>
      <c r="OII99" s="46"/>
      <c r="OIJ99" s="46"/>
      <c r="OIK99" s="46"/>
      <c r="OIL99" s="46"/>
      <c r="OIM99" s="46"/>
      <c r="OIN99" s="46"/>
      <c r="OIO99" s="46"/>
      <c r="OIP99" s="46"/>
      <c r="OIQ99" s="46"/>
      <c r="OIR99" s="46"/>
      <c r="OIS99" s="46"/>
      <c r="OIT99" s="46"/>
      <c r="OIU99" s="46"/>
      <c r="OIV99" s="46"/>
      <c r="OIW99" s="46"/>
      <c r="OIX99" s="46"/>
      <c r="OIY99" s="46"/>
      <c r="OIZ99" s="46"/>
      <c r="OJA99" s="46"/>
      <c r="OJB99" s="46"/>
      <c r="OJC99" s="46"/>
      <c r="OJD99" s="46"/>
      <c r="OJE99" s="46"/>
      <c r="OJF99" s="46"/>
      <c r="OJG99" s="46"/>
      <c r="OJH99" s="46"/>
      <c r="OJI99" s="46"/>
      <c r="OJJ99" s="46"/>
      <c r="OJK99" s="46"/>
      <c r="OJL99" s="46"/>
      <c r="OJM99" s="46"/>
      <c r="OJN99" s="46"/>
      <c r="OJO99" s="46"/>
      <c r="OJP99" s="46"/>
      <c r="OJQ99" s="46"/>
      <c r="OJR99" s="46"/>
      <c r="OJS99" s="46"/>
      <c r="OJT99" s="46"/>
      <c r="OJU99" s="46"/>
      <c r="OJV99" s="46"/>
      <c r="OJW99" s="46"/>
      <c r="OJX99" s="46"/>
      <c r="OJY99" s="46"/>
      <c r="OJZ99" s="46"/>
      <c r="OKA99" s="46"/>
      <c r="OKB99" s="46"/>
      <c r="OKC99" s="46"/>
      <c r="OKD99" s="46"/>
      <c r="OKE99" s="46"/>
      <c r="OKF99" s="46"/>
      <c r="OKG99" s="46"/>
      <c r="OKH99" s="46"/>
      <c r="OKI99" s="46"/>
      <c r="OKJ99" s="46"/>
      <c r="OKK99" s="46"/>
      <c r="OKL99" s="46"/>
      <c r="OKM99" s="46"/>
      <c r="OKN99" s="46"/>
      <c r="OKO99" s="46"/>
      <c r="OKP99" s="46"/>
      <c r="OKQ99" s="46"/>
      <c r="OKR99" s="46"/>
      <c r="OKS99" s="46"/>
      <c r="OKT99" s="46"/>
      <c r="OKU99" s="46"/>
      <c r="OKV99" s="46"/>
      <c r="OKW99" s="46"/>
      <c r="OKX99" s="46"/>
      <c r="OKY99" s="46"/>
      <c r="OKZ99" s="46"/>
      <c r="OLA99" s="46"/>
      <c r="OLB99" s="46"/>
      <c r="OLC99" s="46"/>
      <c r="OLD99" s="46"/>
      <c r="OLE99" s="46"/>
      <c r="OLF99" s="46"/>
      <c r="OLG99" s="46"/>
      <c r="OLH99" s="46"/>
      <c r="OLI99" s="46"/>
      <c r="OLJ99" s="46"/>
      <c r="OLK99" s="46"/>
      <c r="OLL99" s="46"/>
      <c r="OLM99" s="46"/>
      <c r="OLN99" s="46"/>
      <c r="OLO99" s="46"/>
      <c r="OLP99" s="46"/>
      <c r="OLQ99" s="46"/>
      <c r="OLR99" s="46"/>
      <c r="OLS99" s="46"/>
      <c r="OLT99" s="46"/>
      <c r="OLU99" s="46"/>
      <c r="OLV99" s="46"/>
      <c r="OLW99" s="46"/>
      <c r="OLX99" s="46"/>
      <c r="OLY99" s="46"/>
      <c r="OLZ99" s="46"/>
      <c r="OMA99" s="46"/>
      <c r="OMB99" s="46"/>
      <c r="OMC99" s="46"/>
      <c r="OMD99" s="46"/>
      <c r="OME99" s="46"/>
      <c r="OMF99" s="46"/>
      <c r="OMG99" s="46"/>
      <c r="OMH99" s="46"/>
      <c r="OMI99" s="46"/>
      <c r="OMJ99" s="46"/>
      <c r="OMK99" s="46"/>
      <c r="OML99" s="46"/>
      <c r="OMM99" s="46"/>
      <c r="OMN99" s="46"/>
      <c r="OMO99" s="46"/>
      <c r="OMP99" s="46"/>
      <c r="OMQ99" s="46"/>
      <c r="OMR99" s="46"/>
      <c r="OMS99" s="46"/>
      <c r="OMT99" s="46"/>
      <c r="OMU99" s="46"/>
      <c r="OMV99" s="46"/>
      <c r="OMW99" s="46"/>
      <c r="OMX99" s="46"/>
      <c r="OMY99" s="46"/>
      <c r="OMZ99" s="46"/>
      <c r="ONA99" s="46"/>
      <c r="ONB99" s="46"/>
      <c r="ONC99" s="46"/>
      <c r="OND99" s="46"/>
      <c r="ONE99" s="46"/>
      <c r="ONF99" s="46"/>
      <c r="ONG99" s="46"/>
      <c r="ONH99" s="46"/>
      <c r="ONI99" s="46"/>
      <c r="ONJ99" s="46"/>
      <c r="ONK99" s="46"/>
      <c r="ONL99" s="46"/>
      <c r="ONM99" s="46"/>
      <c r="ONN99" s="46"/>
      <c r="ONO99" s="46"/>
      <c r="ONP99" s="46"/>
      <c r="ONQ99" s="46"/>
      <c r="ONR99" s="46"/>
      <c r="ONS99" s="46"/>
      <c r="ONT99" s="46"/>
      <c r="ONU99" s="46"/>
      <c r="ONV99" s="46"/>
      <c r="ONW99" s="46"/>
      <c r="ONX99" s="46"/>
      <c r="ONY99" s="46"/>
      <c r="ONZ99" s="46"/>
      <c r="OOA99" s="46"/>
      <c r="OOB99" s="46"/>
      <c r="OOC99" s="46"/>
      <c r="OOD99" s="46"/>
      <c r="OOE99" s="46"/>
      <c r="OOF99" s="46"/>
      <c r="OOG99" s="46"/>
      <c r="OOH99" s="46"/>
      <c r="OOI99" s="46"/>
      <c r="OOJ99" s="46"/>
      <c r="OOK99" s="46"/>
      <c r="OOL99" s="46"/>
      <c r="OOM99" s="46"/>
      <c r="OON99" s="46"/>
      <c r="OOO99" s="46"/>
      <c r="OOP99" s="46"/>
      <c r="OOQ99" s="46"/>
      <c r="OOR99" s="46"/>
      <c r="OOS99" s="46"/>
      <c r="OOT99" s="46"/>
      <c r="OOU99" s="46"/>
      <c r="OOV99" s="46"/>
      <c r="OOW99" s="46"/>
      <c r="OOX99" s="46"/>
      <c r="OOY99" s="46"/>
      <c r="OOZ99" s="46"/>
      <c r="OPA99" s="46"/>
      <c r="OPB99" s="46"/>
      <c r="OPC99" s="46"/>
      <c r="OPD99" s="46"/>
      <c r="OPE99" s="46"/>
      <c r="OPF99" s="46"/>
      <c r="OPG99" s="46"/>
      <c r="OPH99" s="46"/>
      <c r="OPI99" s="46"/>
      <c r="OPJ99" s="46"/>
      <c r="OPK99" s="46"/>
      <c r="OPL99" s="46"/>
      <c r="OPM99" s="46"/>
      <c r="OPN99" s="46"/>
      <c r="OPO99" s="46"/>
      <c r="OPP99" s="46"/>
      <c r="OPQ99" s="46"/>
      <c r="OPR99" s="46"/>
      <c r="OPS99" s="46"/>
      <c r="OPT99" s="46"/>
      <c r="OPU99" s="46"/>
      <c r="OPV99" s="46"/>
      <c r="OPW99" s="46"/>
      <c r="OPX99" s="46"/>
      <c r="OPY99" s="46"/>
      <c r="OPZ99" s="46"/>
      <c r="OQA99" s="46"/>
      <c r="OQB99" s="46"/>
      <c r="OQC99" s="46"/>
      <c r="OQD99" s="46"/>
      <c r="OQE99" s="46"/>
      <c r="OQF99" s="46"/>
      <c r="OQG99" s="46"/>
      <c r="OQH99" s="46"/>
      <c r="OQI99" s="46"/>
      <c r="OQJ99" s="46"/>
      <c r="OQK99" s="46"/>
      <c r="OQL99" s="46"/>
      <c r="OQM99" s="46"/>
      <c r="OQN99" s="46"/>
      <c r="OQO99" s="46"/>
      <c r="OQP99" s="46"/>
      <c r="OQQ99" s="46"/>
      <c r="OQR99" s="46"/>
      <c r="OQS99" s="46"/>
      <c r="OQT99" s="46"/>
      <c r="OQU99" s="46"/>
      <c r="OQV99" s="46"/>
      <c r="OQW99" s="46"/>
      <c r="OQX99" s="46"/>
      <c r="OQY99" s="46"/>
      <c r="OQZ99" s="46"/>
      <c r="ORA99" s="46"/>
      <c r="ORB99" s="46"/>
      <c r="ORC99" s="46"/>
      <c r="ORD99" s="46"/>
      <c r="ORE99" s="46"/>
      <c r="ORF99" s="46"/>
      <c r="ORG99" s="46"/>
      <c r="ORH99" s="46"/>
      <c r="ORI99" s="46"/>
      <c r="ORJ99" s="46"/>
      <c r="ORK99" s="46"/>
      <c r="ORL99" s="46"/>
      <c r="ORM99" s="46"/>
      <c r="ORN99" s="46"/>
      <c r="ORO99" s="46"/>
      <c r="ORP99" s="46"/>
      <c r="ORQ99" s="46"/>
      <c r="ORR99" s="46"/>
      <c r="ORS99" s="46"/>
      <c r="ORT99" s="46"/>
      <c r="ORU99" s="46"/>
      <c r="ORV99" s="46"/>
      <c r="ORW99" s="46"/>
      <c r="ORX99" s="46"/>
      <c r="ORY99" s="46"/>
      <c r="ORZ99" s="46"/>
      <c r="OSA99" s="46"/>
      <c r="OSB99" s="46"/>
      <c r="OSC99" s="46"/>
      <c r="OSD99" s="46"/>
      <c r="OSE99" s="46"/>
      <c r="OSF99" s="46"/>
      <c r="OSG99" s="46"/>
      <c r="OSH99" s="46"/>
      <c r="OSI99" s="46"/>
      <c r="OSJ99" s="46"/>
      <c r="OSK99" s="46"/>
      <c r="OSL99" s="46"/>
      <c r="OSM99" s="46"/>
      <c r="OSN99" s="46"/>
      <c r="OSO99" s="46"/>
      <c r="OSP99" s="46"/>
      <c r="OSQ99" s="46"/>
      <c r="OSR99" s="46"/>
      <c r="OSS99" s="46"/>
      <c r="OST99" s="46"/>
      <c r="OSU99" s="46"/>
      <c r="OSV99" s="46"/>
      <c r="OSW99" s="46"/>
      <c r="OSX99" s="46"/>
      <c r="OSY99" s="46"/>
      <c r="OSZ99" s="46"/>
      <c r="OTA99" s="46"/>
      <c r="OTB99" s="46"/>
      <c r="OTC99" s="46"/>
      <c r="OTD99" s="46"/>
      <c r="OTE99" s="46"/>
      <c r="OTF99" s="46"/>
      <c r="OTG99" s="46"/>
      <c r="OTH99" s="46"/>
      <c r="OTI99" s="46"/>
      <c r="OTJ99" s="46"/>
      <c r="OTK99" s="46"/>
      <c r="OTL99" s="46"/>
      <c r="OTM99" s="46"/>
      <c r="OTN99" s="46"/>
      <c r="OTO99" s="46"/>
      <c r="OTP99" s="46"/>
      <c r="OTQ99" s="46"/>
      <c r="OTR99" s="46"/>
      <c r="OTS99" s="46"/>
      <c r="OTT99" s="46"/>
      <c r="OTU99" s="46"/>
      <c r="OTV99" s="46"/>
      <c r="OTW99" s="46"/>
      <c r="OTX99" s="46"/>
      <c r="OTY99" s="46"/>
      <c r="OTZ99" s="46"/>
      <c r="OUA99" s="46"/>
      <c r="OUB99" s="46"/>
      <c r="OUC99" s="46"/>
      <c r="OUD99" s="46"/>
      <c r="OUE99" s="46"/>
      <c r="OUF99" s="46"/>
      <c r="OUG99" s="46"/>
      <c r="OUH99" s="46"/>
      <c r="OUI99" s="46"/>
      <c r="OUJ99" s="46"/>
      <c r="OUK99" s="46"/>
      <c r="OUL99" s="46"/>
      <c r="OUM99" s="46"/>
      <c r="OUN99" s="46"/>
      <c r="OUO99" s="46"/>
      <c r="OUP99" s="46"/>
      <c r="OUQ99" s="46"/>
      <c r="OUR99" s="46"/>
      <c r="OUS99" s="46"/>
      <c r="OUT99" s="46"/>
      <c r="OUU99" s="46"/>
      <c r="OUV99" s="46"/>
      <c r="OUW99" s="46"/>
      <c r="OUX99" s="46"/>
      <c r="OUY99" s="46"/>
      <c r="OUZ99" s="46"/>
      <c r="OVA99" s="46"/>
      <c r="OVB99" s="46"/>
      <c r="OVC99" s="46"/>
      <c r="OVD99" s="46"/>
      <c r="OVE99" s="46"/>
      <c r="OVF99" s="46"/>
      <c r="OVG99" s="46"/>
      <c r="OVH99" s="46"/>
      <c r="OVI99" s="46"/>
      <c r="OVJ99" s="46"/>
      <c r="OVK99" s="46"/>
      <c r="OVL99" s="46"/>
      <c r="OVM99" s="46"/>
      <c r="OVN99" s="46"/>
      <c r="OVO99" s="46"/>
      <c r="OVP99" s="46"/>
      <c r="OVQ99" s="46"/>
      <c r="OVR99" s="46"/>
      <c r="OVS99" s="46"/>
      <c r="OVT99" s="46"/>
      <c r="OVU99" s="46"/>
      <c r="OVV99" s="46"/>
      <c r="OVW99" s="46"/>
      <c r="OVX99" s="46"/>
      <c r="OVY99" s="46"/>
      <c r="OVZ99" s="46"/>
      <c r="OWA99" s="46"/>
      <c r="OWB99" s="46"/>
      <c r="OWC99" s="46"/>
      <c r="OWD99" s="46"/>
      <c r="OWE99" s="46"/>
      <c r="OWF99" s="46"/>
      <c r="OWG99" s="46"/>
      <c r="OWH99" s="46"/>
      <c r="OWI99" s="46"/>
      <c r="OWJ99" s="46"/>
      <c r="OWK99" s="46"/>
      <c r="OWL99" s="46"/>
      <c r="OWM99" s="46"/>
      <c r="OWN99" s="46"/>
      <c r="OWO99" s="46"/>
      <c r="OWP99" s="46"/>
      <c r="OWQ99" s="46"/>
      <c r="OWR99" s="46"/>
      <c r="OWS99" s="46"/>
      <c r="OWT99" s="46"/>
      <c r="OWU99" s="46"/>
      <c r="OWV99" s="46"/>
      <c r="OWW99" s="46"/>
      <c r="OWX99" s="46"/>
      <c r="OWY99" s="46"/>
      <c r="OWZ99" s="46"/>
      <c r="OXA99" s="46"/>
      <c r="OXB99" s="46"/>
      <c r="OXC99" s="46"/>
      <c r="OXD99" s="46"/>
      <c r="OXE99" s="46"/>
      <c r="OXF99" s="46"/>
      <c r="OXG99" s="46"/>
      <c r="OXH99" s="46"/>
      <c r="OXI99" s="46"/>
      <c r="OXJ99" s="46"/>
      <c r="OXK99" s="46"/>
      <c r="OXL99" s="46"/>
      <c r="OXM99" s="46"/>
      <c r="OXN99" s="46"/>
      <c r="OXO99" s="46"/>
      <c r="OXP99" s="46"/>
      <c r="OXQ99" s="46"/>
      <c r="OXR99" s="46"/>
      <c r="OXS99" s="46"/>
      <c r="OXT99" s="46"/>
      <c r="OXU99" s="46"/>
      <c r="OXV99" s="46"/>
      <c r="OXW99" s="46"/>
      <c r="OXX99" s="46"/>
      <c r="OXY99" s="46"/>
      <c r="OXZ99" s="46"/>
      <c r="OYA99" s="46"/>
      <c r="OYB99" s="46"/>
      <c r="OYC99" s="46"/>
      <c r="OYD99" s="46"/>
      <c r="OYE99" s="46"/>
      <c r="OYF99" s="46"/>
      <c r="OYG99" s="46"/>
      <c r="OYH99" s="46"/>
      <c r="OYI99" s="46"/>
      <c r="OYJ99" s="46"/>
      <c r="OYK99" s="46"/>
      <c r="OYL99" s="46"/>
      <c r="OYM99" s="46"/>
      <c r="OYN99" s="46"/>
      <c r="OYO99" s="46"/>
      <c r="OYP99" s="46"/>
      <c r="OYQ99" s="46"/>
      <c r="OYR99" s="46"/>
      <c r="OYS99" s="46"/>
      <c r="OYT99" s="46"/>
      <c r="OYU99" s="46"/>
      <c r="OYV99" s="46"/>
      <c r="OYW99" s="46"/>
      <c r="OYX99" s="46"/>
      <c r="OYY99" s="46"/>
      <c r="OYZ99" s="46"/>
      <c r="OZA99" s="46"/>
      <c r="OZB99" s="46"/>
      <c r="OZC99" s="46"/>
      <c r="OZD99" s="46"/>
      <c r="OZE99" s="46"/>
      <c r="OZF99" s="46"/>
      <c r="OZG99" s="46"/>
      <c r="OZH99" s="46"/>
      <c r="OZI99" s="46"/>
      <c r="OZJ99" s="46"/>
      <c r="OZK99" s="46"/>
      <c r="OZL99" s="46"/>
      <c r="OZM99" s="46"/>
      <c r="OZN99" s="46"/>
      <c r="OZO99" s="46"/>
      <c r="OZP99" s="46"/>
      <c r="OZQ99" s="46"/>
      <c r="OZR99" s="46"/>
      <c r="OZS99" s="46"/>
      <c r="OZT99" s="46"/>
      <c r="OZU99" s="46"/>
      <c r="OZV99" s="46"/>
      <c r="OZW99" s="46"/>
      <c r="OZX99" s="46"/>
      <c r="OZY99" s="46"/>
      <c r="OZZ99" s="46"/>
      <c r="PAA99" s="46"/>
      <c r="PAB99" s="46"/>
      <c r="PAC99" s="46"/>
      <c r="PAD99" s="46"/>
      <c r="PAE99" s="46"/>
      <c r="PAF99" s="46"/>
      <c r="PAG99" s="46"/>
      <c r="PAH99" s="46"/>
      <c r="PAI99" s="46"/>
      <c r="PAJ99" s="46"/>
      <c r="PAK99" s="46"/>
      <c r="PAL99" s="46"/>
      <c r="PAM99" s="46"/>
      <c r="PAN99" s="46"/>
      <c r="PAO99" s="46"/>
      <c r="PAP99" s="46"/>
      <c r="PAQ99" s="46"/>
      <c r="PAR99" s="46"/>
      <c r="PAS99" s="46"/>
      <c r="PAT99" s="46"/>
      <c r="PAU99" s="46"/>
      <c r="PAV99" s="46"/>
      <c r="PAW99" s="46"/>
      <c r="PAX99" s="46"/>
      <c r="PAY99" s="46"/>
      <c r="PAZ99" s="46"/>
      <c r="PBA99" s="46"/>
      <c r="PBB99" s="46"/>
      <c r="PBC99" s="46"/>
      <c r="PBD99" s="46"/>
      <c r="PBE99" s="46"/>
      <c r="PBF99" s="46"/>
      <c r="PBG99" s="46"/>
      <c r="PBH99" s="46"/>
      <c r="PBI99" s="46"/>
      <c r="PBJ99" s="46"/>
      <c r="PBK99" s="46"/>
      <c r="PBL99" s="46"/>
      <c r="PBM99" s="46"/>
      <c r="PBN99" s="46"/>
      <c r="PBO99" s="46"/>
      <c r="PBP99" s="46"/>
      <c r="PBQ99" s="46"/>
      <c r="PBR99" s="46"/>
      <c r="PBS99" s="46"/>
      <c r="PBT99" s="46"/>
      <c r="PBU99" s="46"/>
      <c r="PBV99" s="46"/>
      <c r="PBW99" s="46"/>
      <c r="PBX99" s="46"/>
      <c r="PBY99" s="46"/>
      <c r="PBZ99" s="46"/>
      <c r="PCA99" s="46"/>
      <c r="PCB99" s="46"/>
      <c r="PCC99" s="46"/>
      <c r="PCD99" s="46"/>
      <c r="PCE99" s="46"/>
      <c r="PCF99" s="46"/>
      <c r="PCG99" s="46"/>
      <c r="PCH99" s="46"/>
      <c r="PCI99" s="46"/>
      <c r="PCJ99" s="46"/>
      <c r="PCK99" s="46"/>
      <c r="PCL99" s="46"/>
      <c r="PCM99" s="46"/>
      <c r="PCN99" s="46"/>
      <c r="PCO99" s="46"/>
      <c r="PCP99" s="46"/>
      <c r="PCQ99" s="46"/>
      <c r="PCR99" s="46"/>
      <c r="PCS99" s="46"/>
      <c r="PCT99" s="46"/>
      <c r="PCU99" s="46"/>
      <c r="PCV99" s="46"/>
      <c r="PCW99" s="46"/>
      <c r="PCX99" s="46"/>
      <c r="PCY99" s="46"/>
      <c r="PCZ99" s="46"/>
      <c r="PDA99" s="46"/>
      <c r="PDB99" s="46"/>
      <c r="PDC99" s="46"/>
      <c r="PDD99" s="46"/>
      <c r="PDE99" s="46"/>
      <c r="PDF99" s="46"/>
      <c r="PDG99" s="46"/>
      <c r="PDH99" s="46"/>
      <c r="PDI99" s="46"/>
      <c r="PDJ99" s="46"/>
      <c r="PDK99" s="46"/>
      <c r="PDL99" s="46"/>
      <c r="PDM99" s="46"/>
      <c r="PDN99" s="46"/>
      <c r="PDO99" s="46"/>
      <c r="PDP99" s="46"/>
      <c r="PDQ99" s="46"/>
      <c r="PDR99" s="46"/>
      <c r="PDS99" s="46"/>
      <c r="PDT99" s="46"/>
      <c r="PDU99" s="46"/>
      <c r="PDV99" s="46"/>
      <c r="PDW99" s="46"/>
      <c r="PDX99" s="46"/>
      <c r="PDY99" s="46"/>
      <c r="PDZ99" s="46"/>
      <c r="PEA99" s="46"/>
      <c r="PEB99" s="46"/>
      <c r="PEC99" s="46"/>
      <c r="PED99" s="46"/>
      <c r="PEE99" s="46"/>
      <c r="PEF99" s="46"/>
      <c r="PEG99" s="46"/>
      <c r="PEH99" s="46"/>
      <c r="PEI99" s="46"/>
      <c r="PEJ99" s="46"/>
      <c r="PEK99" s="46"/>
      <c r="PEL99" s="46"/>
      <c r="PEM99" s="46"/>
      <c r="PEN99" s="46"/>
      <c r="PEO99" s="46"/>
      <c r="PEP99" s="46"/>
      <c r="PEQ99" s="46"/>
      <c r="PER99" s="46"/>
      <c r="PES99" s="46"/>
      <c r="PET99" s="46"/>
      <c r="PEU99" s="46"/>
      <c r="PEV99" s="46"/>
      <c r="PEW99" s="46"/>
      <c r="PEX99" s="46"/>
      <c r="PEY99" s="46"/>
      <c r="PEZ99" s="46"/>
      <c r="PFA99" s="46"/>
      <c r="PFB99" s="46"/>
      <c r="PFC99" s="46"/>
      <c r="PFD99" s="46"/>
      <c r="PFE99" s="46"/>
      <c r="PFF99" s="46"/>
      <c r="PFG99" s="46"/>
      <c r="PFH99" s="46"/>
      <c r="PFI99" s="46"/>
      <c r="PFJ99" s="46"/>
      <c r="PFK99" s="46"/>
      <c r="PFL99" s="46"/>
      <c r="PFM99" s="46"/>
      <c r="PFN99" s="46"/>
      <c r="PFO99" s="46"/>
      <c r="PFP99" s="46"/>
      <c r="PFQ99" s="46"/>
      <c r="PFR99" s="46"/>
      <c r="PFS99" s="46"/>
      <c r="PFT99" s="46"/>
      <c r="PFU99" s="46"/>
      <c r="PFV99" s="46"/>
      <c r="PFW99" s="46"/>
      <c r="PFX99" s="46"/>
      <c r="PFY99" s="46"/>
      <c r="PFZ99" s="46"/>
      <c r="PGA99" s="46"/>
      <c r="PGB99" s="46"/>
      <c r="PGC99" s="46"/>
      <c r="PGD99" s="46"/>
      <c r="PGE99" s="46"/>
      <c r="PGF99" s="46"/>
      <c r="PGG99" s="46"/>
      <c r="PGH99" s="46"/>
      <c r="PGI99" s="46"/>
      <c r="PGJ99" s="46"/>
      <c r="PGK99" s="46"/>
      <c r="PGL99" s="46"/>
      <c r="PGM99" s="46"/>
      <c r="PGN99" s="46"/>
      <c r="PGO99" s="46"/>
      <c r="PGP99" s="46"/>
      <c r="PGQ99" s="46"/>
      <c r="PGR99" s="46"/>
      <c r="PGS99" s="46"/>
      <c r="PGT99" s="46"/>
      <c r="PGU99" s="46"/>
      <c r="PGV99" s="46"/>
      <c r="PGW99" s="46"/>
      <c r="PGX99" s="46"/>
      <c r="PGY99" s="46"/>
      <c r="PGZ99" s="46"/>
      <c r="PHA99" s="46"/>
      <c r="PHB99" s="46"/>
      <c r="PHC99" s="46"/>
      <c r="PHD99" s="46"/>
      <c r="PHE99" s="46"/>
      <c r="PHF99" s="46"/>
      <c r="PHG99" s="46"/>
      <c r="PHH99" s="46"/>
      <c r="PHI99" s="46"/>
      <c r="PHJ99" s="46"/>
      <c r="PHK99" s="46"/>
      <c r="PHL99" s="46"/>
      <c r="PHM99" s="46"/>
      <c r="PHN99" s="46"/>
      <c r="PHO99" s="46"/>
      <c r="PHP99" s="46"/>
      <c r="PHQ99" s="46"/>
      <c r="PHR99" s="46"/>
      <c r="PHS99" s="46"/>
      <c r="PHT99" s="46"/>
      <c r="PHU99" s="46"/>
      <c r="PHV99" s="46"/>
      <c r="PHW99" s="46"/>
      <c r="PHX99" s="46"/>
      <c r="PHY99" s="46"/>
      <c r="PHZ99" s="46"/>
      <c r="PIA99" s="46"/>
      <c r="PIB99" s="46"/>
      <c r="PIC99" s="46"/>
      <c r="PID99" s="46"/>
      <c r="PIE99" s="46"/>
      <c r="PIF99" s="46"/>
      <c r="PIG99" s="46"/>
      <c r="PIH99" s="46"/>
      <c r="PII99" s="46"/>
      <c r="PIJ99" s="46"/>
      <c r="PIK99" s="46"/>
      <c r="PIL99" s="46"/>
      <c r="PIM99" s="46"/>
      <c r="PIN99" s="46"/>
      <c r="PIO99" s="46"/>
      <c r="PIP99" s="46"/>
      <c r="PIQ99" s="46"/>
      <c r="PIR99" s="46"/>
      <c r="PIS99" s="46"/>
      <c r="PIT99" s="46"/>
      <c r="PIU99" s="46"/>
      <c r="PIV99" s="46"/>
      <c r="PIW99" s="46"/>
      <c r="PIX99" s="46"/>
      <c r="PIY99" s="46"/>
      <c r="PIZ99" s="46"/>
      <c r="PJA99" s="46"/>
      <c r="PJB99" s="46"/>
      <c r="PJC99" s="46"/>
      <c r="PJD99" s="46"/>
      <c r="PJE99" s="46"/>
      <c r="PJF99" s="46"/>
      <c r="PJG99" s="46"/>
      <c r="PJH99" s="46"/>
      <c r="PJI99" s="46"/>
      <c r="PJJ99" s="46"/>
      <c r="PJK99" s="46"/>
      <c r="PJL99" s="46"/>
      <c r="PJM99" s="46"/>
      <c r="PJN99" s="46"/>
      <c r="PJO99" s="46"/>
      <c r="PJP99" s="46"/>
      <c r="PJQ99" s="46"/>
      <c r="PJR99" s="46"/>
      <c r="PJS99" s="46"/>
      <c r="PJT99" s="46"/>
      <c r="PJU99" s="46"/>
      <c r="PJV99" s="46"/>
      <c r="PJW99" s="46"/>
      <c r="PJX99" s="46"/>
      <c r="PJY99" s="46"/>
      <c r="PJZ99" s="46"/>
      <c r="PKA99" s="46"/>
      <c r="PKB99" s="46"/>
      <c r="PKC99" s="46"/>
      <c r="PKD99" s="46"/>
      <c r="PKE99" s="46"/>
      <c r="PKF99" s="46"/>
      <c r="PKG99" s="46"/>
      <c r="PKH99" s="46"/>
      <c r="PKI99" s="46"/>
      <c r="PKJ99" s="46"/>
      <c r="PKK99" s="46"/>
      <c r="PKL99" s="46"/>
      <c r="PKM99" s="46"/>
      <c r="PKN99" s="46"/>
      <c r="PKO99" s="46"/>
      <c r="PKP99" s="46"/>
      <c r="PKQ99" s="46"/>
      <c r="PKR99" s="46"/>
      <c r="PKS99" s="46"/>
      <c r="PKT99" s="46"/>
      <c r="PKU99" s="46"/>
      <c r="PKV99" s="46"/>
      <c r="PKW99" s="46"/>
      <c r="PKX99" s="46"/>
      <c r="PKY99" s="46"/>
      <c r="PKZ99" s="46"/>
      <c r="PLA99" s="46"/>
      <c r="PLB99" s="46"/>
      <c r="PLC99" s="46"/>
      <c r="PLD99" s="46"/>
      <c r="PLE99" s="46"/>
      <c r="PLF99" s="46"/>
      <c r="PLG99" s="46"/>
      <c r="PLH99" s="46"/>
      <c r="PLI99" s="46"/>
      <c r="PLJ99" s="46"/>
      <c r="PLK99" s="46"/>
      <c r="PLL99" s="46"/>
      <c r="PLM99" s="46"/>
      <c r="PLN99" s="46"/>
      <c r="PLO99" s="46"/>
      <c r="PLP99" s="46"/>
      <c r="PLQ99" s="46"/>
      <c r="PLR99" s="46"/>
      <c r="PLS99" s="46"/>
      <c r="PLT99" s="46"/>
      <c r="PLU99" s="46"/>
      <c r="PLV99" s="46"/>
      <c r="PLW99" s="46"/>
      <c r="PLX99" s="46"/>
      <c r="PLY99" s="46"/>
      <c r="PLZ99" s="46"/>
      <c r="PMA99" s="46"/>
      <c r="PMB99" s="46"/>
      <c r="PMC99" s="46"/>
      <c r="PMD99" s="46"/>
      <c r="PME99" s="46"/>
      <c r="PMF99" s="46"/>
      <c r="PMG99" s="46"/>
      <c r="PMH99" s="46"/>
      <c r="PMI99" s="46"/>
      <c r="PMJ99" s="46"/>
      <c r="PMK99" s="46"/>
      <c r="PML99" s="46"/>
      <c r="PMM99" s="46"/>
      <c r="PMN99" s="46"/>
      <c r="PMO99" s="46"/>
      <c r="PMP99" s="46"/>
      <c r="PMQ99" s="46"/>
      <c r="PMR99" s="46"/>
      <c r="PMS99" s="46"/>
      <c r="PMT99" s="46"/>
      <c r="PMU99" s="46"/>
      <c r="PMV99" s="46"/>
      <c r="PMW99" s="46"/>
      <c r="PMX99" s="46"/>
      <c r="PMY99" s="46"/>
      <c r="PMZ99" s="46"/>
      <c r="PNA99" s="46"/>
      <c r="PNB99" s="46"/>
      <c r="PNC99" s="46"/>
      <c r="PND99" s="46"/>
      <c r="PNE99" s="46"/>
      <c r="PNF99" s="46"/>
      <c r="PNG99" s="46"/>
      <c r="PNH99" s="46"/>
      <c r="PNI99" s="46"/>
      <c r="PNJ99" s="46"/>
      <c r="PNK99" s="46"/>
      <c r="PNL99" s="46"/>
      <c r="PNM99" s="46"/>
      <c r="PNN99" s="46"/>
      <c r="PNO99" s="46"/>
      <c r="PNP99" s="46"/>
      <c r="PNQ99" s="46"/>
      <c r="PNR99" s="46"/>
      <c r="PNS99" s="46"/>
      <c r="PNT99" s="46"/>
      <c r="PNU99" s="46"/>
      <c r="PNV99" s="46"/>
      <c r="PNW99" s="46"/>
      <c r="PNX99" s="46"/>
      <c r="PNY99" s="46"/>
      <c r="PNZ99" s="46"/>
      <c r="POA99" s="46"/>
      <c r="POB99" s="46"/>
      <c r="POC99" s="46"/>
      <c r="POD99" s="46"/>
      <c r="POE99" s="46"/>
      <c r="POF99" s="46"/>
      <c r="POG99" s="46"/>
      <c r="POH99" s="46"/>
      <c r="POI99" s="46"/>
      <c r="POJ99" s="46"/>
      <c r="POK99" s="46"/>
      <c r="POL99" s="46"/>
      <c r="POM99" s="46"/>
      <c r="PON99" s="46"/>
      <c r="POO99" s="46"/>
      <c r="POP99" s="46"/>
      <c r="POQ99" s="46"/>
      <c r="POR99" s="46"/>
      <c r="POS99" s="46"/>
      <c r="POT99" s="46"/>
      <c r="POU99" s="46"/>
      <c r="POV99" s="46"/>
      <c r="POW99" s="46"/>
      <c r="POX99" s="46"/>
      <c r="POY99" s="46"/>
      <c r="POZ99" s="46"/>
      <c r="PPA99" s="46"/>
      <c r="PPB99" s="46"/>
      <c r="PPC99" s="46"/>
      <c r="PPD99" s="46"/>
      <c r="PPE99" s="46"/>
      <c r="PPF99" s="46"/>
      <c r="PPG99" s="46"/>
      <c r="PPH99" s="46"/>
      <c r="PPI99" s="46"/>
      <c r="PPJ99" s="46"/>
      <c r="PPK99" s="46"/>
      <c r="PPL99" s="46"/>
      <c r="PPM99" s="46"/>
      <c r="PPN99" s="46"/>
      <c r="PPO99" s="46"/>
      <c r="PPP99" s="46"/>
      <c r="PPQ99" s="46"/>
      <c r="PPR99" s="46"/>
      <c r="PPS99" s="46"/>
      <c r="PPT99" s="46"/>
      <c r="PPU99" s="46"/>
      <c r="PPV99" s="46"/>
      <c r="PPW99" s="46"/>
      <c r="PPX99" s="46"/>
      <c r="PPY99" s="46"/>
      <c r="PPZ99" s="46"/>
      <c r="PQA99" s="46"/>
      <c r="PQB99" s="46"/>
      <c r="PQC99" s="46"/>
      <c r="PQD99" s="46"/>
      <c r="PQE99" s="46"/>
      <c r="PQF99" s="46"/>
      <c r="PQG99" s="46"/>
      <c r="PQH99" s="46"/>
      <c r="PQI99" s="46"/>
      <c r="PQJ99" s="46"/>
      <c r="PQK99" s="46"/>
      <c r="PQL99" s="46"/>
      <c r="PQM99" s="46"/>
      <c r="PQN99" s="46"/>
      <c r="PQO99" s="46"/>
      <c r="PQP99" s="46"/>
      <c r="PQQ99" s="46"/>
      <c r="PQR99" s="46"/>
      <c r="PQS99" s="46"/>
      <c r="PQT99" s="46"/>
      <c r="PQU99" s="46"/>
      <c r="PQV99" s="46"/>
      <c r="PQW99" s="46"/>
      <c r="PQX99" s="46"/>
      <c r="PQY99" s="46"/>
      <c r="PQZ99" s="46"/>
      <c r="PRA99" s="46"/>
      <c r="PRB99" s="46"/>
      <c r="PRC99" s="46"/>
      <c r="PRD99" s="46"/>
      <c r="PRE99" s="46"/>
      <c r="PRF99" s="46"/>
      <c r="PRG99" s="46"/>
      <c r="PRH99" s="46"/>
      <c r="PRI99" s="46"/>
      <c r="PRJ99" s="46"/>
      <c r="PRK99" s="46"/>
      <c r="PRL99" s="46"/>
      <c r="PRM99" s="46"/>
      <c r="PRN99" s="46"/>
      <c r="PRO99" s="46"/>
      <c r="PRP99" s="46"/>
      <c r="PRQ99" s="46"/>
      <c r="PRR99" s="46"/>
      <c r="PRS99" s="46"/>
      <c r="PRT99" s="46"/>
      <c r="PRU99" s="46"/>
      <c r="PRV99" s="46"/>
      <c r="PRW99" s="46"/>
      <c r="PRX99" s="46"/>
      <c r="PRY99" s="46"/>
      <c r="PRZ99" s="46"/>
      <c r="PSA99" s="46"/>
      <c r="PSB99" s="46"/>
      <c r="PSC99" s="46"/>
      <c r="PSD99" s="46"/>
      <c r="PSE99" s="46"/>
      <c r="PSF99" s="46"/>
      <c r="PSG99" s="46"/>
      <c r="PSH99" s="46"/>
      <c r="PSI99" s="46"/>
      <c r="PSJ99" s="46"/>
      <c r="PSK99" s="46"/>
      <c r="PSL99" s="46"/>
      <c r="PSM99" s="46"/>
      <c r="PSN99" s="46"/>
      <c r="PSO99" s="46"/>
      <c r="PSP99" s="46"/>
      <c r="PSQ99" s="46"/>
      <c r="PSR99" s="46"/>
      <c r="PSS99" s="46"/>
      <c r="PST99" s="46"/>
      <c r="PSU99" s="46"/>
      <c r="PSV99" s="46"/>
      <c r="PSW99" s="46"/>
      <c r="PSX99" s="46"/>
      <c r="PSY99" s="46"/>
      <c r="PSZ99" s="46"/>
      <c r="PTA99" s="46"/>
      <c r="PTB99" s="46"/>
      <c r="PTC99" s="46"/>
      <c r="PTD99" s="46"/>
      <c r="PTE99" s="46"/>
      <c r="PTF99" s="46"/>
      <c r="PTG99" s="46"/>
      <c r="PTH99" s="46"/>
      <c r="PTI99" s="46"/>
      <c r="PTJ99" s="46"/>
      <c r="PTK99" s="46"/>
      <c r="PTL99" s="46"/>
      <c r="PTM99" s="46"/>
      <c r="PTN99" s="46"/>
      <c r="PTO99" s="46"/>
      <c r="PTP99" s="46"/>
      <c r="PTQ99" s="46"/>
      <c r="PTR99" s="46"/>
      <c r="PTS99" s="46"/>
      <c r="PTT99" s="46"/>
      <c r="PTU99" s="46"/>
      <c r="PTV99" s="46"/>
      <c r="PTW99" s="46"/>
      <c r="PTX99" s="46"/>
      <c r="PTY99" s="46"/>
      <c r="PTZ99" s="46"/>
      <c r="PUA99" s="46"/>
      <c r="PUB99" s="46"/>
      <c r="PUC99" s="46"/>
      <c r="PUD99" s="46"/>
      <c r="PUE99" s="46"/>
      <c r="PUF99" s="46"/>
      <c r="PUG99" s="46"/>
      <c r="PUH99" s="46"/>
      <c r="PUI99" s="46"/>
      <c r="PUJ99" s="46"/>
      <c r="PUK99" s="46"/>
      <c r="PUL99" s="46"/>
      <c r="PUM99" s="46"/>
      <c r="PUN99" s="46"/>
      <c r="PUO99" s="46"/>
      <c r="PUP99" s="46"/>
      <c r="PUQ99" s="46"/>
      <c r="PUR99" s="46"/>
      <c r="PUS99" s="46"/>
      <c r="PUT99" s="46"/>
      <c r="PUU99" s="46"/>
      <c r="PUV99" s="46"/>
      <c r="PUW99" s="46"/>
      <c r="PUX99" s="46"/>
      <c r="PUY99" s="46"/>
      <c r="PUZ99" s="46"/>
      <c r="PVA99" s="46"/>
      <c r="PVB99" s="46"/>
      <c r="PVC99" s="46"/>
      <c r="PVD99" s="46"/>
      <c r="PVE99" s="46"/>
      <c r="PVF99" s="46"/>
      <c r="PVG99" s="46"/>
      <c r="PVH99" s="46"/>
      <c r="PVI99" s="46"/>
      <c r="PVJ99" s="46"/>
      <c r="PVK99" s="46"/>
      <c r="PVL99" s="46"/>
      <c r="PVM99" s="46"/>
      <c r="PVN99" s="46"/>
      <c r="PVO99" s="46"/>
      <c r="PVP99" s="46"/>
      <c r="PVQ99" s="46"/>
      <c r="PVR99" s="46"/>
      <c r="PVS99" s="46"/>
      <c r="PVT99" s="46"/>
      <c r="PVU99" s="46"/>
      <c r="PVV99" s="46"/>
      <c r="PVW99" s="46"/>
      <c r="PVX99" s="46"/>
      <c r="PVY99" s="46"/>
      <c r="PVZ99" s="46"/>
      <c r="PWA99" s="46"/>
      <c r="PWB99" s="46"/>
      <c r="PWC99" s="46"/>
      <c r="PWD99" s="46"/>
      <c r="PWE99" s="46"/>
      <c r="PWF99" s="46"/>
      <c r="PWG99" s="46"/>
      <c r="PWH99" s="46"/>
      <c r="PWI99" s="46"/>
      <c r="PWJ99" s="46"/>
      <c r="PWK99" s="46"/>
      <c r="PWL99" s="46"/>
      <c r="PWM99" s="46"/>
      <c r="PWN99" s="46"/>
      <c r="PWO99" s="46"/>
      <c r="PWP99" s="46"/>
      <c r="PWQ99" s="46"/>
      <c r="PWR99" s="46"/>
      <c r="PWS99" s="46"/>
      <c r="PWT99" s="46"/>
      <c r="PWU99" s="46"/>
      <c r="PWV99" s="46"/>
      <c r="PWW99" s="46"/>
      <c r="PWX99" s="46"/>
      <c r="PWY99" s="46"/>
      <c r="PWZ99" s="46"/>
      <c r="PXA99" s="46"/>
      <c r="PXB99" s="46"/>
      <c r="PXC99" s="46"/>
      <c r="PXD99" s="46"/>
      <c r="PXE99" s="46"/>
      <c r="PXF99" s="46"/>
      <c r="PXG99" s="46"/>
      <c r="PXH99" s="46"/>
      <c r="PXI99" s="46"/>
      <c r="PXJ99" s="46"/>
      <c r="PXK99" s="46"/>
      <c r="PXL99" s="46"/>
      <c r="PXM99" s="46"/>
      <c r="PXN99" s="46"/>
      <c r="PXO99" s="46"/>
      <c r="PXP99" s="46"/>
      <c r="PXQ99" s="46"/>
      <c r="PXR99" s="46"/>
      <c r="PXS99" s="46"/>
      <c r="PXT99" s="46"/>
      <c r="PXU99" s="46"/>
      <c r="PXV99" s="46"/>
      <c r="PXW99" s="46"/>
      <c r="PXX99" s="46"/>
      <c r="PXY99" s="46"/>
      <c r="PXZ99" s="46"/>
      <c r="PYA99" s="46"/>
      <c r="PYB99" s="46"/>
      <c r="PYC99" s="46"/>
      <c r="PYD99" s="46"/>
      <c r="PYE99" s="46"/>
      <c r="PYF99" s="46"/>
      <c r="PYG99" s="46"/>
      <c r="PYH99" s="46"/>
      <c r="PYI99" s="46"/>
      <c r="PYJ99" s="46"/>
      <c r="PYK99" s="46"/>
      <c r="PYL99" s="46"/>
      <c r="PYM99" s="46"/>
      <c r="PYN99" s="46"/>
      <c r="PYO99" s="46"/>
      <c r="PYP99" s="46"/>
      <c r="PYQ99" s="46"/>
      <c r="PYR99" s="46"/>
      <c r="PYS99" s="46"/>
      <c r="PYT99" s="46"/>
      <c r="PYU99" s="46"/>
      <c r="PYV99" s="46"/>
      <c r="PYW99" s="46"/>
      <c r="PYX99" s="46"/>
      <c r="PYY99" s="46"/>
      <c r="PYZ99" s="46"/>
      <c r="PZA99" s="46"/>
      <c r="PZB99" s="46"/>
      <c r="PZC99" s="46"/>
      <c r="PZD99" s="46"/>
      <c r="PZE99" s="46"/>
      <c r="PZF99" s="46"/>
      <c r="PZG99" s="46"/>
      <c r="PZH99" s="46"/>
      <c r="PZI99" s="46"/>
      <c r="PZJ99" s="46"/>
      <c r="PZK99" s="46"/>
      <c r="PZL99" s="46"/>
      <c r="PZM99" s="46"/>
      <c r="PZN99" s="46"/>
      <c r="PZO99" s="46"/>
      <c r="PZP99" s="46"/>
      <c r="PZQ99" s="46"/>
      <c r="PZR99" s="46"/>
      <c r="PZS99" s="46"/>
      <c r="PZT99" s="46"/>
      <c r="PZU99" s="46"/>
      <c r="PZV99" s="46"/>
      <c r="PZW99" s="46"/>
      <c r="PZX99" s="46"/>
      <c r="PZY99" s="46"/>
      <c r="PZZ99" s="46"/>
      <c r="QAA99" s="46"/>
      <c r="QAB99" s="46"/>
      <c r="QAC99" s="46"/>
      <c r="QAD99" s="46"/>
      <c r="QAE99" s="46"/>
      <c r="QAF99" s="46"/>
      <c r="QAG99" s="46"/>
      <c r="QAH99" s="46"/>
      <c r="QAI99" s="46"/>
      <c r="QAJ99" s="46"/>
      <c r="QAK99" s="46"/>
      <c r="QAL99" s="46"/>
      <c r="QAM99" s="46"/>
      <c r="QAN99" s="46"/>
      <c r="QAO99" s="46"/>
      <c r="QAP99" s="46"/>
      <c r="QAQ99" s="46"/>
      <c r="QAR99" s="46"/>
      <c r="QAS99" s="46"/>
      <c r="QAT99" s="46"/>
      <c r="QAU99" s="46"/>
      <c r="QAV99" s="46"/>
      <c r="QAW99" s="46"/>
      <c r="QAX99" s="46"/>
      <c r="QAY99" s="46"/>
      <c r="QAZ99" s="46"/>
      <c r="QBA99" s="46"/>
      <c r="QBB99" s="46"/>
      <c r="QBC99" s="46"/>
      <c r="QBD99" s="46"/>
      <c r="QBE99" s="46"/>
      <c r="QBF99" s="46"/>
      <c r="QBG99" s="46"/>
      <c r="QBH99" s="46"/>
      <c r="QBI99" s="46"/>
      <c r="QBJ99" s="46"/>
      <c r="QBK99" s="46"/>
      <c r="QBL99" s="46"/>
      <c r="QBM99" s="46"/>
      <c r="QBN99" s="46"/>
      <c r="QBO99" s="46"/>
      <c r="QBP99" s="46"/>
      <c r="QBQ99" s="46"/>
      <c r="QBR99" s="46"/>
      <c r="QBS99" s="46"/>
      <c r="QBT99" s="46"/>
      <c r="QBU99" s="46"/>
      <c r="QBV99" s="46"/>
      <c r="QBW99" s="46"/>
      <c r="QBX99" s="46"/>
      <c r="QBY99" s="46"/>
      <c r="QBZ99" s="46"/>
      <c r="QCA99" s="46"/>
      <c r="QCB99" s="46"/>
      <c r="QCC99" s="46"/>
      <c r="QCD99" s="46"/>
      <c r="QCE99" s="46"/>
      <c r="QCF99" s="46"/>
      <c r="QCG99" s="46"/>
      <c r="QCH99" s="46"/>
      <c r="QCI99" s="46"/>
      <c r="QCJ99" s="46"/>
      <c r="QCK99" s="46"/>
      <c r="QCL99" s="46"/>
      <c r="QCM99" s="46"/>
      <c r="QCN99" s="46"/>
      <c r="QCO99" s="46"/>
      <c r="QCP99" s="46"/>
      <c r="QCQ99" s="46"/>
      <c r="QCR99" s="46"/>
      <c r="QCS99" s="46"/>
      <c r="QCT99" s="46"/>
      <c r="QCU99" s="46"/>
      <c r="QCV99" s="46"/>
      <c r="QCW99" s="46"/>
      <c r="QCX99" s="46"/>
      <c r="QCY99" s="46"/>
      <c r="QCZ99" s="46"/>
      <c r="QDA99" s="46"/>
      <c r="QDB99" s="46"/>
      <c r="QDC99" s="46"/>
      <c r="QDD99" s="46"/>
      <c r="QDE99" s="46"/>
      <c r="QDF99" s="46"/>
      <c r="QDG99" s="46"/>
      <c r="QDH99" s="46"/>
      <c r="QDI99" s="46"/>
      <c r="QDJ99" s="46"/>
      <c r="QDK99" s="46"/>
      <c r="QDL99" s="46"/>
      <c r="QDM99" s="46"/>
      <c r="QDN99" s="46"/>
      <c r="QDO99" s="46"/>
      <c r="QDP99" s="46"/>
      <c r="QDQ99" s="46"/>
      <c r="QDR99" s="46"/>
      <c r="QDS99" s="46"/>
      <c r="QDT99" s="46"/>
      <c r="QDU99" s="46"/>
      <c r="QDV99" s="46"/>
      <c r="QDW99" s="46"/>
      <c r="QDX99" s="46"/>
      <c r="QDY99" s="46"/>
      <c r="QDZ99" s="46"/>
      <c r="QEA99" s="46"/>
      <c r="QEB99" s="46"/>
      <c r="QEC99" s="46"/>
      <c r="QED99" s="46"/>
      <c r="QEE99" s="46"/>
      <c r="QEF99" s="46"/>
      <c r="QEG99" s="46"/>
      <c r="QEH99" s="46"/>
      <c r="QEI99" s="46"/>
      <c r="QEJ99" s="46"/>
      <c r="QEK99" s="46"/>
      <c r="QEL99" s="46"/>
      <c r="QEM99" s="46"/>
      <c r="QEN99" s="46"/>
      <c r="QEO99" s="46"/>
      <c r="QEP99" s="46"/>
      <c r="QEQ99" s="46"/>
      <c r="QER99" s="46"/>
      <c r="QES99" s="46"/>
      <c r="QET99" s="46"/>
      <c r="QEU99" s="46"/>
      <c r="QEV99" s="46"/>
      <c r="QEW99" s="46"/>
      <c r="QEX99" s="46"/>
      <c r="QEY99" s="46"/>
      <c r="QEZ99" s="46"/>
      <c r="QFA99" s="46"/>
      <c r="QFB99" s="46"/>
      <c r="QFC99" s="46"/>
      <c r="QFD99" s="46"/>
      <c r="QFE99" s="46"/>
      <c r="QFF99" s="46"/>
      <c r="QFG99" s="46"/>
      <c r="QFH99" s="46"/>
      <c r="QFI99" s="46"/>
      <c r="QFJ99" s="46"/>
      <c r="QFK99" s="46"/>
      <c r="QFL99" s="46"/>
      <c r="QFM99" s="46"/>
      <c r="QFN99" s="46"/>
      <c r="QFO99" s="46"/>
      <c r="QFP99" s="46"/>
      <c r="QFQ99" s="46"/>
      <c r="QFR99" s="46"/>
      <c r="QFS99" s="46"/>
      <c r="QFT99" s="46"/>
      <c r="QFU99" s="46"/>
      <c r="QFV99" s="46"/>
      <c r="QFW99" s="46"/>
      <c r="QFX99" s="46"/>
      <c r="QFY99" s="46"/>
      <c r="QFZ99" s="46"/>
      <c r="QGA99" s="46"/>
      <c r="QGB99" s="46"/>
      <c r="QGC99" s="46"/>
      <c r="QGD99" s="46"/>
      <c r="QGE99" s="46"/>
      <c r="QGF99" s="46"/>
      <c r="QGG99" s="46"/>
      <c r="QGH99" s="46"/>
      <c r="QGI99" s="46"/>
      <c r="QGJ99" s="46"/>
      <c r="QGK99" s="46"/>
      <c r="QGL99" s="46"/>
      <c r="QGM99" s="46"/>
      <c r="QGN99" s="46"/>
      <c r="QGO99" s="46"/>
      <c r="QGP99" s="46"/>
      <c r="QGQ99" s="46"/>
      <c r="QGR99" s="46"/>
      <c r="QGS99" s="46"/>
      <c r="QGT99" s="46"/>
      <c r="QGU99" s="46"/>
      <c r="QGV99" s="46"/>
      <c r="QGW99" s="46"/>
      <c r="QGX99" s="46"/>
      <c r="QGY99" s="46"/>
      <c r="QGZ99" s="46"/>
      <c r="QHA99" s="46"/>
      <c r="QHB99" s="46"/>
      <c r="QHC99" s="46"/>
      <c r="QHD99" s="46"/>
      <c r="QHE99" s="46"/>
      <c r="QHF99" s="46"/>
      <c r="QHG99" s="46"/>
      <c r="QHH99" s="46"/>
      <c r="QHI99" s="46"/>
      <c r="QHJ99" s="46"/>
      <c r="QHK99" s="46"/>
      <c r="QHL99" s="46"/>
      <c r="QHM99" s="46"/>
      <c r="QHN99" s="46"/>
      <c r="QHO99" s="46"/>
      <c r="QHP99" s="46"/>
      <c r="QHQ99" s="46"/>
      <c r="QHR99" s="46"/>
      <c r="QHS99" s="46"/>
      <c r="QHT99" s="46"/>
      <c r="QHU99" s="46"/>
      <c r="QHV99" s="46"/>
      <c r="QHW99" s="46"/>
      <c r="QHX99" s="46"/>
      <c r="QHY99" s="46"/>
      <c r="QHZ99" s="46"/>
      <c r="QIA99" s="46"/>
      <c r="QIB99" s="46"/>
      <c r="QIC99" s="46"/>
      <c r="QID99" s="46"/>
      <c r="QIE99" s="46"/>
      <c r="QIF99" s="46"/>
      <c r="QIG99" s="46"/>
      <c r="QIH99" s="46"/>
      <c r="QII99" s="46"/>
      <c r="QIJ99" s="46"/>
      <c r="QIK99" s="46"/>
      <c r="QIL99" s="46"/>
      <c r="QIM99" s="46"/>
      <c r="QIN99" s="46"/>
      <c r="QIO99" s="46"/>
      <c r="QIP99" s="46"/>
      <c r="QIQ99" s="46"/>
      <c r="QIR99" s="46"/>
      <c r="QIS99" s="46"/>
      <c r="QIT99" s="46"/>
      <c r="QIU99" s="46"/>
      <c r="QIV99" s="46"/>
      <c r="QIW99" s="46"/>
      <c r="QIX99" s="46"/>
      <c r="QIY99" s="46"/>
      <c r="QIZ99" s="46"/>
      <c r="QJA99" s="46"/>
      <c r="QJB99" s="46"/>
      <c r="QJC99" s="46"/>
      <c r="QJD99" s="46"/>
      <c r="QJE99" s="46"/>
      <c r="QJF99" s="46"/>
      <c r="QJG99" s="46"/>
      <c r="QJH99" s="46"/>
      <c r="QJI99" s="46"/>
      <c r="QJJ99" s="46"/>
      <c r="QJK99" s="46"/>
      <c r="QJL99" s="46"/>
      <c r="QJM99" s="46"/>
      <c r="QJN99" s="46"/>
      <c r="QJO99" s="46"/>
      <c r="QJP99" s="46"/>
      <c r="QJQ99" s="46"/>
      <c r="QJR99" s="46"/>
      <c r="QJS99" s="46"/>
      <c r="QJT99" s="46"/>
      <c r="QJU99" s="46"/>
      <c r="QJV99" s="46"/>
      <c r="QJW99" s="46"/>
      <c r="QJX99" s="46"/>
      <c r="QJY99" s="46"/>
      <c r="QJZ99" s="46"/>
      <c r="QKA99" s="46"/>
      <c r="QKB99" s="46"/>
      <c r="QKC99" s="46"/>
      <c r="QKD99" s="46"/>
      <c r="QKE99" s="46"/>
      <c r="QKF99" s="46"/>
      <c r="QKG99" s="46"/>
      <c r="QKH99" s="46"/>
      <c r="QKI99" s="46"/>
      <c r="QKJ99" s="46"/>
      <c r="QKK99" s="46"/>
      <c r="QKL99" s="46"/>
      <c r="QKM99" s="46"/>
      <c r="QKN99" s="46"/>
      <c r="QKO99" s="46"/>
      <c r="QKP99" s="46"/>
      <c r="QKQ99" s="46"/>
      <c r="QKR99" s="46"/>
      <c r="QKS99" s="46"/>
      <c r="QKT99" s="46"/>
      <c r="QKU99" s="46"/>
      <c r="QKV99" s="46"/>
      <c r="QKW99" s="46"/>
      <c r="QKX99" s="46"/>
      <c r="QKY99" s="46"/>
      <c r="QKZ99" s="46"/>
      <c r="QLA99" s="46"/>
      <c r="QLB99" s="46"/>
      <c r="QLC99" s="46"/>
      <c r="QLD99" s="46"/>
      <c r="QLE99" s="46"/>
      <c r="QLF99" s="46"/>
      <c r="QLG99" s="46"/>
      <c r="QLH99" s="46"/>
      <c r="QLI99" s="46"/>
      <c r="QLJ99" s="46"/>
      <c r="QLK99" s="46"/>
      <c r="QLL99" s="46"/>
      <c r="QLM99" s="46"/>
      <c r="QLN99" s="46"/>
      <c r="QLO99" s="46"/>
      <c r="QLP99" s="46"/>
      <c r="QLQ99" s="46"/>
      <c r="QLR99" s="46"/>
      <c r="QLS99" s="46"/>
      <c r="QLT99" s="46"/>
      <c r="QLU99" s="46"/>
      <c r="QLV99" s="46"/>
      <c r="QLW99" s="46"/>
      <c r="QLX99" s="46"/>
      <c r="QLY99" s="46"/>
      <c r="QLZ99" s="46"/>
      <c r="QMA99" s="46"/>
      <c r="QMB99" s="46"/>
      <c r="QMC99" s="46"/>
      <c r="QMD99" s="46"/>
      <c r="QME99" s="46"/>
      <c r="QMF99" s="46"/>
      <c r="QMG99" s="46"/>
      <c r="QMH99" s="46"/>
      <c r="QMI99" s="46"/>
      <c r="QMJ99" s="46"/>
      <c r="QMK99" s="46"/>
      <c r="QML99" s="46"/>
      <c r="QMM99" s="46"/>
      <c r="QMN99" s="46"/>
      <c r="QMO99" s="46"/>
      <c r="QMP99" s="46"/>
      <c r="QMQ99" s="46"/>
      <c r="QMR99" s="46"/>
      <c r="QMS99" s="46"/>
      <c r="QMT99" s="46"/>
      <c r="QMU99" s="46"/>
      <c r="QMV99" s="46"/>
      <c r="QMW99" s="46"/>
      <c r="QMX99" s="46"/>
      <c r="QMY99" s="46"/>
      <c r="QMZ99" s="46"/>
      <c r="QNA99" s="46"/>
      <c r="QNB99" s="46"/>
      <c r="QNC99" s="46"/>
      <c r="QND99" s="46"/>
      <c r="QNE99" s="46"/>
      <c r="QNF99" s="46"/>
      <c r="QNG99" s="46"/>
      <c r="QNH99" s="46"/>
      <c r="QNI99" s="46"/>
      <c r="QNJ99" s="46"/>
      <c r="QNK99" s="46"/>
      <c r="QNL99" s="46"/>
      <c r="QNM99" s="46"/>
      <c r="QNN99" s="46"/>
      <c r="QNO99" s="46"/>
      <c r="QNP99" s="46"/>
      <c r="QNQ99" s="46"/>
      <c r="QNR99" s="46"/>
      <c r="QNS99" s="46"/>
      <c r="QNT99" s="46"/>
      <c r="QNU99" s="46"/>
      <c r="QNV99" s="46"/>
      <c r="QNW99" s="46"/>
      <c r="QNX99" s="46"/>
      <c r="QNY99" s="46"/>
      <c r="QNZ99" s="46"/>
      <c r="QOA99" s="46"/>
      <c r="QOB99" s="46"/>
      <c r="QOC99" s="46"/>
      <c r="QOD99" s="46"/>
      <c r="QOE99" s="46"/>
      <c r="QOF99" s="46"/>
      <c r="QOG99" s="46"/>
      <c r="QOH99" s="46"/>
      <c r="QOI99" s="46"/>
      <c r="QOJ99" s="46"/>
      <c r="QOK99" s="46"/>
      <c r="QOL99" s="46"/>
      <c r="QOM99" s="46"/>
      <c r="QON99" s="46"/>
      <c r="QOO99" s="46"/>
      <c r="QOP99" s="46"/>
      <c r="QOQ99" s="46"/>
      <c r="QOR99" s="46"/>
      <c r="QOS99" s="46"/>
      <c r="QOT99" s="46"/>
      <c r="QOU99" s="46"/>
      <c r="QOV99" s="46"/>
      <c r="QOW99" s="46"/>
      <c r="QOX99" s="46"/>
      <c r="QOY99" s="46"/>
      <c r="QOZ99" s="46"/>
      <c r="QPA99" s="46"/>
      <c r="QPB99" s="46"/>
      <c r="QPC99" s="46"/>
      <c r="QPD99" s="46"/>
      <c r="QPE99" s="46"/>
      <c r="QPF99" s="46"/>
      <c r="QPG99" s="46"/>
      <c r="QPH99" s="46"/>
      <c r="QPI99" s="46"/>
      <c r="QPJ99" s="46"/>
      <c r="QPK99" s="46"/>
      <c r="QPL99" s="46"/>
      <c r="QPM99" s="46"/>
      <c r="QPN99" s="46"/>
      <c r="QPO99" s="46"/>
      <c r="QPP99" s="46"/>
      <c r="QPQ99" s="46"/>
      <c r="QPR99" s="46"/>
      <c r="QPS99" s="46"/>
      <c r="QPT99" s="46"/>
      <c r="QPU99" s="46"/>
      <c r="QPV99" s="46"/>
      <c r="QPW99" s="46"/>
      <c r="QPX99" s="46"/>
      <c r="QPY99" s="46"/>
      <c r="QPZ99" s="46"/>
      <c r="QQA99" s="46"/>
      <c r="QQB99" s="46"/>
      <c r="QQC99" s="46"/>
      <c r="QQD99" s="46"/>
      <c r="QQE99" s="46"/>
      <c r="QQF99" s="46"/>
      <c r="QQG99" s="46"/>
      <c r="QQH99" s="46"/>
      <c r="QQI99" s="46"/>
      <c r="QQJ99" s="46"/>
      <c r="QQK99" s="46"/>
      <c r="QQL99" s="46"/>
      <c r="QQM99" s="46"/>
      <c r="QQN99" s="46"/>
      <c r="QQO99" s="46"/>
      <c r="QQP99" s="46"/>
      <c r="QQQ99" s="46"/>
      <c r="QQR99" s="46"/>
      <c r="QQS99" s="46"/>
      <c r="QQT99" s="46"/>
      <c r="QQU99" s="46"/>
      <c r="QQV99" s="46"/>
      <c r="QQW99" s="46"/>
      <c r="QQX99" s="46"/>
      <c r="QQY99" s="46"/>
      <c r="QQZ99" s="46"/>
      <c r="QRA99" s="46"/>
      <c r="QRB99" s="46"/>
      <c r="QRC99" s="46"/>
      <c r="QRD99" s="46"/>
      <c r="QRE99" s="46"/>
      <c r="QRF99" s="46"/>
      <c r="QRG99" s="46"/>
      <c r="QRH99" s="46"/>
      <c r="QRI99" s="46"/>
      <c r="QRJ99" s="46"/>
      <c r="QRK99" s="46"/>
      <c r="QRL99" s="46"/>
      <c r="QRM99" s="46"/>
      <c r="QRN99" s="46"/>
      <c r="QRO99" s="46"/>
      <c r="QRP99" s="46"/>
      <c r="QRQ99" s="46"/>
      <c r="QRR99" s="46"/>
      <c r="QRS99" s="46"/>
      <c r="QRT99" s="46"/>
      <c r="QRU99" s="46"/>
      <c r="QRV99" s="46"/>
      <c r="QRW99" s="46"/>
      <c r="QRX99" s="46"/>
      <c r="QRY99" s="46"/>
      <c r="QRZ99" s="46"/>
      <c r="QSA99" s="46"/>
      <c r="QSB99" s="46"/>
      <c r="QSC99" s="46"/>
      <c r="QSD99" s="46"/>
      <c r="QSE99" s="46"/>
      <c r="QSF99" s="46"/>
      <c r="QSG99" s="46"/>
      <c r="QSH99" s="46"/>
      <c r="QSI99" s="46"/>
      <c r="QSJ99" s="46"/>
      <c r="QSK99" s="46"/>
      <c r="QSL99" s="46"/>
      <c r="QSM99" s="46"/>
      <c r="QSN99" s="46"/>
      <c r="QSO99" s="46"/>
      <c r="QSP99" s="46"/>
      <c r="QSQ99" s="46"/>
      <c r="QSR99" s="46"/>
      <c r="QSS99" s="46"/>
      <c r="QST99" s="46"/>
      <c r="QSU99" s="46"/>
      <c r="QSV99" s="46"/>
      <c r="QSW99" s="46"/>
      <c r="QSX99" s="46"/>
      <c r="QSY99" s="46"/>
      <c r="QSZ99" s="46"/>
      <c r="QTA99" s="46"/>
      <c r="QTB99" s="46"/>
      <c r="QTC99" s="46"/>
      <c r="QTD99" s="46"/>
      <c r="QTE99" s="46"/>
      <c r="QTF99" s="46"/>
      <c r="QTG99" s="46"/>
      <c r="QTH99" s="46"/>
      <c r="QTI99" s="46"/>
      <c r="QTJ99" s="46"/>
      <c r="QTK99" s="46"/>
      <c r="QTL99" s="46"/>
      <c r="QTM99" s="46"/>
      <c r="QTN99" s="46"/>
      <c r="QTO99" s="46"/>
      <c r="QTP99" s="46"/>
      <c r="QTQ99" s="46"/>
      <c r="QTR99" s="46"/>
      <c r="QTS99" s="46"/>
      <c r="QTT99" s="46"/>
      <c r="QTU99" s="46"/>
      <c r="QTV99" s="46"/>
      <c r="QTW99" s="46"/>
      <c r="QTX99" s="46"/>
      <c r="QTY99" s="46"/>
      <c r="QTZ99" s="46"/>
      <c r="QUA99" s="46"/>
      <c r="QUB99" s="46"/>
      <c r="QUC99" s="46"/>
      <c r="QUD99" s="46"/>
      <c r="QUE99" s="46"/>
      <c r="QUF99" s="46"/>
      <c r="QUG99" s="46"/>
      <c r="QUH99" s="46"/>
      <c r="QUI99" s="46"/>
      <c r="QUJ99" s="46"/>
      <c r="QUK99" s="46"/>
      <c r="QUL99" s="46"/>
      <c r="QUM99" s="46"/>
      <c r="QUN99" s="46"/>
      <c r="QUO99" s="46"/>
      <c r="QUP99" s="46"/>
      <c r="QUQ99" s="46"/>
      <c r="QUR99" s="46"/>
      <c r="QUS99" s="46"/>
      <c r="QUT99" s="46"/>
      <c r="QUU99" s="46"/>
      <c r="QUV99" s="46"/>
      <c r="QUW99" s="46"/>
      <c r="QUX99" s="46"/>
      <c r="QUY99" s="46"/>
      <c r="QUZ99" s="46"/>
      <c r="QVA99" s="46"/>
      <c r="QVB99" s="46"/>
      <c r="QVC99" s="46"/>
      <c r="QVD99" s="46"/>
      <c r="QVE99" s="46"/>
      <c r="QVF99" s="46"/>
      <c r="QVG99" s="46"/>
      <c r="QVH99" s="46"/>
      <c r="QVI99" s="46"/>
      <c r="QVJ99" s="46"/>
      <c r="QVK99" s="46"/>
      <c r="QVL99" s="46"/>
      <c r="QVM99" s="46"/>
      <c r="QVN99" s="46"/>
      <c r="QVO99" s="46"/>
      <c r="QVP99" s="46"/>
      <c r="QVQ99" s="46"/>
      <c r="QVR99" s="46"/>
      <c r="QVS99" s="46"/>
      <c r="QVT99" s="46"/>
      <c r="QVU99" s="46"/>
      <c r="QVV99" s="46"/>
      <c r="QVW99" s="46"/>
      <c r="QVX99" s="46"/>
      <c r="QVY99" s="46"/>
      <c r="QVZ99" s="46"/>
      <c r="QWA99" s="46"/>
      <c r="QWB99" s="46"/>
      <c r="QWC99" s="46"/>
      <c r="QWD99" s="46"/>
      <c r="QWE99" s="46"/>
      <c r="QWF99" s="46"/>
      <c r="QWG99" s="46"/>
      <c r="QWH99" s="46"/>
      <c r="QWI99" s="46"/>
      <c r="QWJ99" s="46"/>
      <c r="QWK99" s="46"/>
      <c r="QWL99" s="46"/>
      <c r="QWM99" s="46"/>
      <c r="QWN99" s="46"/>
      <c r="QWO99" s="46"/>
      <c r="QWP99" s="46"/>
      <c r="QWQ99" s="46"/>
      <c r="QWR99" s="46"/>
      <c r="QWS99" s="46"/>
      <c r="QWT99" s="46"/>
      <c r="QWU99" s="46"/>
      <c r="QWV99" s="46"/>
      <c r="QWW99" s="46"/>
      <c r="QWX99" s="46"/>
      <c r="QWY99" s="46"/>
      <c r="QWZ99" s="46"/>
      <c r="QXA99" s="46"/>
      <c r="QXB99" s="46"/>
      <c r="QXC99" s="46"/>
      <c r="QXD99" s="46"/>
      <c r="QXE99" s="46"/>
      <c r="QXF99" s="46"/>
      <c r="QXG99" s="46"/>
      <c r="QXH99" s="46"/>
      <c r="QXI99" s="46"/>
      <c r="QXJ99" s="46"/>
      <c r="QXK99" s="46"/>
      <c r="QXL99" s="46"/>
      <c r="QXM99" s="46"/>
      <c r="QXN99" s="46"/>
      <c r="QXO99" s="46"/>
      <c r="QXP99" s="46"/>
      <c r="QXQ99" s="46"/>
      <c r="QXR99" s="46"/>
      <c r="QXS99" s="46"/>
      <c r="QXT99" s="46"/>
      <c r="QXU99" s="46"/>
      <c r="QXV99" s="46"/>
      <c r="QXW99" s="46"/>
      <c r="QXX99" s="46"/>
      <c r="QXY99" s="46"/>
      <c r="QXZ99" s="46"/>
      <c r="QYA99" s="46"/>
      <c r="QYB99" s="46"/>
      <c r="QYC99" s="46"/>
      <c r="QYD99" s="46"/>
      <c r="QYE99" s="46"/>
      <c r="QYF99" s="46"/>
      <c r="QYG99" s="46"/>
      <c r="QYH99" s="46"/>
      <c r="QYI99" s="46"/>
      <c r="QYJ99" s="46"/>
      <c r="QYK99" s="46"/>
      <c r="QYL99" s="46"/>
      <c r="QYM99" s="46"/>
      <c r="QYN99" s="46"/>
      <c r="QYO99" s="46"/>
      <c r="QYP99" s="46"/>
      <c r="QYQ99" s="46"/>
      <c r="QYR99" s="46"/>
      <c r="QYS99" s="46"/>
      <c r="QYT99" s="46"/>
      <c r="QYU99" s="46"/>
      <c r="QYV99" s="46"/>
      <c r="QYW99" s="46"/>
      <c r="QYX99" s="46"/>
      <c r="QYY99" s="46"/>
      <c r="QYZ99" s="46"/>
      <c r="QZA99" s="46"/>
      <c r="QZB99" s="46"/>
      <c r="QZC99" s="46"/>
      <c r="QZD99" s="46"/>
      <c r="QZE99" s="46"/>
      <c r="QZF99" s="46"/>
      <c r="QZG99" s="46"/>
      <c r="QZH99" s="46"/>
      <c r="QZI99" s="46"/>
      <c r="QZJ99" s="46"/>
      <c r="QZK99" s="46"/>
      <c r="QZL99" s="46"/>
      <c r="QZM99" s="46"/>
      <c r="QZN99" s="46"/>
      <c r="QZO99" s="46"/>
      <c r="QZP99" s="46"/>
      <c r="QZQ99" s="46"/>
      <c r="QZR99" s="46"/>
      <c r="QZS99" s="46"/>
      <c r="QZT99" s="46"/>
      <c r="QZU99" s="46"/>
      <c r="QZV99" s="46"/>
      <c r="QZW99" s="46"/>
      <c r="QZX99" s="46"/>
      <c r="QZY99" s="46"/>
      <c r="QZZ99" s="46"/>
      <c r="RAA99" s="46"/>
      <c r="RAB99" s="46"/>
      <c r="RAC99" s="46"/>
      <c r="RAD99" s="46"/>
      <c r="RAE99" s="46"/>
      <c r="RAF99" s="46"/>
      <c r="RAG99" s="46"/>
      <c r="RAH99" s="46"/>
      <c r="RAI99" s="46"/>
      <c r="RAJ99" s="46"/>
      <c r="RAK99" s="46"/>
      <c r="RAL99" s="46"/>
      <c r="RAM99" s="46"/>
      <c r="RAN99" s="46"/>
      <c r="RAO99" s="46"/>
      <c r="RAP99" s="46"/>
      <c r="RAQ99" s="46"/>
      <c r="RAR99" s="46"/>
      <c r="RAS99" s="46"/>
      <c r="RAT99" s="46"/>
      <c r="RAU99" s="46"/>
      <c r="RAV99" s="46"/>
      <c r="RAW99" s="46"/>
      <c r="RAX99" s="46"/>
      <c r="RAY99" s="46"/>
      <c r="RAZ99" s="46"/>
      <c r="RBA99" s="46"/>
      <c r="RBB99" s="46"/>
      <c r="RBC99" s="46"/>
      <c r="RBD99" s="46"/>
      <c r="RBE99" s="46"/>
      <c r="RBF99" s="46"/>
      <c r="RBG99" s="46"/>
      <c r="RBH99" s="46"/>
      <c r="RBI99" s="46"/>
      <c r="RBJ99" s="46"/>
      <c r="RBK99" s="46"/>
      <c r="RBL99" s="46"/>
      <c r="RBM99" s="46"/>
      <c r="RBN99" s="46"/>
      <c r="RBO99" s="46"/>
      <c r="RBP99" s="46"/>
      <c r="RBQ99" s="46"/>
      <c r="RBR99" s="46"/>
      <c r="RBS99" s="46"/>
      <c r="RBT99" s="46"/>
      <c r="RBU99" s="46"/>
      <c r="RBV99" s="46"/>
      <c r="RBW99" s="46"/>
      <c r="RBX99" s="46"/>
      <c r="RBY99" s="46"/>
      <c r="RBZ99" s="46"/>
      <c r="RCA99" s="46"/>
      <c r="RCB99" s="46"/>
      <c r="RCC99" s="46"/>
      <c r="RCD99" s="46"/>
      <c r="RCE99" s="46"/>
      <c r="RCF99" s="46"/>
      <c r="RCG99" s="46"/>
      <c r="RCH99" s="46"/>
      <c r="RCI99" s="46"/>
      <c r="RCJ99" s="46"/>
      <c r="RCK99" s="46"/>
      <c r="RCL99" s="46"/>
      <c r="RCM99" s="46"/>
      <c r="RCN99" s="46"/>
      <c r="RCO99" s="46"/>
      <c r="RCP99" s="46"/>
      <c r="RCQ99" s="46"/>
      <c r="RCR99" s="46"/>
      <c r="RCS99" s="46"/>
      <c r="RCT99" s="46"/>
      <c r="RCU99" s="46"/>
      <c r="RCV99" s="46"/>
      <c r="RCW99" s="46"/>
      <c r="RCX99" s="46"/>
      <c r="RCY99" s="46"/>
      <c r="RCZ99" s="46"/>
      <c r="RDA99" s="46"/>
      <c r="RDB99" s="46"/>
      <c r="RDC99" s="46"/>
      <c r="RDD99" s="46"/>
      <c r="RDE99" s="46"/>
      <c r="RDF99" s="46"/>
      <c r="RDG99" s="46"/>
      <c r="RDH99" s="46"/>
      <c r="RDI99" s="46"/>
      <c r="RDJ99" s="46"/>
      <c r="RDK99" s="46"/>
      <c r="RDL99" s="46"/>
      <c r="RDM99" s="46"/>
      <c r="RDN99" s="46"/>
      <c r="RDO99" s="46"/>
      <c r="RDP99" s="46"/>
      <c r="RDQ99" s="46"/>
      <c r="RDR99" s="46"/>
      <c r="RDS99" s="46"/>
      <c r="RDT99" s="46"/>
      <c r="RDU99" s="46"/>
      <c r="RDV99" s="46"/>
      <c r="RDW99" s="46"/>
      <c r="RDX99" s="46"/>
      <c r="RDY99" s="46"/>
      <c r="RDZ99" s="46"/>
      <c r="REA99" s="46"/>
      <c r="REB99" s="46"/>
      <c r="REC99" s="46"/>
      <c r="RED99" s="46"/>
      <c r="REE99" s="46"/>
      <c r="REF99" s="46"/>
      <c r="REG99" s="46"/>
      <c r="REH99" s="46"/>
      <c r="REI99" s="46"/>
      <c r="REJ99" s="46"/>
      <c r="REK99" s="46"/>
      <c r="REL99" s="46"/>
      <c r="REM99" s="46"/>
      <c r="REN99" s="46"/>
      <c r="REO99" s="46"/>
      <c r="REP99" s="46"/>
      <c r="REQ99" s="46"/>
      <c r="RER99" s="46"/>
      <c r="RES99" s="46"/>
      <c r="RET99" s="46"/>
      <c r="REU99" s="46"/>
      <c r="REV99" s="46"/>
      <c r="REW99" s="46"/>
      <c r="REX99" s="46"/>
      <c r="REY99" s="46"/>
      <c r="REZ99" s="46"/>
      <c r="RFA99" s="46"/>
      <c r="RFB99" s="46"/>
      <c r="RFC99" s="46"/>
      <c r="RFD99" s="46"/>
      <c r="RFE99" s="46"/>
      <c r="RFF99" s="46"/>
      <c r="RFG99" s="46"/>
      <c r="RFH99" s="46"/>
      <c r="RFI99" s="46"/>
      <c r="RFJ99" s="46"/>
      <c r="RFK99" s="46"/>
      <c r="RFL99" s="46"/>
      <c r="RFM99" s="46"/>
      <c r="RFN99" s="46"/>
      <c r="RFO99" s="46"/>
      <c r="RFP99" s="46"/>
      <c r="RFQ99" s="46"/>
      <c r="RFR99" s="46"/>
      <c r="RFS99" s="46"/>
      <c r="RFT99" s="46"/>
      <c r="RFU99" s="46"/>
      <c r="RFV99" s="46"/>
      <c r="RFW99" s="46"/>
      <c r="RFX99" s="46"/>
      <c r="RFY99" s="46"/>
      <c r="RFZ99" s="46"/>
      <c r="RGA99" s="46"/>
      <c r="RGB99" s="46"/>
      <c r="RGC99" s="46"/>
      <c r="RGD99" s="46"/>
      <c r="RGE99" s="46"/>
      <c r="RGF99" s="46"/>
      <c r="RGG99" s="46"/>
      <c r="RGH99" s="46"/>
      <c r="RGI99" s="46"/>
      <c r="RGJ99" s="46"/>
      <c r="RGK99" s="46"/>
      <c r="RGL99" s="46"/>
      <c r="RGM99" s="46"/>
      <c r="RGN99" s="46"/>
      <c r="RGO99" s="46"/>
      <c r="RGP99" s="46"/>
      <c r="RGQ99" s="46"/>
      <c r="RGR99" s="46"/>
      <c r="RGS99" s="46"/>
      <c r="RGT99" s="46"/>
      <c r="RGU99" s="46"/>
      <c r="RGV99" s="46"/>
      <c r="RGW99" s="46"/>
      <c r="RGX99" s="46"/>
      <c r="RGY99" s="46"/>
      <c r="RGZ99" s="46"/>
      <c r="RHA99" s="46"/>
      <c r="RHB99" s="46"/>
      <c r="RHC99" s="46"/>
      <c r="RHD99" s="46"/>
      <c r="RHE99" s="46"/>
      <c r="RHF99" s="46"/>
      <c r="RHG99" s="46"/>
      <c r="RHH99" s="46"/>
      <c r="RHI99" s="46"/>
      <c r="RHJ99" s="46"/>
      <c r="RHK99" s="46"/>
      <c r="RHL99" s="46"/>
      <c r="RHM99" s="46"/>
      <c r="RHN99" s="46"/>
      <c r="RHO99" s="46"/>
      <c r="RHP99" s="46"/>
      <c r="RHQ99" s="46"/>
      <c r="RHR99" s="46"/>
      <c r="RHS99" s="46"/>
      <c r="RHT99" s="46"/>
      <c r="RHU99" s="46"/>
      <c r="RHV99" s="46"/>
      <c r="RHW99" s="46"/>
      <c r="RHX99" s="46"/>
      <c r="RHY99" s="46"/>
      <c r="RHZ99" s="46"/>
      <c r="RIA99" s="46"/>
      <c r="RIB99" s="46"/>
      <c r="RIC99" s="46"/>
      <c r="RID99" s="46"/>
      <c r="RIE99" s="46"/>
      <c r="RIF99" s="46"/>
      <c r="RIG99" s="46"/>
      <c r="RIH99" s="46"/>
      <c r="RII99" s="46"/>
      <c r="RIJ99" s="46"/>
      <c r="RIK99" s="46"/>
      <c r="RIL99" s="46"/>
      <c r="RIM99" s="46"/>
      <c r="RIN99" s="46"/>
      <c r="RIO99" s="46"/>
      <c r="RIP99" s="46"/>
      <c r="RIQ99" s="46"/>
      <c r="RIR99" s="46"/>
      <c r="RIS99" s="46"/>
      <c r="RIT99" s="46"/>
      <c r="RIU99" s="46"/>
      <c r="RIV99" s="46"/>
      <c r="RIW99" s="46"/>
      <c r="RIX99" s="46"/>
      <c r="RIY99" s="46"/>
      <c r="RIZ99" s="46"/>
      <c r="RJA99" s="46"/>
      <c r="RJB99" s="46"/>
      <c r="RJC99" s="46"/>
      <c r="RJD99" s="46"/>
      <c r="RJE99" s="46"/>
      <c r="RJF99" s="46"/>
      <c r="RJG99" s="46"/>
      <c r="RJH99" s="46"/>
      <c r="RJI99" s="46"/>
      <c r="RJJ99" s="46"/>
      <c r="RJK99" s="46"/>
      <c r="RJL99" s="46"/>
      <c r="RJM99" s="46"/>
      <c r="RJN99" s="46"/>
      <c r="RJO99" s="46"/>
      <c r="RJP99" s="46"/>
      <c r="RJQ99" s="46"/>
      <c r="RJR99" s="46"/>
      <c r="RJS99" s="46"/>
      <c r="RJT99" s="46"/>
      <c r="RJU99" s="46"/>
      <c r="RJV99" s="46"/>
      <c r="RJW99" s="46"/>
      <c r="RJX99" s="46"/>
      <c r="RJY99" s="46"/>
      <c r="RJZ99" s="46"/>
      <c r="RKA99" s="46"/>
      <c r="RKB99" s="46"/>
      <c r="RKC99" s="46"/>
      <c r="RKD99" s="46"/>
      <c r="RKE99" s="46"/>
      <c r="RKF99" s="46"/>
      <c r="RKG99" s="46"/>
      <c r="RKH99" s="46"/>
      <c r="RKI99" s="46"/>
      <c r="RKJ99" s="46"/>
      <c r="RKK99" s="46"/>
      <c r="RKL99" s="46"/>
      <c r="RKM99" s="46"/>
      <c r="RKN99" s="46"/>
      <c r="RKO99" s="46"/>
      <c r="RKP99" s="46"/>
      <c r="RKQ99" s="46"/>
      <c r="RKR99" s="46"/>
      <c r="RKS99" s="46"/>
      <c r="RKT99" s="46"/>
      <c r="RKU99" s="46"/>
      <c r="RKV99" s="46"/>
      <c r="RKW99" s="46"/>
      <c r="RKX99" s="46"/>
      <c r="RKY99" s="46"/>
      <c r="RKZ99" s="46"/>
      <c r="RLA99" s="46"/>
      <c r="RLB99" s="46"/>
      <c r="RLC99" s="46"/>
      <c r="RLD99" s="46"/>
      <c r="RLE99" s="46"/>
      <c r="RLF99" s="46"/>
      <c r="RLG99" s="46"/>
      <c r="RLH99" s="46"/>
      <c r="RLI99" s="46"/>
      <c r="RLJ99" s="46"/>
      <c r="RLK99" s="46"/>
      <c r="RLL99" s="46"/>
      <c r="RLM99" s="46"/>
      <c r="RLN99" s="46"/>
      <c r="RLO99" s="46"/>
      <c r="RLP99" s="46"/>
      <c r="RLQ99" s="46"/>
      <c r="RLR99" s="46"/>
      <c r="RLS99" s="46"/>
      <c r="RLT99" s="46"/>
      <c r="RLU99" s="46"/>
      <c r="RLV99" s="46"/>
      <c r="RLW99" s="46"/>
      <c r="RLX99" s="46"/>
      <c r="RLY99" s="46"/>
      <c r="RLZ99" s="46"/>
      <c r="RMA99" s="46"/>
      <c r="RMB99" s="46"/>
      <c r="RMC99" s="46"/>
      <c r="RMD99" s="46"/>
      <c r="RME99" s="46"/>
      <c r="RMF99" s="46"/>
      <c r="RMG99" s="46"/>
      <c r="RMH99" s="46"/>
      <c r="RMI99" s="46"/>
      <c r="RMJ99" s="46"/>
      <c r="RMK99" s="46"/>
      <c r="RML99" s="46"/>
      <c r="RMM99" s="46"/>
      <c r="RMN99" s="46"/>
      <c r="RMO99" s="46"/>
      <c r="RMP99" s="46"/>
      <c r="RMQ99" s="46"/>
      <c r="RMR99" s="46"/>
      <c r="RMS99" s="46"/>
      <c r="RMT99" s="46"/>
      <c r="RMU99" s="46"/>
      <c r="RMV99" s="46"/>
      <c r="RMW99" s="46"/>
      <c r="RMX99" s="46"/>
      <c r="RMY99" s="46"/>
      <c r="RMZ99" s="46"/>
      <c r="RNA99" s="46"/>
      <c r="RNB99" s="46"/>
      <c r="RNC99" s="46"/>
      <c r="RND99" s="46"/>
      <c r="RNE99" s="46"/>
      <c r="RNF99" s="46"/>
      <c r="RNG99" s="46"/>
      <c r="RNH99" s="46"/>
      <c r="RNI99" s="46"/>
      <c r="RNJ99" s="46"/>
      <c r="RNK99" s="46"/>
      <c r="RNL99" s="46"/>
      <c r="RNM99" s="46"/>
      <c r="RNN99" s="46"/>
      <c r="RNO99" s="46"/>
      <c r="RNP99" s="46"/>
      <c r="RNQ99" s="46"/>
      <c r="RNR99" s="46"/>
      <c r="RNS99" s="46"/>
      <c r="RNT99" s="46"/>
      <c r="RNU99" s="46"/>
      <c r="RNV99" s="46"/>
      <c r="RNW99" s="46"/>
      <c r="RNX99" s="46"/>
      <c r="RNY99" s="46"/>
      <c r="RNZ99" s="46"/>
      <c r="ROA99" s="46"/>
      <c r="ROB99" s="46"/>
      <c r="ROC99" s="46"/>
      <c r="ROD99" s="46"/>
      <c r="ROE99" s="46"/>
      <c r="ROF99" s="46"/>
      <c r="ROG99" s="46"/>
      <c r="ROH99" s="46"/>
      <c r="ROI99" s="46"/>
      <c r="ROJ99" s="46"/>
      <c r="ROK99" s="46"/>
      <c r="ROL99" s="46"/>
      <c r="ROM99" s="46"/>
      <c r="RON99" s="46"/>
      <c r="ROO99" s="46"/>
      <c r="ROP99" s="46"/>
      <c r="ROQ99" s="46"/>
      <c r="ROR99" s="46"/>
      <c r="ROS99" s="46"/>
      <c r="ROT99" s="46"/>
      <c r="ROU99" s="46"/>
      <c r="ROV99" s="46"/>
      <c r="ROW99" s="46"/>
      <c r="ROX99" s="46"/>
      <c r="ROY99" s="46"/>
      <c r="ROZ99" s="46"/>
      <c r="RPA99" s="46"/>
      <c r="RPB99" s="46"/>
      <c r="RPC99" s="46"/>
      <c r="RPD99" s="46"/>
      <c r="RPE99" s="46"/>
      <c r="RPF99" s="46"/>
      <c r="RPG99" s="46"/>
      <c r="RPH99" s="46"/>
      <c r="RPI99" s="46"/>
      <c r="RPJ99" s="46"/>
      <c r="RPK99" s="46"/>
      <c r="RPL99" s="46"/>
      <c r="RPM99" s="46"/>
      <c r="RPN99" s="46"/>
      <c r="RPO99" s="46"/>
      <c r="RPP99" s="46"/>
      <c r="RPQ99" s="46"/>
      <c r="RPR99" s="46"/>
      <c r="RPS99" s="46"/>
      <c r="RPT99" s="46"/>
      <c r="RPU99" s="46"/>
      <c r="RPV99" s="46"/>
      <c r="RPW99" s="46"/>
      <c r="RPX99" s="46"/>
      <c r="RPY99" s="46"/>
      <c r="RPZ99" s="46"/>
      <c r="RQA99" s="46"/>
      <c r="RQB99" s="46"/>
      <c r="RQC99" s="46"/>
      <c r="RQD99" s="46"/>
      <c r="RQE99" s="46"/>
      <c r="RQF99" s="46"/>
      <c r="RQG99" s="46"/>
      <c r="RQH99" s="46"/>
      <c r="RQI99" s="46"/>
      <c r="RQJ99" s="46"/>
      <c r="RQK99" s="46"/>
      <c r="RQL99" s="46"/>
      <c r="RQM99" s="46"/>
      <c r="RQN99" s="46"/>
      <c r="RQO99" s="46"/>
      <c r="RQP99" s="46"/>
      <c r="RQQ99" s="46"/>
      <c r="RQR99" s="46"/>
      <c r="RQS99" s="46"/>
      <c r="RQT99" s="46"/>
      <c r="RQU99" s="46"/>
      <c r="RQV99" s="46"/>
      <c r="RQW99" s="46"/>
      <c r="RQX99" s="46"/>
      <c r="RQY99" s="46"/>
      <c r="RQZ99" s="46"/>
      <c r="RRA99" s="46"/>
      <c r="RRB99" s="46"/>
      <c r="RRC99" s="46"/>
      <c r="RRD99" s="46"/>
      <c r="RRE99" s="46"/>
      <c r="RRF99" s="46"/>
      <c r="RRG99" s="46"/>
      <c r="RRH99" s="46"/>
      <c r="RRI99" s="46"/>
      <c r="RRJ99" s="46"/>
      <c r="RRK99" s="46"/>
      <c r="RRL99" s="46"/>
      <c r="RRM99" s="46"/>
      <c r="RRN99" s="46"/>
      <c r="RRO99" s="46"/>
      <c r="RRP99" s="46"/>
      <c r="RRQ99" s="46"/>
      <c r="RRR99" s="46"/>
      <c r="RRS99" s="46"/>
      <c r="RRT99" s="46"/>
      <c r="RRU99" s="46"/>
      <c r="RRV99" s="46"/>
      <c r="RRW99" s="46"/>
      <c r="RRX99" s="46"/>
      <c r="RRY99" s="46"/>
      <c r="RRZ99" s="46"/>
      <c r="RSA99" s="46"/>
      <c r="RSB99" s="46"/>
      <c r="RSC99" s="46"/>
      <c r="RSD99" s="46"/>
      <c r="RSE99" s="46"/>
      <c r="RSF99" s="46"/>
      <c r="RSG99" s="46"/>
      <c r="RSH99" s="46"/>
      <c r="RSI99" s="46"/>
      <c r="RSJ99" s="46"/>
      <c r="RSK99" s="46"/>
      <c r="RSL99" s="46"/>
      <c r="RSM99" s="46"/>
      <c r="RSN99" s="46"/>
      <c r="RSO99" s="46"/>
      <c r="RSP99" s="46"/>
      <c r="RSQ99" s="46"/>
      <c r="RSR99" s="46"/>
      <c r="RSS99" s="46"/>
      <c r="RST99" s="46"/>
      <c r="RSU99" s="46"/>
      <c r="RSV99" s="46"/>
      <c r="RSW99" s="46"/>
      <c r="RSX99" s="46"/>
      <c r="RSY99" s="46"/>
      <c r="RSZ99" s="46"/>
      <c r="RTA99" s="46"/>
      <c r="RTB99" s="46"/>
      <c r="RTC99" s="46"/>
      <c r="RTD99" s="46"/>
      <c r="RTE99" s="46"/>
      <c r="RTF99" s="46"/>
      <c r="RTG99" s="46"/>
      <c r="RTH99" s="46"/>
      <c r="RTI99" s="46"/>
      <c r="RTJ99" s="46"/>
      <c r="RTK99" s="46"/>
      <c r="RTL99" s="46"/>
      <c r="RTM99" s="46"/>
      <c r="RTN99" s="46"/>
      <c r="RTO99" s="46"/>
      <c r="RTP99" s="46"/>
      <c r="RTQ99" s="46"/>
      <c r="RTR99" s="46"/>
      <c r="RTS99" s="46"/>
      <c r="RTT99" s="46"/>
      <c r="RTU99" s="46"/>
      <c r="RTV99" s="46"/>
      <c r="RTW99" s="46"/>
      <c r="RTX99" s="46"/>
      <c r="RTY99" s="46"/>
      <c r="RTZ99" s="46"/>
      <c r="RUA99" s="46"/>
      <c r="RUB99" s="46"/>
      <c r="RUC99" s="46"/>
      <c r="RUD99" s="46"/>
      <c r="RUE99" s="46"/>
      <c r="RUF99" s="46"/>
      <c r="RUG99" s="46"/>
      <c r="RUH99" s="46"/>
      <c r="RUI99" s="46"/>
      <c r="RUJ99" s="46"/>
      <c r="RUK99" s="46"/>
      <c r="RUL99" s="46"/>
      <c r="RUM99" s="46"/>
      <c r="RUN99" s="46"/>
      <c r="RUO99" s="46"/>
      <c r="RUP99" s="46"/>
      <c r="RUQ99" s="46"/>
      <c r="RUR99" s="46"/>
      <c r="RUS99" s="46"/>
      <c r="RUT99" s="46"/>
      <c r="RUU99" s="46"/>
      <c r="RUV99" s="46"/>
      <c r="RUW99" s="46"/>
      <c r="RUX99" s="46"/>
      <c r="RUY99" s="46"/>
      <c r="RUZ99" s="46"/>
      <c r="RVA99" s="46"/>
      <c r="RVB99" s="46"/>
      <c r="RVC99" s="46"/>
      <c r="RVD99" s="46"/>
      <c r="RVE99" s="46"/>
      <c r="RVF99" s="46"/>
      <c r="RVG99" s="46"/>
      <c r="RVH99" s="46"/>
      <c r="RVI99" s="46"/>
      <c r="RVJ99" s="46"/>
      <c r="RVK99" s="46"/>
      <c r="RVL99" s="46"/>
      <c r="RVM99" s="46"/>
      <c r="RVN99" s="46"/>
      <c r="RVO99" s="46"/>
      <c r="RVP99" s="46"/>
      <c r="RVQ99" s="46"/>
      <c r="RVR99" s="46"/>
      <c r="RVS99" s="46"/>
      <c r="RVT99" s="46"/>
      <c r="RVU99" s="46"/>
      <c r="RVV99" s="46"/>
      <c r="RVW99" s="46"/>
      <c r="RVX99" s="46"/>
      <c r="RVY99" s="46"/>
      <c r="RVZ99" s="46"/>
      <c r="RWA99" s="46"/>
      <c r="RWB99" s="46"/>
      <c r="RWC99" s="46"/>
      <c r="RWD99" s="46"/>
      <c r="RWE99" s="46"/>
      <c r="RWF99" s="46"/>
      <c r="RWG99" s="46"/>
      <c r="RWH99" s="46"/>
      <c r="RWI99" s="46"/>
      <c r="RWJ99" s="46"/>
      <c r="RWK99" s="46"/>
      <c r="RWL99" s="46"/>
      <c r="RWM99" s="46"/>
      <c r="RWN99" s="46"/>
      <c r="RWO99" s="46"/>
      <c r="RWP99" s="46"/>
      <c r="RWQ99" s="46"/>
      <c r="RWR99" s="46"/>
      <c r="RWS99" s="46"/>
      <c r="RWT99" s="46"/>
      <c r="RWU99" s="46"/>
      <c r="RWV99" s="46"/>
      <c r="RWW99" s="46"/>
      <c r="RWX99" s="46"/>
      <c r="RWY99" s="46"/>
      <c r="RWZ99" s="46"/>
      <c r="RXA99" s="46"/>
      <c r="RXB99" s="46"/>
      <c r="RXC99" s="46"/>
      <c r="RXD99" s="46"/>
      <c r="RXE99" s="46"/>
      <c r="RXF99" s="46"/>
      <c r="RXG99" s="46"/>
      <c r="RXH99" s="46"/>
      <c r="RXI99" s="46"/>
      <c r="RXJ99" s="46"/>
      <c r="RXK99" s="46"/>
      <c r="RXL99" s="46"/>
      <c r="RXM99" s="46"/>
      <c r="RXN99" s="46"/>
      <c r="RXO99" s="46"/>
      <c r="RXP99" s="46"/>
      <c r="RXQ99" s="46"/>
      <c r="RXR99" s="46"/>
      <c r="RXS99" s="46"/>
      <c r="RXT99" s="46"/>
      <c r="RXU99" s="46"/>
      <c r="RXV99" s="46"/>
      <c r="RXW99" s="46"/>
      <c r="RXX99" s="46"/>
      <c r="RXY99" s="46"/>
      <c r="RXZ99" s="46"/>
      <c r="RYA99" s="46"/>
      <c r="RYB99" s="46"/>
      <c r="RYC99" s="46"/>
      <c r="RYD99" s="46"/>
      <c r="RYE99" s="46"/>
      <c r="RYF99" s="46"/>
      <c r="RYG99" s="46"/>
      <c r="RYH99" s="46"/>
      <c r="RYI99" s="46"/>
      <c r="RYJ99" s="46"/>
      <c r="RYK99" s="46"/>
      <c r="RYL99" s="46"/>
      <c r="RYM99" s="46"/>
      <c r="RYN99" s="46"/>
      <c r="RYO99" s="46"/>
      <c r="RYP99" s="46"/>
      <c r="RYQ99" s="46"/>
      <c r="RYR99" s="46"/>
      <c r="RYS99" s="46"/>
      <c r="RYT99" s="46"/>
      <c r="RYU99" s="46"/>
      <c r="RYV99" s="46"/>
      <c r="RYW99" s="46"/>
      <c r="RYX99" s="46"/>
      <c r="RYY99" s="46"/>
      <c r="RYZ99" s="46"/>
      <c r="RZA99" s="46"/>
      <c r="RZB99" s="46"/>
      <c r="RZC99" s="46"/>
      <c r="RZD99" s="46"/>
      <c r="RZE99" s="46"/>
      <c r="RZF99" s="46"/>
      <c r="RZG99" s="46"/>
      <c r="RZH99" s="46"/>
      <c r="RZI99" s="46"/>
      <c r="RZJ99" s="46"/>
      <c r="RZK99" s="46"/>
      <c r="RZL99" s="46"/>
      <c r="RZM99" s="46"/>
      <c r="RZN99" s="46"/>
      <c r="RZO99" s="46"/>
      <c r="RZP99" s="46"/>
      <c r="RZQ99" s="46"/>
      <c r="RZR99" s="46"/>
      <c r="RZS99" s="46"/>
      <c r="RZT99" s="46"/>
      <c r="RZU99" s="46"/>
      <c r="RZV99" s="46"/>
      <c r="RZW99" s="46"/>
      <c r="RZX99" s="46"/>
      <c r="RZY99" s="46"/>
      <c r="RZZ99" s="46"/>
      <c r="SAA99" s="46"/>
      <c r="SAB99" s="46"/>
      <c r="SAC99" s="46"/>
      <c r="SAD99" s="46"/>
      <c r="SAE99" s="46"/>
      <c r="SAF99" s="46"/>
      <c r="SAG99" s="46"/>
      <c r="SAH99" s="46"/>
      <c r="SAI99" s="46"/>
      <c r="SAJ99" s="46"/>
      <c r="SAK99" s="46"/>
      <c r="SAL99" s="46"/>
      <c r="SAM99" s="46"/>
      <c r="SAN99" s="46"/>
      <c r="SAO99" s="46"/>
      <c r="SAP99" s="46"/>
      <c r="SAQ99" s="46"/>
      <c r="SAR99" s="46"/>
      <c r="SAS99" s="46"/>
      <c r="SAT99" s="46"/>
      <c r="SAU99" s="46"/>
      <c r="SAV99" s="46"/>
      <c r="SAW99" s="46"/>
      <c r="SAX99" s="46"/>
      <c r="SAY99" s="46"/>
      <c r="SAZ99" s="46"/>
      <c r="SBA99" s="46"/>
      <c r="SBB99" s="46"/>
      <c r="SBC99" s="46"/>
      <c r="SBD99" s="46"/>
      <c r="SBE99" s="46"/>
      <c r="SBF99" s="46"/>
      <c r="SBG99" s="46"/>
      <c r="SBH99" s="46"/>
      <c r="SBI99" s="46"/>
      <c r="SBJ99" s="46"/>
      <c r="SBK99" s="46"/>
      <c r="SBL99" s="46"/>
      <c r="SBM99" s="46"/>
      <c r="SBN99" s="46"/>
      <c r="SBO99" s="46"/>
      <c r="SBP99" s="46"/>
      <c r="SBQ99" s="46"/>
      <c r="SBR99" s="46"/>
      <c r="SBS99" s="46"/>
      <c r="SBT99" s="46"/>
      <c r="SBU99" s="46"/>
      <c r="SBV99" s="46"/>
      <c r="SBW99" s="46"/>
      <c r="SBX99" s="46"/>
      <c r="SBY99" s="46"/>
      <c r="SBZ99" s="46"/>
      <c r="SCA99" s="46"/>
      <c r="SCB99" s="46"/>
      <c r="SCC99" s="46"/>
      <c r="SCD99" s="46"/>
      <c r="SCE99" s="46"/>
      <c r="SCF99" s="46"/>
      <c r="SCG99" s="46"/>
      <c r="SCH99" s="46"/>
      <c r="SCI99" s="46"/>
      <c r="SCJ99" s="46"/>
      <c r="SCK99" s="46"/>
      <c r="SCL99" s="46"/>
      <c r="SCM99" s="46"/>
      <c r="SCN99" s="46"/>
      <c r="SCO99" s="46"/>
      <c r="SCP99" s="46"/>
      <c r="SCQ99" s="46"/>
      <c r="SCR99" s="46"/>
      <c r="SCS99" s="46"/>
      <c r="SCT99" s="46"/>
      <c r="SCU99" s="46"/>
      <c r="SCV99" s="46"/>
      <c r="SCW99" s="46"/>
      <c r="SCX99" s="46"/>
      <c r="SCY99" s="46"/>
      <c r="SCZ99" s="46"/>
      <c r="SDA99" s="46"/>
      <c r="SDB99" s="46"/>
      <c r="SDC99" s="46"/>
      <c r="SDD99" s="46"/>
      <c r="SDE99" s="46"/>
      <c r="SDF99" s="46"/>
      <c r="SDG99" s="46"/>
      <c r="SDH99" s="46"/>
      <c r="SDI99" s="46"/>
      <c r="SDJ99" s="46"/>
      <c r="SDK99" s="46"/>
      <c r="SDL99" s="46"/>
      <c r="SDM99" s="46"/>
      <c r="SDN99" s="46"/>
      <c r="SDO99" s="46"/>
      <c r="SDP99" s="46"/>
      <c r="SDQ99" s="46"/>
      <c r="SDR99" s="46"/>
      <c r="SDS99" s="46"/>
      <c r="SDT99" s="46"/>
      <c r="SDU99" s="46"/>
      <c r="SDV99" s="46"/>
      <c r="SDW99" s="46"/>
      <c r="SDX99" s="46"/>
      <c r="SDY99" s="46"/>
      <c r="SDZ99" s="46"/>
      <c r="SEA99" s="46"/>
      <c r="SEB99" s="46"/>
      <c r="SEC99" s="46"/>
      <c r="SED99" s="46"/>
      <c r="SEE99" s="46"/>
      <c r="SEF99" s="46"/>
      <c r="SEG99" s="46"/>
      <c r="SEH99" s="46"/>
      <c r="SEI99" s="46"/>
      <c r="SEJ99" s="46"/>
      <c r="SEK99" s="46"/>
      <c r="SEL99" s="46"/>
      <c r="SEM99" s="46"/>
      <c r="SEN99" s="46"/>
      <c r="SEO99" s="46"/>
      <c r="SEP99" s="46"/>
      <c r="SEQ99" s="46"/>
      <c r="SER99" s="46"/>
      <c r="SES99" s="46"/>
      <c r="SET99" s="46"/>
      <c r="SEU99" s="46"/>
      <c r="SEV99" s="46"/>
      <c r="SEW99" s="46"/>
      <c r="SEX99" s="46"/>
      <c r="SEY99" s="46"/>
      <c r="SEZ99" s="46"/>
      <c r="SFA99" s="46"/>
      <c r="SFB99" s="46"/>
      <c r="SFC99" s="46"/>
      <c r="SFD99" s="46"/>
      <c r="SFE99" s="46"/>
      <c r="SFF99" s="46"/>
      <c r="SFG99" s="46"/>
      <c r="SFH99" s="46"/>
      <c r="SFI99" s="46"/>
      <c r="SFJ99" s="46"/>
      <c r="SFK99" s="46"/>
      <c r="SFL99" s="46"/>
      <c r="SFM99" s="46"/>
      <c r="SFN99" s="46"/>
      <c r="SFO99" s="46"/>
      <c r="SFP99" s="46"/>
      <c r="SFQ99" s="46"/>
      <c r="SFR99" s="46"/>
      <c r="SFS99" s="46"/>
      <c r="SFT99" s="46"/>
      <c r="SFU99" s="46"/>
      <c r="SFV99" s="46"/>
      <c r="SFW99" s="46"/>
      <c r="SFX99" s="46"/>
      <c r="SFY99" s="46"/>
      <c r="SFZ99" s="46"/>
      <c r="SGA99" s="46"/>
      <c r="SGB99" s="46"/>
      <c r="SGC99" s="46"/>
      <c r="SGD99" s="46"/>
      <c r="SGE99" s="46"/>
      <c r="SGF99" s="46"/>
      <c r="SGG99" s="46"/>
      <c r="SGH99" s="46"/>
      <c r="SGI99" s="46"/>
      <c r="SGJ99" s="46"/>
      <c r="SGK99" s="46"/>
      <c r="SGL99" s="46"/>
      <c r="SGM99" s="46"/>
      <c r="SGN99" s="46"/>
      <c r="SGO99" s="46"/>
      <c r="SGP99" s="46"/>
      <c r="SGQ99" s="46"/>
      <c r="SGR99" s="46"/>
      <c r="SGS99" s="46"/>
      <c r="SGT99" s="46"/>
      <c r="SGU99" s="46"/>
      <c r="SGV99" s="46"/>
      <c r="SGW99" s="46"/>
      <c r="SGX99" s="46"/>
      <c r="SGY99" s="46"/>
      <c r="SGZ99" s="46"/>
      <c r="SHA99" s="46"/>
      <c r="SHB99" s="46"/>
      <c r="SHC99" s="46"/>
      <c r="SHD99" s="46"/>
      <c r="SHE99" s="46"/>
      <c r="SHF99" s="46"/>
      <c r="SHG99" s="46"/>
      <c r="SHH99" s="46"/>
      <c r="SHI99" s="46"/>
      <c r="SHJ99" s="46"/>
      <c r="SHK99" s="46"/>
      <c r="SHL99" s="46"/>
      <c r="SHM99" s="46"/>
      <c r="SHN99" s="46"/>
      <c r="SHO99" s="46"/>
      <c r="SHP99" s="46"/>
      <c r="SHQ99" s="46"/>
      <c r="SHR99" s="46"/>
      <c r="SHS99" s="46"/>
      <c r="SHT99" s="46"/>
      <c r="SHU99" s="46"/>
      <c r="SHV99" s="46"/>
      <c r="SHW99" s="46"/>
      <c r="SHX99" s="46"/>
      <c r="SHY99" s="46"/>
      <c r="SHZ99" s="46"/>
      <c r="SIA99" s="46"/>
      <c r="SIB99" s="46"/>
      <c r="SIC99" s="46"/>
      <c r="SID99" s="46"/>
      <c r="SIE99" s="46"/>
      <c r="SIF99" s="46"/>
      <c r="SIG99" s="46"/>
      <c r="SIH99" s="46"/>
      <c r="SII99" s="46"/>
      <c r="SIJ99" s="46"/>
      <c r="SIK99" s="46"/>
      <c r="SIL99" s="46"/>
      <c r="SIM99" s="46"/>
      <c r="SIN99" s="46"/>
      <c r="SIO99" s="46"/>
      <c r="SIP99" s="46"/>
      <c r="SIQ99" s="46"/>
      <c r="SIR99" s="46"/>
      <c r="SIS99" s="46"/>
      <c r="SIT99" s="46"/>
      <c r="SIU99" s="46"/>
      <c r="SIV99" s="46"/>
      <c r="SIW99" s="46"/>
      <c r="SIX99" s="46"/>
      <c r="SIY99" s="46"/>
      <c r="SIZ99" s="46"/>
      <c r="SJA99" s="46"/>
      <c r="SJB99" s="46"/>
      <c r="SJC99" s="46"/>
      <c r="SJD99" s="46"/>
      <c r="SJE99" s="46"/>
      <c r="SJF99" s="46"/>
      <c r="SJG99" s="46"/>
      <c r="SJH99" s="46"/>
      <c r="SJI99" s="46"/>
      <c r="SJJ99" s="46"/>
      <c r="SJK99" s="46"/>
      <c r="SJL99" s="46"/>
      <c r="SJM99" s="46"/>
      <c r="SJN99" s="46"/>
      <c r="SJO99" s="46"/>
      <c r="SJP99" s="46"/>
      <c r="SJQ99" s="46"/>
      <c r="SJR99" s="46"/>
      <c r="SJS99" s="46"/>
      <c r="SJT99" s="46"/>
      <c r="SJU99" s="46"/>
      <c r="SJV99" s="46"/>
      <c r="SJW99" s="46"/>
      <c r="SJX99" s="46"/>
      <c r="SJY99" s="46"/>
      <c r="SJZ99" s="46"/>
      <c r="SKA99" s="46"/>
      <c r="SKB99" s="46"/>
      <c r="SKC99" s="46"/>
      <c r="SKD99" s="46"/>
      <c r="SKE99" s="46"/>
      <c r="SKF99" s="46"/>
      <c r="SKG99" s="46"/>
      <c r="SKH99" s="46"/>
      <c r="SKI99" s="46"/>
      <c r="SKJ99" s="46"/>
      <c r="SKK99" s="46"/>
      <c r="SKL99" s="46"/>
      <c r="SKM99" s="46"/>
      <c r="SKN99" s="46"/>
      <c r="SKO99" s="46"/>
      <c r="SKP99" s="46"/>
      <c r="SKQ99" s="46"/>
      <c r="SKR99" s="46"/>
      <c r="SKS99" s="46"/>
      <c r="SKT99" s="46"/>
      <c r="SKU99" s="46"/>
      <c r="SKV99" s="46"/>
      <c r="SKW99" s="46"/>
      <c r="SKX99" s="46"/>
      <c r="SKY99" s="46"/>
      <c r="SKZ99" s="46"/>
      <c r="SLA99" s="46"/>
      <c r="SLB99" s="46"/>
      <c r="SLC99" s="46"/>
      <c r="SLD99" s="46"/>
      <c r="SLE99" s="46"/>
      <c r="SLF99" s="46"/>
      <c r="SLG99" s="46"/>
      <c r="SLH99" s="46"/>
      <c r="SLI99" s="46"/>
      <c r="SLJ99" s="46"/>
      <c r="SLK99" s="46"/>
      <c r="SLL99" s="46"/>
      <c r="SLM99" s="46"/>
      <c r="SLN99" s="46"/>
      <c r="SLO99" s="46"/>
      <c r="SLP99" s="46"/>
      <c r="SLQ99" s="46"/>
      <c r="SLR99" s="46"/>
      <c r="SLS99" s="46"/>
      <c r="SLT99" s="46"/>
      <c r="SLU99" s="46"/>
      <c r="SLV99" s="46"/>
      <c r="SLW99" s="46"/>
      <c r="SLX99" s="46"/>
      <c r="SLY99" s="46"/>
      <c r="SLZ99" s="46"/>
      <c r="SMA99" s="46"/>
      <c r="SMB99" s="46"/>
      <c r="SMC99" s="46"/>
      <c r="SMD99" s="46"/>
      <c r="SME99" s="46"/>
      <c r="SMF99" s="46"/>
      <c r="SMG99" s="46"/>
      <c r="SMH99" s="46"/>
      <c r="SMI99" s="46"/>
      <c r="SMJ99" s="46"/>
      <c r="SMK99" s="46"/>
      <c r="SML99" s="46"/>
      <c r="SMM99" s="46"/>
      <c r="SMN99" s="46"/>
      <c r="SMO99" s="46"/>
      <c r="SMP99" s="46"/>
      <c r="SMQ99" s="46"/>
      <c r="SMR99" s="46"/>
      <c r="SMS99" s="46"/>
      <c r="SMT99" s="46"/>
      <c r="SMU99" s="46"/>
      <c r="SMV99" s="46"/>
      <c r="SMW99" s="46"/>
      <c r="SMX99" s="46"/>
      <c r="SMY99" s="46"/>
      <c r="SMZ99" s="46"/>
      <c r="SNA99" s="46"/>
      <c r="SNB99" s="46"/>
      <c r="SNC99" s="46"/>
      <c r="SND99" s="46"/>
      <c r="SNE99" s="46"/>
      <c r="SNF99" s="46"/>
      <c r="SNG99" s="46"/>
      <c r="SNH99" s="46"/>
      <c r="SNI99" s="46"/>
      <c r="SNJ99" s="46"/>
      <c r="SNK99" s="46"/>
      <c r="SNL99" s="46"/>
      <c r="SNM99" s="46"/>
      <c r="SNN99" s="46"/>
      <c r="SNO99" s="46"/>
      <c r="SNP99" s="46"/>
      <c r="SNQ99" s="46"/>
      <c r="SNR99" s="46"/>
      <c r="SNS99" s="46"/>
      <c r="SNT99" s="46"/>
      <c r="SNU99" s="46"/>
      <c r="SNV99" s="46"/>
      <c r="SNW99" s="46"/>
      <c r="SNX99" s="46"/>
      <c r="SNY99" s="46"/>
      <c r="SNZ99" s="46"/>
      <c r="SOA99" s="46"/>
      <c r="SOB99" s="46"/>
      <c r="SOC99" s="46"/>
      <c r="SOD99" s="46"/>
      <c r="SOE99" s="46"/>
      <c r="SOF99" s="46"/>
      <c r="SOG99" s="46"/>
      <c r="SOH99" s="46"/>
      <c r="SOI99" s="46"/>
      <c r="SOJ99" s="46"/>
      <c r="SOK99" s="46"/>
      <c r="SOL99" s="46"/>
      <c r="SOM99" s="46"/>
      <c r="SON99" s="46"/>
      <c r="SOO99" s="46"/>
      <c r="SOP99" s="46"/>
      <c r="SOQ99" s="46"/>
      <c r="SOR99" s="46"/>
      <c r="SOS99" s="46"/>
      <c r="SOT99" s="46"/>
      <c r="SOU99" s="46"/>
      <c r="SOV99" s="46"/>
      <c r="SOW99" s="46"/>
      <c r="SOX99" s="46"/>
      <c r="SOY99" s="46"/>
      <c r="SOZ99" s="46"/>
      <c r="SPA99" s="46"/>
      <c r="SPB99" s="46"/>
      <c r="SPC99" s="46"/>
      <c r="SPD99" s="46"/>
      <c r="SPE99" s="46"/>
      <c r="SPF99" s="46"/>
      <c r="SPG99" s="46"/>
      <c r="SPH99" s="46"/>
      <c r="SPI99" s="46"/>
      <c r="SPJ99" s="46"/>
      <c r="SPK99" s="46"/>
      <c r="SPL99" s="46"/>
      <c r="SPM99" s="46"/>
      <c r="SPN99" s="46"/>
      <c r="SPO99" s="46"/>
      <c r="SPP99" s="46"/>
      <c r="SPQ99" s="46"/>
      <c r="SPR99" s="46"/>
      <c r="SPS99" s="46"/>
      <c r="SPT99" s="46"/>
      <c r="SPU99" s="46"/>
      <c r="SPV99" s="46"/>
      <c r="SPW99" s="46"/>
      <c r="SPX99" s="46"/>
      <c r="SPY99" s="46"/>
      <c r="SPZ99" s="46"/>
      <c r="SQA99" s="46"/>
      <c r="SQB99" s="46"/>
      <c r="SQC99" s="46"/>
      <c r="SQD99" s="46"/>
      <c r="SQE99" s="46"/>
      <c r="SQF99" s="46"/>
      <c r="SQG99" s="46"/>
      <c r="SQH99" s="46"/>
      <c r="SQI99" s="46"/>
      <c r="SQJ99" s="46"/>
      <c r="SQK99" s="46"/>
      <c r="SQL99" s="46"/>
      <c r="SQM99" s="46"/>
      <c r="SQN99" s="46"/>
      <c r="SQO99" s="46"/>
      <c r="SQP99" s="46"/>
      <c r="SQQ99" s="46"/>
      <c r="SQR99" s="46"/>
      <c r="SQS99" s="46"/>
      <c r="SQT99" s="46"/>
      <c r="SQU99" s="46"/>
      <c r="SQV99" s="46"/>
      <c r="SQW99" s="46"/>
      <c r="SQX99" s="46"/>
      <c r="SQY99" s="46"/>
      <c r="SQZ99" s="46"/>
      <c r="SRA99" s="46"/>
      <c r="SRB99" s="46"/>
      <c r="SRC99" s="46"/>
      <c r="SRD99" s="46"/>
      <c r="SRE99" s="46"/>
      <c r="SRF99" s="46"/>
      <c r="SRG99" s="46"/>
      <c r="SRH99" s="46"/>
      <c r="SRI99" s="46"/>
      <c r="SRJ99" s="46"/>
      <c r="SRK99" s="46"/>
      <c r="SRL99" s="46"/>
      <c r="SRM99" s="46"/>
      <c r="SRN99" s="46"/>
      <c r="SRO99" s="46"/>
      <c r="SRP99" s="46"/>
      <c r="SRQ99" s="46"/>
      <c r="SRR99" s="46"/>
      <c r="SRS99" s="46"/>
      <c r="SRT99" s="46"/>
      <c r="SRU99" s="46"/>
      <c r="SRV99" s="46"/>
      <c r="SRW99" s="46"/>
      <c r="SRX99" s="46"/>
      <c r="SRY99" s="46"/>
      <c r="SRZ99" s="46"/>
      <c r="SSA99" s="46"/>
      <c r="SSB99" s="46"/>
      <c r="SSC99" s="46"/>
      <c r="SSD99" s="46"/>
      <c r="SSE99" s="46"/>
      <c r="SSF99" s="46"/>
      <c r="SSG99" s="46"/>
      <c r="SSH99" s="46"/>
      <c r="SSI99" s="46"/>
      <c r="SSJ99" s="46"/>
      <c r="SSK99" s="46"/>
      <c r="SSL99" s="46"/>
      <c r="SSM99" s="46"/>
      <c r="SSN99" s="46"/>
      <c r="SSO99" s="46"/>
      <c r="SSP99" s="46"/>
      <c r="SSQ99" s="46"/>
      <c r="SSR99" s="46"/>
      <c r="SSS99" s="46"/>
      <c r="SST99" s="46"/>
      <c r="SSU99" s="46"/>
      <c r="SSV99" s="46"/>
      <c r="SSW99" s="46"/>
      <c r="SSX99" s="46"/>
      <c r="SSY99" s="46"/>
      <c r="SSZ99" s="46"/>
      <c r="STA99" s="46"/>
      <c r="STB99" s="46"/>
      <c r="STC99" s="46"/>
      <c r="STD99" s="46"/>
      <c r="STE99" s="46"/>
      <c r="STF99" s="46"/>
      <c r="STG99" s="46"/>
      <c r="STH99" s="46"/>
      <c r="STI99" s="46"/>
      <c r="STJ99" s="46"/>
      <c r="STK99" s="46"/>
      <c r="STL99" s="46"/>
      <c r="STM99" s="46"/>
      <c r="STN99" s="46"/>
      <c r="STO99" s="46"/>
      <c r="STP99" s="46"/>
      <c r="STQ99" s="46"/>
      <c r="STR99" s="46"/>
      <c r="STS99" s="46"/>
      <c r="STT99" s="46"/>
      <c r="STU99" s="46"/>
      <c r="STV99" s="46"/>
      <c r="STW99" s="46"/>
      <c r="STX99" s="46"/>
      <c r="STY99" s="46"/>
      <c r="STZ99" s="46"/>
      <c r="SUA99" s="46"/>
      <c r="SUB99" s="46"/>
      <c r="SUC99" s="46"/>
      <c r="SUD99" s="46"/>
      <c r="SUE99" s="46"/>
      <c r="SUF99" s="46"/>
      <c r="SUG99" s="46"/>
      <c r="SUH99" s="46"/>
      <c r="SUI99" s="46"/>
      <c r="SUJ99" s="46"/>
      <c r="SUK99" s="46"/>
      <c r="SUL99" s="46"/>
      <c r="SUM99" s="46"/>
      <c r="SUN99" s="46"/>
      <c r="SUO99" s="46"/>
      <c r="SUP99" s="46"/>
      <c r="SUQ99" s="46"/>
      <c r="SUR99" s="46"/>
      <c r="SUS99" s="46"/>
      <c r="SUT99" s="46"/>
      <c r="SUU99" s="46"/>
      <c r="SUV99" s="46"/>
      <c r="SUW99" s="46"/>
      <c r="SUX99" s="46"/>
      <c r="SUY99" s="46"/>
      <c r="SUZ99" s="46"/>
      <c r="SVA99" s="46"/>
      <c r="SVB99" s="46"/>
      <c r="SVC99" s="46"/>
      <c r="SVD99" s="46"/>
      <c r="SVE99" s="46"/>
      <c r="SVF99" s="46"/>
      <c r="SVG99" s="46"/>
      <c r="SVH99" s="46"/>
      <c r="SVI99" s="46"/>
      <c r="SVJ99" s="46"/>
      <c r="SVK99" s="46"/>
      <c r="SVL99" s="46"/>
      <c r="SVM99" s="46"/>
      <c r="SVN99" s="46"/>
      <c r="SVO99" s="46"/>
      <c r="SVP99" s="46"/>
      <c r="SVQ99" s="46"/>
      <c r="SVR99" s="46"/>
      <c r="SVS99" s="46"/>
      <c r="SVT99" s="46"/>
      <c r="SVU99" s="46"/>
      <c r="SVV99" s="46"/>
      <c r="SVW99" s="46"/>
      <c r="SVX99" s="46"/>
      <c r="SVY99" s="46"/>
      <c r="SVZ99" s="46"/>
      <c r="SWA99" s="46"/>
      <c r="SWB99" s="46"/>
      <c r="SWC99" s="46"/>
      <c r="SWD99" s="46"/>
      <c r="SWE99" s="46"/>
      <c r="SWF99" s="46"/>
      <c r="SWG99" s="46"/>
      <c r="SWH99" s="46"/>
      <c r="SWI99" s="46"/>
      <c r="SWJ99" s="46"/>
      <c r="SWK99" s="46"/>
      <c r="SWL99" s="46"/>
      <c r="SWM99" s="46"/>
      <c r="SWN99" s="46"/>
      <c r="SWO99" s="46"/>
      <c r="SWP99" s="46"/>
      <c r="SWQ99" s="46"/>
      <c r="SWR99" s="46"/>
      <c r="SWS99" s="46"/>
      <c r="SWT99" s="46"/>
      <c r="SWU99" s="46"/>
      <c r="SWV99" s="46"/>
      <c r="SWW99" s="46"/>
      <c r="SWX99" s="46"/>
      <c r="SWY99" s="46"/>
      <c r="SWZ99" s="46"/>
      <c r="SXA99" s="46"/>
      <c r="SXB99" s="46"/>
      <c r="SXC99" s="46"/>
      <c r="SXD99" s="46"/>
      <c r="SXE99" s="46"/>
      <c r="SXF99" s="46"/>
      <c r="SXG99" s="46"/>
      <c r="SXH99" s="46"/>
      <c r="SXI99" s="46"/>
      <c r="SXJ99" s="46"/>
      <c r="SXK99" s="46"/>
      <c r="SXL99" s="46"/>
      <c r="SXM99" s="46"/>
      <c r="SXN99" s="46"/>
      <c r="SXO99" s="46"/>
      <c r="SXP99" s="46"/>
      <c r="SXQ99" s="46"/>
      <c r="SXR99" s="46"/>
      <c r="SXS99" s="46"/>
      <c r="SXT99" s="46"/>
      <c r="SXU99" s="46"/>
      <c r="SXV99" s="46"/>
      <c r="SXW99" s="46"/>
      <c r="SXX99" s="46"/>
      <c r="SXY99" s="46"/>
      <c r="SXZ99" s="46"/>
      <c r="SYA99" s="46"/>
      <c r="SYB99" s="46"/>
      <c r="SYC99" s="46"/>
      <c r="SYD99" s="46"/>
      <c r="SYE99" s="46"/>
      <c r="SYF99" s="46"/>
      <c r="SYG99" s="46"/>
      <c r="SYH99" s="46"/>
      <c r="SYI99" s="46"/>
      <c r="SYJ99" s="46"/>
      <c r="SYK99" s="46"/>
      <c r="SYL99" s="46"/>
      <c r="SYM99" s="46"/>
      <c r="SYN99" s="46"/>
      <c r="SYO99" s="46"/>
      <c r="SYP99" s="46"/>
      <c r="SYQ99" s="46"/>
      <c r="SYR99" s="46"/>
      <c r="SYS99" s="46"/>
      <c r="SYT99" s="46"/>
      <c r="SYU99" s="46"/>
      <c r="SYV99" s="46"/>
      <c r="SYW99" s="46"/>
      <c r="SYX99" s="46"/>
      <c r="SYY99" s="46"/>
      <c r="SYZ99" s="46"/>
      <c r="SZA99" s="46"/>
      <c r="SZB99" s="46"/>
      <c r="SZC99" s="46"/>
      <c r="SZD99" s="46"/>
      <c r="SZE99" s="46"/>
      <c r="SZF99" s="46"/>
      <c r="SZG99" s="46"/>
      <c r="SZH99" s="46"/>
      <c r="SZI99" s="46"/>
      <c r="SZJ99" s="46"/>
      <c r="SZK99" s="46"/>
      <c r="SZL99" s="46"/>
      <c r="SZM99" s="46"/>
      <c r="SZN99" s="46"/>
      <c r="SZO99" s="46"/>
      <c r="SZP99" s="46"/>
      <c r="SZQ99" s="46"/>
      <c r="SZR99" s="46"/>
      <c r="SZS99" s="46"/>
      <c r="SZT99" s="46"/>
      <c r="SZU99" s="46"/>
      <c r="SZV99" s="46"/>
      <c r="SZW99" s="46"/>
      <c r="SZX99" s="46"/>
      <c r="SZY99" s="46"/>
      <c r="SZZ99" s="46"/>
      <c r="TAA99" s="46"/>
      <c r="TAB99" s="46"/>
      <c r="TAC99" s="46"/>
      <c r="TAD99" s="46"/>
      <c r="TAE99" s="46"/>
      <c r="TAF99" s="46"/>
      <c r="TAG99" s="46"/>
      <c r="TAH99" s="46"/>
      <c r="TAI99" s="46"/>
      <c r="TAJ99" s="46"/>
      <c r="TAK99" s="46"/>
      <c r="TAL99" s="46"/>
      <c r="TAM99" s="46"/>
      <c r="TAN99" s="46"/>
      <c r="TAO99" s="46"/>
      <c r="TAP99" s="46"/>
      <c r="TAQ99" s="46"/>
      <c r="TAR99" s="46"/>
      <c r="TAS99" s="46"/>
      <c r="TAT99" s="46"/>
      <c r="TAU99" s="46"/>
      <c r="TAV99" s="46"/>
      <c r="TAW99" s="46"/>
      <c r="TAX99" s="46"/>
      <c r="TAY99" s="46"/>
      <c r="TAZ99" s="46"/>
      <c r="TBA99" s="46"/>
      <c r="TBB99" s="46"/>
      <c r="TBC99" s="46"/>
      <c r="TBD99" s="46"/>
      <c r="TBE99" s="46"/>
      <c r="TBF99" s="46"/>
      <c r="TBG99" s="46"/>
      <c r="TBH99" s="46"/>
      <c r="TBI99" s="46"/>
      <c r="TBJ99" s="46"/>
      <c r="TBK99" s="46"/>
      <c r="TBL99" s="46"/>
      <c r="TBM99" s="46"/>
      <c r="TBN99" s="46"/>
      <c r="TBO99" s="46"/>
      <c r="TBP99" s="46"/>
      <c r="TBQ99" s="46"/>
      <c r="TBR99" s="46"/>
      <c r="TBS99" s="46"/>
      <c r="TBT99" s="46"/>
      <c r="TBU99" s="46"/>
      <c r="TBV99" s="46"/>
      <c r="TBW99" s="46"/>
      <c r="TBX99" s="46"/>
      <c r="TBY99" s="46"/>
      <c r="TBZ99" s="46"/>
      <c r="TCA99" s="46"/>
      <c r="TCB99" s="46"/>
      <c r="TCC99" s="46"/>
      <c r="TCD99" s="46"/>
      <c r="TCE99" s="46"/>
      <c r="TCF99" s="46"/>
      <c r="TCG99" s="46"/>
      <c r="TCH99" s="46"/>
      <c r="TCI99" s="46"/>
      <c r="TCJ99" s="46"/>
      <c r="TCK99" s="46"/>
      <c r="TCL99" s="46"/>
      <c r="TCM99" s="46"/>
      <c r="TCN99" s="46"/>
      <c r="TCO99" s="46"/>
      <c r="TCP99" s="46"/>
      <c r="TCQ99" s="46"/>
      <c r="TCR99" s="46"/>
      <c r="TCS99" s="46"/>
      <c r="TCT99" s="46"/>
      <c r="TCU99" s="46"/>
      <c r="TCV99" s="46"/>
      <c r="TCW99" s="46"/>
      <c r="TCX99" s="46"/>
      <c r="TCY99" s="46"/>
      <c r="TCZ99" s="46"/>
      <c r="TDA99" s="46"/>
      <c r="TDB99" s="46"/>
      <c r="TDC99" s="46"/>
      <c r="TDD99" s="46"/>
      <c r="TDE99" s="46"/>
      <c r="TDF99" s="46"/>
      <c r="TDG99" s="46"/>
      <c r="TDH99" s="46"/>
      <c r="TDI99" s="46"/>
      <c r="TDJ99" s="46"/>
      <c r="TDK99" s="46"/>
      <c r="TDL99" s="46"/>
      <c r="TDM99" s="46"/>
      <c r="TDN99" s="46"/>
      <c r="TDO99" s="46"/>
      <c r="TDP99" s="46"/>
      <c r="TDQ99" s="46"/>
      <c r="TDR99" s="46"/>
      <c r="TDS99" s="46"/>
      <c r="TDT99" s="46"/>
      <c r="TDU99" s="46"/>
      <c r="TDV99" s="46"/>
      <c r="TDW99" s="46"/>
      <c r="TDX99" s="46"/>
      <c r="TDY99" s="46"/>
      <c r="TDZ99" s="46"/>
      <c r="TEA99" s="46"/>
      <c r="TEB99" s="46"/>
      <c r="TEC99" s="46"/>
      <c r="TED99" s="46"/>
      <c r="TEE99" s="46"/>
      <c r="TEF99" s="46"/>
      <c r="TEG99" s="46"/>
      <c r="TEH99" s="46"/>
      <c r="TEI99" s="46"/>
      <c r="TEJ99" s="46"/>
      <c r="TEK99" s="46"/>
      <c r="TEL99" s="46"/>
      <c r="TEM99" s="46"/>
      <c r="TEN99" s="46"/>
      <c r="TEO99" s="46"/>
      <c r="TEP99" s="46"/>
      <c r="TEQ99" s="46"/>
      <c r="TER99" s="46"/>
      <c r="TES99" s="46"/>
      <c r="TET99" s="46"/>
      <c r="TEU99" s="46"/>
      <c r="TEV99" s="46"/>
      <c r="TEW99" s="46"/>
      <c r="TEX99" s="46"/>
      <c r="TEY99" s="46"/>
      <c r="TEZ99" s="46"/>
      <c r="TFA99" s="46"/>
      <c r="TFB99" s="46"/>
      <c r="TFC99" s="46"/>
      <c r="TFD99" s="46"/>
      <c r="TFE99" s="46"/>
      <c r="TFF99" s="46"/>
      <c r="TFG99" s="46"/>
      <c r="TFH99" s="46"/>
      <c r="TFI99" s="46"/>
      <c r="TFJ99" s="46"/>
      <c r="TFK99" s="46"/>
      <c r="TFL99" s="46"/>
      <c r="TFM99" s="46"/>
      <c r="TFN99" s="46"/>
      <c r="TFO99" s="46"/>
      <c r="TFP99" s="46"/>
      <c r="TFQ99" s="46"/>
      <c r="TFR99" s="46"/>
      <c r="TFS99" s="46"/>
      <c r="TFT99" s="46"/>
      <c r="TFU99" s="46"/>
      <c r="TFV99" s="46"/>
      <c r="TFW99" s="46"/>
      <c r="TFX99" s="46"/>
      <c r="TFY99" s="46"/>
      <c r="TFZ99" s="46"/>
      <c r="TGA99" s="46"/>
      <c r="TGB99" s="46"/>
      <c r="TGC99" s="46"/>
      <c r="TGD99" s="46"/>
      <c r="TGE99" s="46"/>
      <c r="TGF99" s="46"/>
      <c r="TGG99" s="46"/>
      <c r="TGH99" s="46"/>
      <c r="TGI99" s="46"/>
      <c r="TGJ99" s="46"/>
      <c r="TGK99" s="46"/>
      <c r="TGL99" s="46"/>
      <c r="TGM99" s="46"/>
      <c r="TGN99" s="46"/>
      <c r="TGO99" s="46"/>
      <c r="TGP99" s="46"/>
      <c r="TGQ99" s="46"/>
      <c r="TGR99" s="46"/>
      <c r="TGS99" s="46"/>
      <c r="TGT99" s="46"/>
      <c r="TGU99" s="46"/>
      <c r="TGV99" s="46"/>
      <c r="TGW99" s="46"/>
      <c r="TGX99" s="46"/>
      <c r="TGY99" s="46"/>
      <c r="TGZ99" s="46"/>
      <c r="THA99" s="46"/>
      <c r="THB99" s="46"/>
      <c r="THC99" s="46"/>
      <c r="THD99" s="46"/>
      <c r="THE99" s="46"/>
      <c r="THF99" s="46"/>
      <c r="THG99" s="46"/>
      <c r="THH99" s="46"/>
      <c r="THI99" s="46"/>
      <c r="THJ99" s="46"/>
      <c r="THK99" s="46"/>
      <c r="THL99" s="46"/>
      <c r="THM99" s="46"/>
      <c r="THN99" s="46"/>
      <c r="THO99" s="46"/>
      <c r="THP99" s="46"/>
      <c r="THQ99" s="46"/>
      <c r="THR99" s="46"/>
      <c r="THS99" s="46"/>
      <c r="THT99" s="46"/>
      <c r="THU99" s="46"/>
      <c r="THV99" s="46"/>
      <c r="THW99" s="46"/>
      <c r="THX99" s="46"/>
      <c r="THY99" s="46"/>
      <c r="THZ99" s="46"/>
      <c r="TIA99" s="46"/>
      <c r="TIB99" s="46"/>
      <c r="TIC99" s="46"/>
      <c r="TID99" s="46"/>
      <c r="TIE99" s="46"/>
      <c r="TIF99" s="46"/>
      <c r="TIG99" s="46"/>
      <c r="TIH99" s="46"/>
      <c r="TII99" s="46"/>
      <c r="TIJ99" s="46"/>
      <c r="TIK99" s="46"/>
      <c r="TIL99" s="46"/>
      <c r="TIM99" s="46"/>
      <c r="TIN99" s="46"/>
      <c r="TIO99" s="46"/>
      <c r="TIP99" s="46"/>
      <c r="TIQ99" s="46"/>
      <c r="TIR99" s="46"/>
      <c r="TIS99" s="46"/>
      <c r="TIT99" s="46"/>
      <c r="TIU99" s="46"/>
      <c r="TIV99" s="46"/>
      <c r="TIW99" s="46"/>
      <c r="TIX99" s="46"/>
      <c r="TIY99" s="46"/>
      <c r="TIZ99" s="46"/>
      <c r="TJA99" s="46"/>
      <c r="TJB99" s="46"/>
      <c r="TJC99" s="46"/>
      <c r="TJD99" s="46"/>
      <c r="TJE99" s="46"/>
      <c r="TJF99" s="46"/>
      <c r="TJG99" s="46"/>
      <c r="TJH99" s="46"/>
      <c r="TJI99" s="46"/>
      <c r="TJJ99" s="46"/>
      <c r="TJK99" s="46"/>
      <c r="TJL99" s="46"/>
      <c r="TJM99" s="46"/>
      <c r="TJN99" s="46"/>
      <c r="TJO99" s="46"/>
      <c r="TJP99" s="46"/>
      <c r="TJQ99" s="46"/>
      <c r="TJR99" s="46"/>
      <c r="TJS99" s="46"/>
      <c r="TJT99" s="46"/>
      <c r="TJU99" s="46"/>
      <c r="TJV99" s="46"/>
      <c r="TJW99" s="46"/>
      <c r="TJX99" s="46"/>
      <c r="TJY99" s="46"/>
      <c r="TJZ99" s="46"/>
      <c r="TKA99" s="46"/>
      <c r="TKB99" s="46"/>
      <c r="TKC99" s="46"/>
      <c r="TKD99" s="46"/>
      <c r="TKE99" s="46"/>
      <c r="TKF99" s="46"/>
      <c r="TKG99" s="46"/>
      <c r="TKH99" s="46"/>
      <c r="TKI99" s="46"/>
      <c r="TKJ99" s="46"/>
      <c r="TKK99" s="46"/>
      <c r="TKL99" s="46"/>
      <c r="TKM99" s="46"/>
      <c r="TKN99" s="46"/>
      <c r="TKO99" s="46"/>
      <c r="TKP99" s="46"/>
      <c r="TKQ99" s="46"/>
      <c r="TKR99" s="46"/>
      <c r="TKS99" s="46"/>
      <c r="TKT99" s="46"/>
      <c r="TKU99" s="46"/>
      <c r="TKV99" s="46"/>
      <c r="TKW99" s="46"/>
      <c r="TKX99" s="46"/>
      <c r="TKY99" s="46"/>
      <c r="TKZ99" s="46"/>
      <c r="TLA99" s="46"/>
      <c r="TLB99" s="46"/>
      <c r="TLC99" s="46"/>
      <c r="TLD99" s="46"/>
      <c r="TLE99" s="46"/>
      <c r="TLF99" s="46"/>
      <c r="TLG99" s="46"/>
      <c r="TLH99" s="46"/>
      <c r="TLI99" s="46"/>
      <c r="TLJ99" s="46"/>
      <c r="TLK99" s="46"/>
      <c r="TLL99" s="46"/>
      <c r="TLM99" s="46"/>
      <c r="TLN99" s="46"/>
      <c r="TLO99" s="46"/>
      <c r="TLP99" s="46"/>
      <c r="TLQ99" s="46"/>
      <c r="TLR99" s="46"/>
      <c r="TLS99" s="46"/>
      <c r="TLT99" s="46"/>
      <c r="TLU99" s="46"/>
      <c r="TLV99" s="46"/>
      <c r="TLW99" s="46"/>
      <c r="TLX99" s="46"/>
      <c r="TLY99" s="46"/>
      <c r="TLZ99" s="46"/>
      <c r="TMA99" s="46"/>
      <c r="TMB99" s="46"/>
      <c r="TMC99" s="46"/>
      <c r="TMD99" s="46"/>
      <c r="TME99" s="46"/>
      <c r="TMF99" s="46"/>
      <c r="TMG99" s="46"/>
      <c r="TMH99" s="46"/>
      <c r="TMI99" s="46"/>
      <c r="TMJ99" s="46"/>
      <c r="TMK99" s="46"/>
      <c r="TML99" s="46"/>
      <c r="TMM99" s="46"/>
      <c r="TMN99" s="46"/>
      <c r="TMO99" s="46"/>
      <c r="TMP99" s="46"/>
      <c r="TMQ99" s="46"/>
      <c r="TMR99" s="46"/>
      <c r="TMS99" s="46"/>
      <c r="TMT99" s="46"/>
      <c r="TMU99" s="46"/>
      <c r="TMV99" s="46"/>
      <c r="TMW99" s="46"/>
      <c r="TMX99" s="46"/>
      <c r="TMY99" s="46"/>
      <c r="TMZ99" s="46"/>
      <c r="TNA99" s="46"/>
      <c r="TNB99" s="46"/>
      <c r="TNC99" s="46"/>
      <c r="TND99" s="46"/>
      <c r="TNE99" s="46"/>
      <c r="TNF99" s="46"/>
      <c r="TNG99" s="46"/>
      <c r="TNH99" s="46"/>
      <c r="TNI99" s="46"/>
      <c r="TNJ99" s="46"/>
      <c r="TNK99" s="46"/>
      <c r="TNL99" s="46"/>
      <c r="TNM99" s="46"/>
      <c r="TNN99" s="46"/>
      <c r="TNO99" s="46"/>
      <c r="TNP99" s="46"/>
      <c r="TNQ99" s="46"/>
      <c r="TNR99" s="46"/>
      <c r="TNS99" s="46"/>
      <c r="TNT99" s="46"/>
      <c r="TNU99" s="46"/>
      <c r="TNV99" s="46"/>
      <c r="TNW99" s="46"/>
      <c r="TNX99" s="46"/>
      <c r="TNY99" s="46"/>
      <c r="TNZ99" s="46"/>
      <c r="TOA99" s="46"/>
      <c r="TOB99" s="46"/>
      <c r="TOC99" s="46"/>
      <c r="TOD99" s="46"/>
      <c r="TOE99" s="46"/>
      <c r="TOF99" s="46"/>
      <c r="TOG99" s="46"/>
      <c r="TOH99" s="46"/>
      <c r="TOI99" s="46"/>
      <c r="TOJ99" s="46"/>
      <c r="TOK99" s="46"/>
      <c r="TOL99" s="46"/>
      <c r="TOM99" s="46"/>
      <c r="TON99" s="46"/>
      <c r="TOO99" s="46"/>
      <c r="TOP99" s="46"/>
      <c r="TOQ99" s="46"/>
      <c r="TOR99" s="46"/>
      <c r="TOS99" s="46"/>
      <c r="TOT99" s="46"/>
      <c r="TOU99" s="46"/>
      <c r="TOV99" s="46"/>
      <c r="TOW99" s="46"/>
      <c r="TOX99" s="46"/>
      <c r="TOY99" s="46"/>
      <c r="TOZ99" s="46"/>
      <c r="TPA99" s="46"/>
      <c r="TPB99" s="46"/>
      <c r="TPC99" s="46"/>
      <c r="TPD99" s="46"/>
      <c r="TPE99" s="46"/>
      <c r="TPF99" s="46"/>
      <c r="TPG99" s="46"/>
      <c r="TPH99" s="46"/>
      <c r="TPI99" s="46"/>
      <c r="TPJ99" s="46"/>
      <c r="TPK99" s="46"/>
      <c r="TPL99" s="46"/>
      <c r="TPM99" s="46"/>
      <c r="TPN99" s="46"/>
      <c r="TPO99" s="46"/>
      <c r="TPP99" s="46"/>
      <c r="TPQ99" s="46"/>
      <c r="TPR99" s="46"/>
      <c r="TPS99" s="46"/>
      <c r="TPT99" s="46"/>
      <c r="TPU99" s="46"/>
      <c r="TPV99" s="46"/>
      <c r="TPW99" s="46"/>
      <c r="TPX99" s="46"/>
      <c r="TPY99" s="46"/>
      <c r="TPZ99" s="46"/>
      <c r="TQA99" s="46"/>
      <c r="TQB99" s="46"/>
      <c r="TQC99" s="46"/>
      <c r="TQD99" s="46"/>
      <c r="TQE99" s="46"/>
      <c r="TQF99" s="46"/>
      <c r="TQG99" s="46"/>
      <c r="TQH99" s="46"/>
      <c r="TQI99" s="46"/>
      <c r="TQJ99" s="46"/>
      <c r="TQK99" s="46"/>
      <c r="TQL99" s="46"/>
      <c r="TQM99" s="46"/>
      <c r="TQN99" s="46"/>
      <c r="TQO99" s="46"/>
      <c r="TQP99" s="46"/>
      <c r="TQQ99" s="46"/>
      <c r="TQR99" s="46"/>
      <c r="TQS99" s="46"/>
      <c r="TQT99" s="46"/>
      <c r="TQU99" s="46"/>
      <c r="TQV99" s="46"/>
      <c r="TQW99" s="46"/>
      <c r="TQX99" s="46"/>
      <c r="TQY99" s="46"/>
      <c r="TQZ99" s="46"/>
      <c r="TRA99" s="46"/>
      <c r="TRB99" s="46"/>
      <c r="TRC99" s="46"/>
      <c r="TRD99" s="46"/>
      <c r="TRE99" s="46"/>
      <c r="TRF99" s="46"/>
      <c r="TRG99" s="46"/>
      <c r="TRH99" s="46"/>
      <c r="TRI99" s="46"/>
      <c r="TRJ99" s="46"/>
      <c r="TRK99" s="46"/>
      <c r="TRL99" s="46"/>
      <c r="TRM99" s="46"/>
      <c r="TRN99" s="46"/>
      <c r="TRO99" s="46"/>
      <c r="TRP99" s="46"/>
      <c r="TRQ99" s="46"/>
      <c r="TRR99" s="46"/>
      <c r="TRS99" s="46"/>
      <c r="TRT99" s="46"/>
      <c r="TRU99" s="46"/>
      <c r="TRV99" s="46"/>
      <c r="TRW99" s="46"/>
      <c r="TRX99" s="46"/>
      <c r="TRY99" s="46"/>
      <c r="TRZ99" s="46"/>
      <c r="TSA99" s="46"/>
      <c r="TSB99" s="46"/>
      <c r="TSC99" s="46"/>
      <c r="TSD99" s="46"/>
      <c r="TSE99" s="46"/>
      <c r="TSF99" s="46"/>
      <c r="TSG99" s="46"/>
      <c r="TSH99" s="46"/>
      <c r="TSI99" s="46"/>
      <c r="TSJ99" s="46"/>
      <c r="TSK99" s="46"/>
      <c r="TSL99" s="46"/>
      <c r="TSM99" s="46"/>
      <c r="TSN99" s="46"/>
      <c r="TSO99" s="46"/>
      <c r="TSP99" s="46"/>
      <c r="TSQ99" s="46"/>
      <c r="TSR99" s="46"/>
      <c r="TSS99" s="46"/>
      <c r="TST99" s="46"/>
      <c r="TSU99" s="46"/>
      <c r="TSV99" s="46"/>
      <c r="TSW99" s="46"/>
      <c r="TSX99" s="46"/>
      <c r="TSY99" s="46"/>
      <c r="TSZ99" s="46"/>
      <c r="TTA99" s="46"/>
      <c r="TTB99" s="46"/>
      <c r="TTC99" s="46"/>
      <c r="TTD99" s="46"/>
      <c r="TTE99" s="46"/>
      <c r="TTF99" s="46"/>
      <c r="TTG99" s="46"/>
      <c r="TTH99" s="46"/>
      <c r="TTI99" s="46"/>
      <c r="TTJ99" s="46"/>
      <c r="TTK99" s="46"/>
      <c r="TTL99" s="46"/>
      <c r="TTM99" s="46"/>
      <c r="TTN99" s="46"/>
      <c r="TTO99" s="46"/>
      <c r="TTP99" s="46"/>
      <c r="TTQ99" s="46"/>
      <c r="TTR99" s="46"/>
      <c r="TTS99" s="46"/>
      <c r="TTT99" s="46"/>
      <c r="TTU99" s="46"/>
      <c r="TTV99" s="46"/>
      <c r="TTW99" s="46"/>
      <c r="TTX99" s="46"/>
      <c r="TTY99" s="46"/>
      <c r="TTZ99" s="46"/>
      <c r="TUA99" s="46"/>
      <c r="TUB99" s="46"/>
      <c r="TUC99" s="46"/>
      <c r="TUD99" s="46"/>
      <c r="TUE99" s="46"/>
      <c r="TUF99" s="46"/>
      <c r="TUG99" s="46"/>
      <c r="TUH99" s="46"/>
      <c r="TUI99" s="46"/>
      <c r="TUJ99" s="46"/>
      <c r="TUK99" s="46"/>
      <c r="TUL99" s="46"/>
      <c r="TUM99" s="46"/>
      <c r="TUN99" s="46"/>
      <c r="TUO99" s="46"/>
      <c r="TUP99" s="46"/>
      <c r="TUQ99" s="46"/>
      <c r="TUR99" s="46"/>
      <c r="TUS99" s="46"/>
      <c r="TUT99" s="46"/>
      <c r="TUU99" s="46"/>
      <c r="TUV99" s="46"/>
      <c r="TUW99" s="46"/>
      <c r="TUX99" s="46"/>
      <c r="TUY99" s="46"/>
      <c r="TUZ99" s="46"/>
      <c r="TVA99" s="46"/>
      <c r="TVB99" s="46"/>
      <c r="TVC99" s="46"/>
      <c r="TVD99" s="46"/>
      <c r="TVE99" s="46"/>
      <c r="TVF99" s="46"/>
      <c r="TVG99" s="46"/>
      <c r="TVH99" s="46"/>
      <c r="TVI99" s="46"/>
      <c r="TVJ99" s="46"/>
      <c r="TVK99" s="46"/>
      <c r="TVL99" s="46"/>
      <c r="TVM99" s="46"/>
      <c r="TVN99" s="46"/>
      <c r="TVO99" s="46"/>
      <c r="TVP99" s="46"/>
      <c r="TVQ99" s="46"/>
      <c r="TVR99" s="46"/>
      <c r="TVS99" s="46"/>
      <c r="TVT99" s="46"/>
      <c r="TVU99" s="46"/>
      <c r="TVV99" s="46"/>
      <c r="TVW99" s="46"/>
      <c r="TVX99" s="46"/>
      <c r="TVY99" s="46"/>
      <c r="TVZ99" s="46"/>
      <c r="TWA99" s="46"/>
      <c r="TWB99" s="46"/>
      <c r="TWC99" s="46"/>
      <c r="TWD99" s="46"/>
      <c r="TWE99" s="46"/>
      <c r="TWF99" s="46"/>
      <c r="TWG99" s="46"/>
      <c r="TWH99" s="46"/>
      <c r="TWI99" s="46"/>
      <c r="TWJ99" s="46"/>
      <c r="TWK99" s="46"/>
      <c r="TWL99" s="46"/>
      <c r="TWM99" s="46"/>
      <c r="TWN99" s="46"/>
      <c r="TWO99" s="46"/>
      <c r="TWP99" s="46"/>
      <c r="TWQ99" s="46"/>
      <c r="TWR99" s="46"/>
      <c r="TWS99" s="46"/>
      <c r="TWT99" s="46"/>
      <c r="TWU99" s="46"/>
      <c r="TWV99" s="46"/>
      <c r="TWW99" s="46"/>
      <c r="TWX99" s="46"/>
      <c r="TWY99" s="46"/>
      <c r="TWZ99" s="46"/>
      <c r="TXA99" s="46"/>
      <c r="TXB99" s="46"/>
      <c r="TXC99" s="46"/>
      <c r="TXD99" s="46"/>
      <c r="TXE99" s="46"/>
      <c r="TXF99" s="46"/>
      <c r="TXG99" s="46"/>
      <c r="TXH99" s="46"/>
      <c r="TXI99" s="46"/>
      <c r="TXJ99" s="46"/>
      <c r="TXK99" s="46"/>
      <c r="TXL99" s="46"/>
      <c r="TXM99" s="46"/>
      <c r="TXN99" s="46"/>
      <c r="TXO99" s="46"/>
      <c r="TXP99" s="46"/>
      <c r="TXQ99" s="46"/>
      <c r="TXR99" s="46"/>
      <c r="TXS99" s="46"/>
      <c r="TXT99" s="46"/>
      <c r="TXU99" s="46"/>
      <c r="TXV99" s="46"/>
      <c r="TXW99" s="46"/>
      <c r="TXX99" s="46"/>
      <c r="TXY99" s="46"/>
      <c r="TXZ99" s="46"/>
      <c r="TYA99" s="46"/>
      <c r="TYB99" s="46"/>
      <c r="TYC99" s="46"/>
      <c r="TYD99" s="46"/>
      <c r="TYE99" s="46"/>
      <c r="TYF99" s="46"/>
      <c r="TYG99" s="46"/>
      <c r="TYH99" s="46"/>
      <c r="TYI99" s="46"/>
      <c r="TYJ99" s="46"/>
      <c r="TYK99" s="46"/>
      <c r="TYL99" s="46"/>
      <c r="TYM99" s="46"/>
      <c r="TYN99" s="46"/>
      <c r="TYO99" s="46"/>
      <c r="TYP99" s="46"/>
      <c r="TYQ99" s="46"/>
      <c r="TYR99" s="46"/>
      <c r="TYS99" s="46"/>
      <c r="TYT99" s="46"/>
      <c r="TYU99" s="46"/>
      <c r="TYV99" s="46"/>
      <c r="TYW99" s="46"/>
      <c r="TYX99" s="46"/>
      <c r="TYY99" s="46"/>
      <c r="TYZ99" s="46"/>
      <c r="TZA99" s="46"/>
      <c r="TZB99" s="46"/>
      <c r="TZC99" s="46"/>
      <c r="TZD99" s="46"/>
      <c r="TZE99" s="46"/>
      <c r="TZF99" s="46"/>
      <c r="TZG99" s="46"/>
      <c r="TZH99" s="46"/>
      <c r="TZI99" s="46"/>
      <c r="TZJ99" s="46"/>
      <c r="TZK99" s="46"/>
      <c r="TZL99" s="46"/>
      <c r="TZM99" s="46"/>
      <c r="TZN99" s="46"/>
      <c r="TZO99" s="46"/>
      <c r="TZP99" s="46"/>
      <c r="TZQ99" s="46"/>
      <c r="TZR99" s="46"/>
      <c r="TZS99" s="46"/>
      <c r="TZT99" s="46"/>
      <c r="TZU99" s="46"/>
      <c r="TZV99" s="46"/>
      <c r="TZW99" s="46"/>
      <c r="TZX99" s="46"/>
      <c r="TZY99" s="46"/>
      <c r="TZZ99" s="46"/>
      <c r="UAA99" s="46"/>
      <c r="UAB99" s="46"/>
      <c r="UAC99" s="46"/>
      <c r="UAD99" s="46"/>
      <c r="UAE99" s="46"/>
      <c r="UAF99" s="46"/>
      <c r="UAG99" s="46"/>
      <c r="UAH99" s="46"/>
      <c r="UAI99" s="46"/>
      <c r="UAJ99" s="46"/>
      <c r="UAK99" s="46"/>
      <c r="UAL99" s="46"/>
      <c r="UAM99" s="46"/>
      <c r="UAN99" s="46"/>
      <c r="UAO99" s="46"/>
      <c r="UAP99" s="46"/>
      <c r="UAQ99" s="46"/>
      <c r="UAR99" s="46"/>
      <c r="UAS99" s="46"/>
      <c r="UAT99" s="46"/>
      <c r="UAU99" s="46"/>
      <c r="UAV99" s="46"/>
      <c r="UAW99" s="46"/>
      <c r="UAX99" s="46"/>
      <c r="UAY99" s="46"/>
      <c r="UAZ99" s="46"/>
      <c r="UBA99" s="46"/>
      <c r="UBB99" s="46"/>
      <c r="UBC99" s="46"/>
      <c r="UBD99" s="46"/>
      <c r="UBE99" s="46"/>
      <c r="UBF99" s="46"/>
      <c r="UBG99" s="46"/>
      <c r="UBH99" s="46"/>
      <c r="UBI99" s="46"/>
      <c r="UBJ99" s="46"/>
      <c r="UBK99" s="46"/>
      <c r="UBL99" s="46"/>
      <c r="UBM99" s="46"/>
      <c r="UBN99" s="46"/>
      <c r="UBO99" s="46"/>
      <c r="UBP99" s="46"/>
      <c r="UBQ99" s="46"/>
      <c r="UBR99" s="46"/>
      <c r="UBS99" s="46"/>
      <c r="UBT99" s="46"/>
      <c r="UBU99" s="46"/>
      <c r="UBV99" s="46"/>
      <c r="UBW99" s="46"/>
      <c r="UBX99" s="46"/>
      <c r="UBY99" s="46"/>
      <c r="UBZ99" s="46"/>
      <c r="UCA99" s="46"/>
      <c r="UCB99" s="46"/>
      <c r="UCC99" s="46"/>
      <c r="UCD99" s="46"/>
      <c r="UCE99" s="46"/>
      <c r="UCF99" s="46"/>
      <c r="UCG99" s="46"/>
      <c r="UCH99" s="46"/>
      <c r="UCI99" s="46"/>
      <c r="UCJ99" s="46"/>
      <c r="UCK99" s="46"/>
      <c r="UCL99" s="46"/>
      <c r="UCM99" s="46"/>
      <c r="UCN99" s="46"/>
      <c r="UCO99" s="46"/>
      <c r="UCP99" s="46"/>
      <c r="UCQ99" s="46"/>
      <c r="UCR99" s="46"/>
      <c r="UCS99" s="46"/>
      <c r="UCT99" s="46"/>
      <c r="UCU99" s="46"/>
      <c r="UCV99" s="46"/>
      <c r="UCW99" s="46"/>
      <c r="UCX99" s="46"/>
      <c r="UCY99" s="46"/>
      <c r="UCZ99" s="46"/>
      <c r="UDA99" s="46"/>
      <c r="UDB99" s="46"/>
      <c r="UDC99" s="46"/>
      <c r="UDD99" s="46"/>
      <c r="UDE99" s="46"/>
      <c r="UDF99" s="46"/>
      <c r="UDG99" s="46"/>
      <c r="UDH99" s="46"/>
      <c r="UDI99" s="46"/>
      <c r="UDJ99" s="46"/>
      <c r="UDK99" s="46"/>
      <c r="UDL99" s="46"/>
      <c r="UDM99" s="46"/>
      <c r="UDN99" s="46"/>
      <c r="UDO99" s="46"/>
      <c r="UDP99" s="46"/>
      <c r="UDQ99" s="46"/>
      <c r="UDR99" s="46"/>
      <c r="UDS99" s="46"/>
      <c r="UDT99" s="46"/>
      <c r="UDU99" s="46"/>
      <c r="UDV99" s="46"/>
      <c r="UDW99" s="46"/>
      <c r="UDX99" s="46"/>
      <c r="UDY99" s="46"/>
      <c r="UDZ99" s="46"/>
      <c r="UEA99" s="46"/>
      <c r="UEB99" s="46"/>
      <c r="UEC99" s="46"/>
      <c r="UED99" s="46"/>
      <c r="UEE99" s="46"/>
      <c r="UEF99" s="46"/>
      <c r="UEG99" s="46"/>
      <c r="UEH99" s="46"/>
      <c r="UEI99" s="46"/>
      <c r="UEJ99" s="46"/>
      <c r="UEK99" s="46"/>
      <c r="UEL99" s="46"/>
      <c r="UEM99" s="46"/>
      <c r="UEN99" s="46"/>
      <c r="UEO99" s="46"/>
      <c r="UEP99" s="46"/>
      <c r="UEQ99" s="46"/>
      <c r="UER99" s="46"/>
      <c r="UES99" s="46"/>
      <c r="UET99" s="46"/>
      <c r="UEU99" s="46"/>
      <c r="UEV99" s="46"/>
      <c r="UEW99" s="46"/>
      <c r="UEX99" s="46"/>
      <c r="UEY99" s="46"/>
      <c r="UEZ99" s="46"/>
      <c r="UFA99" s="46"/>
      <c r="UFB99" s="46"/>
      <c r="UFC99" s="46"/>
      <c r="UFD99" s="46"/>
      <c r="UFE99" s="46"/>
      <c r="UFF99" s="46"/>
      <c r="UFG99" s="46"/>
      <c r="UFH99" s="46"/>
      <c r="UFI99" s="46"/>
      <c r="UFJ99" s="46"/>
      <c r="UFK99" s="46"/>
      <c r="UFL99" s="46"/>
      <c r="UFM99" s="46"/>
      <c r="UFN99" s="46"/>
      <c r="UFO99" s="46"/>
      <c r="UFP99" s="46"/>
      <c r="UFQ99" s="46"/>
      <c r="UFR99" s="46"/>
      <c r="UFS99" s="46"/>
      <c r="UFT99" s="46"/>
      <c r="UFU99" s="46"/>
      <c r="UFV99" s="46"/>
      <c r="UFW99" s="46"/>
      <c r="UFX99" s="46"/>
      <c r="UFY99" s="46"/>
      <c r="UFZ99" s="46"/>
      <c r="UGA99" s="46"/>
      <c r="UGB99" s="46"/>
      <c r="UGC99" s="46"/>
      <c r="UGD99" s="46"/>
      <c r="UGE99" s="46"/>
      <c r="UGF99" s="46"/>
      <c r="UGG99" s="46"/>
      <c r="UGH99" s="46"/>
      <c r="UGI99" s="46"/>
      <c r="UGJ99" s="46"/>
      <c r="UGK99" s="46"/>
      <c r="UGL99" s="46"/>
      <c r="UGM99" s="46"/>
      <c r="UGN99" s="46"/>
      <c r="UGO99" s="46"/>
      <c r="UGP99" s="46"/>
      <c r="UGQ99" s="46"/>
      <c r="UGR99" s="46"/>
      <c r="UGS99" s="46"/>
      <c r="UGT99" s="46"/>
      <c r="UGU99" s="46"/>
      <c r="UGV99" s="46"/>
      <c r="UGW99" s="46"/>
      <c r="UGX99" s="46"/>
      <c r="UGY99" s="46"/>
      <c r="UGZ99" s="46"/>
      <c r="UHA99" s="46"/>
      <c r="UHB99" s="46"/>
      <c r="UHC99" s="46"/>
      <c r="UHD99" s="46"/>
      <c r="UHE99" s="46"/>
      <c r="UHF99" s="46"/>
      <c r="UHG99" s="46"/>
      <c r="UHH99" s="46"/>
      <c r="UHI99" s="46"/>
      <c r="UHJ99" s="46"/>
      <c r="UHK99" s="46"/>
      <c r="UHL99" s="46"/>
      <c r="UHM99" s="46"/>
      <c r="UHN99" s="46"/>
      <c r="UHO99" s="46"/>
      <c r="UHP99" s="46"/>
      <c r="UHQ99" s="46"/>
      <c r="UHR99" s="46"/>
      <c r="UHS99" s="46"/>
      <c r="UHT99" s="46"/>
      <c r="UHU99" s="46"/>
      <c r="UHV99" s="46"/>
      <c r="UHW99" s="46"/>
      <c r="UHX99" s="46"/>
      <c r="UHY99" s="46"/>
      <c r="UHZ99" s="46"/>
      <c r="UIA99" s="46"/>
      <c r="UIB99" s="46"/>
      <c r="UIC99" s="46"/>
      <c r="UID99" s="46"/>
      <c r="UIE99" s="46"/>
      <c r="UIF99" s="46"/>
      <c r="UIG99" s="46"/>
      <c r="UIH99" s="46"/>
      <c r="UII99" s="46"/>
      <c r="UIJ99" s="46"/>
      <c r="UIK99" s="46"/>
      <c r="UIL99" s="46"/>
      <c r="UIM99" s="46"/>
      <c r="UIN99" s="46"/>
      <c r="UIO99" s="46"/>
      <c r="UIP99" s="46"/>
      <c r="UIQ99" s="46"/>
      <c r="UIR99" s="46"/>
      <c r="UIS99" s="46"/>
      <c r="UIT99" s="46"/>
      <c r="UIU99" s="46"/>
      <c r="UIV99" s="46"/>
      <c r="UIW99" s="46"/>
      <c r="UIX99" s="46"/>
      <c r="UIY99" s="46"/>
      <c r="UIZ99" s="46"/>
      <c r="UJA99" s="46"/>
      <c r="UJB99" s="46"/>
      <c r="UJC99" s="46"/>
      <c r="UJD99" s="46"/>
      <c r="UJE99" s="46"/>
      <c r="UJF99" s="46"/>
      <c r="UJG99" s="46"/>
      <c r="UJH99" s="46"/>
      <c r="UJI99" s="46"/>
      <c r="UJJ99" s="46"/>
      <c r="UJK99" s="46"/>
      <c r="UJL99" s="46"/>
      <c r="UJM99" s="46"/>
      <c r="UJN99" s="46"/>
      <c r="UJO99" s="46"/>
      <c r="UJP99" s="46"/>
      <c r="UJQ99" s="46"/>
      <c r="UJR99" s="46"/>
      <c r="UJS99" s="46"/>
      <c r="UJT99" s="46"/>
      <c r="UJU99" s="46"/>
      <c r="UJV99" s="46"/>
      <c r="UJW99" s="46"/>
      <c r="UJX99" s="46"/>
      <c r="UJY99" s="46"/>
      <c r="UJZ99" s="46"/>
      <c r="UKA99" s="46"/>
      <c r="UKB99" s="46"/>
      <c r="UKC99" s="46"/>
      <c r="UKD99" s="46"/>
      <c r="UKE99" s="46"/>
      <c r="UKF99" s="46"/>
      <c r="UKG99" s="46"/>
      <c r="UKH99" s="46"/>
      <c r="UKI99" s="46"/>
      <c r="UKJ99" s="46"/>
      <c r="UKK99" s="46"/>
      <c r="UKL99" s="46"/>
      <c r="UKM99" s="46"/>
      <c r="UKN99" s="46"/>
      <c r="UKO99" s="46"/>
      <c r="UKP99" s="46"/>
      <c r="UKQ99" s="46"/>
      <c r="UKR99" s="46"/>
      <c r="UKS99" s="46"/>
      <c r="UKT99" s="46"/>
      <c r="UKU99" s="46"/>
      <c r="UKV99" s="46"/>
      <c r="UKW99" s="46"/>
      <c r="UKX99" s="46"/>
      <c r="UKY99" s="46"/>
      <c r="UKZ99" s="46"/>
      <c r="ULA99" s="46"/>
      <c r="ULB99" s="46"/>
      <c r="ULC99" s="46"/>
      <c r="ULD99" s="46"/>
      <c r="ULE99" s="46"/>
      <c r="ULF99" s="46"/>
      <c r="ULG99" s="46"/>
      <c r="ULH99" s="46"/>
      <c r="ULI99" s="46"/>
      <c r="ULJ99" s="46"/>
      <c r="ULK99" s="46"/>
      <c r="ULL99" s="46"/>
      <c r="ULM99" s="46"/>
      <c r="ULN99" s="46"/>
      <c r="ULO99" s="46"/>
      <c r="ULP99" s="46"/>
      <c r="ULQ99" s="46"/>
      <c r="ULR99" s="46"/>
      <c r="ULS99" s="46"/>
      <c r="ULT99" s="46"/>
      <c r="ULU99" s="46"/>
      <c r="ULV99" s="46"/>
      <c r="ULW99" s="46"/>
      <c r="ULX99" s="46"/>
      <c r="ULY99" s="46"/>
      <c r="ULZ99" s="46"/>
      <c r="UMA99" s="46"/>
      <c r="UMB99" s="46"/>
      <c r="UMC99" s="46"/>
      <c r="UMD99" s="46"/>
      <c r="UME99" s="46"/>
      <c r="UMF99" s="46"/>
      <c r="UMG99" s="46"/>
      <c r="UMH99" s="46"/>
      <c r="UMI99" s="46"/>
      <c r="UMJ99" s="46"/>
      <c r="UMK99" s="46"/>
      <c r="UML99" s="46"/>
      <c r="UMM99" s="46"/>
      <c r="UMN99" s="46"/>
      <c r="UMO99" s="46"/>
      <c r="UMP99" s="46"/>
      <c r="UMQ99" s="46"/>
      <c r="UMR99" s="46"/>
      <c r="UMS99" s="46"/>
      <c r="UMT99" s="46"/>
      <c r="UMU99" s="46"/>
      <c r="UMV99" s="46"/>
      <c r="UMW99" s="46"/>
      <c r="UMX99" s="46"/>
      <c r="UMY99" s="46"/>
      <c r="UMZ99" s="46"/>
      <c r="UNA99" s="46"/>
      <c r="UNB99" s="46"/>
      <c r="UNC99" s="46"/>
      <c r="UND99" s="46"/>
      <c r="UNE99" s="46"/>
      <c r="UNF99" s="46"/>
      <c r="UNG99" s="46"/>
      <c r="UNH99" s="46"/>
      <c r="UNI99" s="46"/>
      <c r="UNJ99" s="46"/>
      <c r="UNK99" s="46"/>
      <c r="UNL99" s="46"/>
      <c r="UNM99" s="46"/>
      <c r="UNN99" s="46"/>
      <c r="UNO99" s="46"/>
      <c r="UNP99" s="46"/>
      <c r="UNQ99" s="46"/>
      <c r="UNR99" s="46"/>
      <c r="UNS99" s="46"/>
      <c r="UNT99" s="46"/>
      <c r="UNU99" s="46"/>
      <c r="UNV99" s="46"/>
      <c r="UNW99" s="46"/>
      <c r="UNX99" s="46"/>
      <c r="UNY99" s="46"/>
      <c r="UNZ99" s="46"/>
      <c r="UOA99" s="46"/>
      <c r="UOB99" s="46"/>
      <c r="UOC99" s="46"/>
      <c r="UOD99" s="46"/>
      <c r="UOE99" s="46"/>
      <c r="UOF99" s="46"/>
      <c r="UOG99" s="46"/>
      <c r="UOH99" s="46"/>
      <c r="UOI99" s="46"/>
      <c r="UOJ99" s="46"/>
      <c r="UOK99" s="46"/>
      <c r="UOL99" s="46"/>
      <c r="UOM99" s="46"/>
      <c r="UON99" s="46"/>
      <c r="UOO99" s="46"/>
      <c r="UOP99" s="46"/>
      <c r="UOQ99" s="46"/>
      <c r="UOR99" s="46"/>
      <c r="UOS99" s="46"/>
      <c r="UOT99" s="46"/>
      <c r="UOU99" s="46"/>
      <c r="UOV99" s="46"/>
      <c r="UOW99" s="46"/>
      <c r="UOX99" s="46"/>
      <c r="UOY99" s="46"/>
      <c r="UOZ99" s="46"/>
      <c r="UPA99" s="46"/>
      <c r="UPB99" s="46"/>
      <c r="UPC99" s="46"/>
      <c r="UPD99" s="46"/>
      <c r="UPE99" s="46"/>
      <c r="UPF99" s="46"/>
      <c r="UPG99" s="46"/>
      <c r="UPH99" s="46"/>
      <c r="UPI99" s="46"/>
      <c r="UPJ99" s="46"/>
      <c r="UPK99" s="46"/>
      <c r="UPL99" s="46"/>
      <c r="UPM99" s="46"/>
      <c r="UPN99" s="46"/>
      <c r="UPO99" s="46"/>
      <c r="UPP99" s="46"/>
      <c r="UPQ99" s="46"/>
      <c r="UPR99" s="46"/>
      <c r="UPS99" s="46"/>
      <c r="UPT99" s="46"/>
      <c r="UPU99" s="46"/>
      <c r="UPV99" s="46"/>
      <c r="UPW99" s="46"/>
      <c r="UPX99" s="46"/>
      <c r="UPY99" s="46"/>
      <c r="UPZ99" s="46"/>
      <c r="UQA99" s="46"/>
      <c r="UQB99" s="46"/>
      <c r="UQC99" s="46"/>
      <c r="UQD99" s="46"/>
      <c r="UQE99" s="46"/>
      <c r="UQF99" s="46"/>
      <c r="UQG99" s="46"/>
      <c r="UQH99" s="46"/>
      <c r="UQI99" s="46"/>
      <c r="UQJ99" s="46"/>
      <c r="UQK99" s="46"/>
      <c r="UQL99" s="46"/>
      <c r="UQM99" s="46"/>
      <c r="UQN99" s="46"/>
      <c r="UQO99" s="46"/>
      <c r="UQP99" s="46"/>
      <c r="UQQ99" s="46"/>
      <c r="UQR99" s="46"/>
      <c r="UQS99" s="46"/>
      <c r="UQT99" s="46"/>
      <c r="UQU99" s="46"/>
      <c r="UQV99" s="46"/>
      <c r="UQW99" s="46"/>
      <c r="UQX99" s="46"/>
      <c r="UQY99" s="46"/>
      <c r="UQZ99" s="46"/>
      <c r="URA99" s="46"/>
      <c r="URB99" s="46"/>
      <c r="URC99" s="46"/>
      <c r="URD99" s="46"/>
      <c r="URE99" s="46"/>
      <c r="URF99" s="46"/>
      <c r="URG99" s="46"/>
      <c r="URH99" s="46"/>
      <c r="URI99" s="46"/>
      <c r="URJ99" s="46"/>
      <c r="URK99" s="46"/>
      <c r="URL99" s="46"/>
      <c r="URM99" s="46"/>
      <c r="URN99" s="46"/>
      <c r="URO99" s="46"/>
      <c r="URP99" s="46"/>
      <c r="URQ99" s="46"/>
      <c r="URR99" s="46"/>
      <c r="URS99" s="46"/>
      <c r="URT99" s="46"/>
      <c r="URU99" s="46"/>
      <c r="URV99" s="46"/>
      <c r="URW99" s="46"/>
      <c r="URX99" s="46"/>
      <c r="URY99" s="46"/>
      <c r="URZ99" s="46"/>
      <c r="USA99" s="46"/>
      <c r="USB99" s="46"/>
      <c r="USC99" s="46"/>
      <c r="USD99" s="46"/>
      <c r="USE99" s="46"/>
      <c r="USF99" s="46"/>
      <c r="USG99" s="46"/>
      <c r="USH99" s="46"/>
      <c r="USI99" s="46"/>
      <c r="USJ99" s="46"/>
      <c r="USK99" s="46"/>
      <c r="USL99" s="46"/>
      <c r="USM99" s="46"/>
      <c r="USN99" s="46"/>
      <c r="USO99" s="46"/>
      <c r="USP99" s="46"/>
      <c r="USQ99" s="46"/>
      <c r="USR99" s="46"/>
      <c r="USS99" s="46"/>
      <c r="UST99" s="46"/>
      <c r="USU99" s="46"/>
      <c r="USV99" s="46"/>
      <c r="USW99" s="46"/>
      <c r="USX99" s="46"/>
      <c r="USY99" s="46"/>
      <c r="USZ99" s="46"/>
      <c r="UTA99" s="46"/>
      <c r="UTB99" s="46"/>
      <c r="UTC99" s="46"/>
      <c r="UTD99" s="46"/>
      <c r="UTE99" s="46"/>
      <c r="UTF99" s="46"/>
      <c r="UTG99" s="46"/>
      <c r="UTH99" s="46"/>
      <c r="UTI99" s="46"/>
      <c r="UTJ99" s="46"/>
      <c r="UTK99" s="46"/>
      <c r="UTL99" s="46"/>
      <c r="UTM99" s="46"/>
      <c r="UTN99" s="46"/>
      <c r="UTO99" s="46"/>
      <c r="UTP99" s="46"/>
      <c r="UTQ99" s="46"/>
      <c r="UTR99" s="46"/>
      <c r="UTS99" s="46"/>
      <c r="UTT99" s="46"/>
      <c r="UTU99" s="46"/>
      <c r="UTV99" s="46"/>
      <c r="UTW99" s="46"/>
      <c r="UTX99" s="46"/>
      <c r="UTY99" s="46"/>
      <c r="UTZ99" s="46"/>
      <c r="UUA99" s="46"/>
      <c r="UUB99" s="46"/>
      <c r="UUC99" s="46"/>
      <c r="UUD99" s="46"/>
      <c r="UUE99" s="46"/>
      <c r="UUF99" s="46"/>
      <c r="UUG99" s="46"/>
      <c r="UUH99" s="46"/>
      <c r="UUI99" s="46"/>
      <c r="UUJ99" s="46"/>
      <c r="UUK99" s="46"/>
      <c r="UUL99" s="46"/>
      <c r="UUM99" s="46"/>
      <c r="UUN99" s="46"/>
      <c r="UUO99" s="46"/>
      <c r="UUP99" s="46"/>
      <c r="UUQ99" s="46"/>
      <c r="UUR99" s="46"/>
      <c r="UUS99" s="46"/>
      <c r="UUT99" s="46"/>
      <c r="UUU99" s="46"/>
      <c r="UUV99" s="46"/>
      <c r="UUW99" s="46"/>
      <c r="UUX99" s="46"/>
      <c r="UUY99" s="46"/>
      <c r="UUZ99" s="46"/>
      <c r="UVA99" s="46"/>
      <c r="UVB99" s="46"/>
      <c r="UVC99" s="46"/>
      <c r="UVD99" s="46"/>
      <c r="UVE99" s="46"/>
      <c r="UVF99" s="46"/>
      <c r="UVG99" s="46"/>
      <c r="UVH99" s="46"/>
      <c r="UVI99" s="46"/>
      <c r="UVJ99" s="46"/>
      <c r="UVK99" s="46"/>
      <c r="UVL99" s="46"/>
      <c r="UVM99" s="46"/>
      <c r="UVN99" s="46"/>
      <c r="UVO99" s="46"/>
      <c r="UVP99" s="46"/>
      <c r="UVQ99" s="46"/>
      <c r="UVR99" s="46"/>
      <c r="UVS99" s="46"/>
      <c r="UVT99" s="46"/>
      <c r="UVU99" s="46"/>
      <c r="UVV99" s="46"/>
      <c r="UVW99" s="46"/>
      <c r="UVX99" s="46"/>
      <c r="UVY99" s="46"/>
      <c r="UVZ99" s="46"/>
      <c r="UWA99" s="46"/>
      <c r="UWB99" s="46"/>
      <c r="UWC99" s="46"/>
      <c r="UWD99" s="46"/>
      <c r="UWE99" s="46"/>
      <c r="UWF99" s="46"/>
      <c r="UWG99" s="46"/>
      <c r="UWH99" s="46"/>
      <c r="UWI99" s="46"/>
      <c r="UWJ99" s="46"/>
      <c r="UWK99" s="46"/>
      <c r="UWL99" s="46"/>
      <c r="UWM99" s="46"/>
      <c r="UWN99" s="46"/>
      <c r="UWO99" s="46"/>
      <c r="UWP99" s="46"/>
      <c r="UWQ99" s="46"/>
      <c r="UWR99" s="46"/>
      <c r="UWS99" s="46"/>
      <c r="UWT99" s="46"/>
      <c r="UWU99" s="46"/>
      <c r="UWV99" s="46"/>
      <c r="UWW99" s="46"/>
      <c r="UWX99" s="46"/>
      <c r="UWY99" s="46"/>
      <c r="UWZ99" s="46"/>
      <c r="UXA99" s="46"/>
      <c r="UXB99" s="46"/>
      <c r="UXC99" s="46"/>
      <c r="UXD99" s="46"/>
      <c r="UXE99" s="46"/>
      <c r="UXF99" s="46"/>
      <c r="UXG99" s="46"/>
      <c r="UXH99" s="46"/>
      <c r="UXI99" s="46"/>
      <c r="UXJ99" s="46"/>
      <c r="UXK99" s="46"/>
      <c r="UXL99" s="46"/>
      <c r="UXM99" s="46"/>
      <c r="UXN99" s="46"/>
      <c r="UXO99" s="46"/>
      <c r="UXP99" s="46"/>
      <c r="UXQ99" s="46"/>
      <c r="UXR99" s="46"/>
      <c r="UXS99" s="46"/>
      <c r="UXT99" s="46"/>
      <c r="UXU99" s="46"/>
      <c r="UXV99" s="46"/>
      <c r="UXW99" s="46"/>
      <c r="UXX99" s="46"/>
      <c r="UXY99" s="46"/>
      <c r="UXZ99" s="46"/>
      <c r="UYA99" s="46"/>
      <c r="UYB99" s="46"/>
      <c r="UYC99" s="46"/>
      <c r="UYD99" s="46"/>
      <c r="UYE99" s="46"/>
      <c r="UYF99" s="46"/>
      <c r="UYG99" s="46"/>
      <c r="UYH99" s="46"/>
      <c r="UYI99" s="46"/>
      <c r="UYJ99" s="46"/>
      <c r="UYK99" s="46"/>
      <c r="UYL99" s="46"/>
      <c r="UYM99" s="46"/>
      <c r="UYN99" s="46"/>
      <c r="UYO99" s="46"/>
      <c r="UYP99" s="46"/>
      <c r="UYQ99" s="46"/>
      <c r="UYR99" s="46"/>
      <c r="UYS99" s="46"/>
      <c r="UYT99" s="46"/>
      <c r="UYU99" s="46"/>
      <c r="UYV99" s="46"/>
      <c r="UYW99" s="46"/>
      <c r="UYX99" s="46"/>
      <c r="UYY99" s="46"/>
      <c r="UYZ99" s="46"/>
      <c r="UZA99" s="46"/>
      <c r="UZB99" s="46"/>
      <c r="UZC99" s="46"/>
      <c r="UZD99" s="46"/>
      <c r="UZE99" s="46"/>
      <c r="UZF99" s="46"/>
      <c r="UZG99" s="46"/>
      <c r="UZH99" s="46"/>
      <c r="UZI99" s="46"/>
      <c r="UZJ99" s="46"/>
      <c r="UZK99" s="46"/>
      <c r="UZL99" s="46"/>
      <c r="UZM99" s="46"/>
      <c r="UZN99" s="46"/>
      <c r="UZO99" s="46"/>
      <c r="UZP99" s="46"/>
      <c r="UZQ99" s="46"/>
      <c r="UZR99" s="46"/>
      <c r="UZS99" s="46"/>
      <c r="UZT99" s="46"/>
      <c r="UZU99" s="46"/>
      <c r="UZV99" s="46"/>
      <c r="UZW99" s="46"/>
      <c r="UZX99" s="46"/>
      <c r="UZY99" s="46"/>
      <c r="UZZ99" s="46"/>
      <c r="VAA99" s="46"/>
      <c r="VAB99" s="46"/>
      <c r="VAC99" s="46"/>
      <c r="VAD99" s="46"/>
      <c r="VAE99" s="46"/>
      <c r="VAF99" s="46"/>
      <c r="VAG99" s="46"/>
      <c r="VAH99" s="46"/>
      <c r="VAI99" s="46"/>
      <c r="VAJ99" s="46"/>
      <c r="VAK99" s="46"/>
      <c r="VAL99" s="46"/>
      <c r="VAM99" s="46"/>
      <c r="VAN99" s="46"/>
      <c r="VAO99" s="46"/>
      <c r="VAP99" s="46"/>
      <c r="VAQ99" s="46"/>
      <c r="VAR99" s="46"/>
      <c r="VAS99" s="46"/>
      <c r="VAT99" s="46"/>
      <c r="VAU99" s="46"/>
      <c r="VAV99" s="46"/>
      <c r="VAW99" s="46"/>
      <c r="VAX99" s="46"/>
      <c r="VAY99" s="46"/>
      <c r="VAZ99" s="46"/>
      <c r="VBA99" s="46"/>
      <c r="VBB99" s="46"/>
      <c r="VBC99" s="46"/>
      <c r="VBD99" s="46"/>
      <c r="VBE99" s="46"/>
      <c r="VBF99" s="46"/>
      <c r="VBG99" s="46"/>
      <c r="VBH99" s="46"/>
      <c r="VBI99" s="46"/>
      <c r="VBJ99" s="46"/>
      <c r="VBK99" s="46"/>
      <c r="VBL99" s="46"/>
      <c r="VBM99" s="46"/>
      <c r="VBN99" s="46"/>
      <c r="VBO99" s="46"/>
      <c r="VBP99" s="46"/>
      <c r="VBQ99" s="46"/>
      <c r="VBR99" s="46"/>
      <c r="VBS99" s="46"/>
      <c r="VBT99" s="46"/>
      <c r="VBU99" s="46"/>
      <c r="VBV99" s="46"/>
      <c r="VBW99" s="46"/>
      <c r="VBX99" s="46"/>
      <c r="VBY99" s="46"/>
      <c r="VBZ99" s="46"/>
      <c r="VCA99" s="46"/>
      <c r="VCB99" s="46"/>
      <c r="VCC99" s="46"/>
      <c r="VCD99" s="46"/>
      <c r="VCE99" s="46"/>
      <c r="VCF99" s="46"/>
      <c r="VCG99" s="46"/>
      <c r="VCH99" s="46"/>
      <c r="VCI99" s="46"/>
      <c r="VCJ99" s="46"/>
      <c r="VCK99" s="46"/>
      <c r="VCL99" s="46"/>
      <c r="VCM99" s="46"/>
      <c r="VCN99" s="46"/>
      <c r="VCO99" s="46"/>
      <c r="VCP99" s="46"/>
      <c r="VCQ99" s="46"/>
      <c r="VCR99" s="46"/>
      <c r="VCS99" s="46"/>
      <c r="VCT99" s="46"/>
      <c r="VCU99" s="46"/>
      <c r="VCV99" s="46"/>
      <c r="VCW99" s="46"/>
      <c r="VCX99" s="46"/>
      <c r="VCY99" s="46"/>
      <c r="VCZ99" s="46"/>
      <c r="VDA99" s="46"/>
      <c r="VDB99" s="46"/>
      <c r="VDC99" s="46"/>
      <c r="VDD99" s="46"/>
      <c r="VDE99" s="46"/>
      <c r="VDF99" s="46"/>
      <c r="VDG99" s="46"/>
      <c r="VDH99" s="46"/>
      <c r="VDI99" s="46"/>
      <c r="VDJ99" s="46"/>
      <c r="VDK99" s="46"/>
      <c r="VDL99" s="46"/>
      <c r="VDM99" s="46"/>
      <c r="VDN99" s="46"/>
      <c r="VDO99" s="46"/>
      <c r="VDP99" s="46"/>
      <c r="VDQ99" s="46"/>
      <c r="VDR99" s="46"/>
      <c r="VDS99" s="46"/>
      <c r="VDT99" s="46"/>
      <c r="VDU99" s="46"/>
      <c r="VDV99" s="46"/>
      <c r="VDW99" s="46"/>
      <c r="VDX99" s="46"/>
      <c r="VDY99" s="46"/>
      <c r="VDZ99" s="46"/>
      <c r="VEA99" s="46"/>
      <c r="VEB99" s="46"/>
      <c r="VEC99" s="46"/>
      <c r="VED99" s="46"/>
      <c r="VEE99" s="46"/>
      <c r="VEF99" s="46"/>
      <c r="VEG99" s="46"/>
      <c r="VEH99" s="46"/>
      <c r="VEI99" s="46"/>
      <c r="VEJ99" s="46"/>
      <c r="VEK99" s="46"/>
      <c r="VEL99" s="46"/>
      <c r="VEM99" s="46"/>
      <c r="VEN99" s="46"/>
      <c r="VEO99" s="46"/>
      <c r="VEP99" s="46"/>
      <c r="VEQ99" s="46"/>
      <c r="VER99" s="46"/>
      <c r="VES99" s="46"/>
      <c r="VET99" s="46"/>
      <c r="VEU99" s="46"/>
      <c r="VEV99" s="46"/>
      <c r="VEW99" s="46"/>
      <c r="VEX99" s="46"/>
      <c r="VEY99" s="46"/>
      <c r="VEZ99" s="46"/>
      <c r="VFA99" s="46"/>
      <c r="VFB99" s="46"/>
      <c r="VFC99" s="46"/>
      <c r="VFD99" s="46"/>
      <c r="VFE99" s="46"/>
      <c r="VFF99" s="46"/>
      <c r="VFG99" s="46"/>
      <c r="VFH99" s="46"/>
      <c r="VFI99" s="46"/>
      <c r="VFJ99" s="46"/>
      <c r="VFK99" s="46"/>
      <c r="VFL99" s="46"/>
      <c r="VFM99" s="46"/>
      <c r="VFN99" s="46"/>
      <c r="VFO99" s="46"/>
      <c r="VFP99" s="46"/>
      <c r="VFQ99" s="46"/>
      <c r="VFR99" s="46"/>
      <c r="VFS99" s="46"/>
      <c r="VFT99" s="46"/>
      <c r="VFU99" s="46"/>
      <c r="VFV99" s="46"/>
      <c r="VFW99" s="46"/>
      <c r="VFX99" s="46"/>
      <c r="VFY99" s="46"/>
      <c r="VFZ99" s="46"/>
      <c r="VGA99" s="46"/>
      <c r="VGB99" s="46"/>
      <c r="VGC99" s="46"/>
      <c r="VGD99" s="46"/>
      <c r="VGE99" s="46"/>
      <c r="VGF99" s="46"/>
      <c r="VGG99" s="46"/>
      <c r="VGH99" s="46"/>
      <c r="VGI99" s="46"/>
      <c r="VGJ99" s="46"/>
      <c r="VGK99" s="46"/>
      <c r="VGL99" s="46"/>
      <c r="VGM99" s="46"/>
      <c r="VGN99" s="46"/>
      <c r="VGO99" s="46"/>
      <c r="VGP99" s="46"/>
      <c r="VGQ99" s="46"/>
      <c r="VGR99" s="46"/>
      <c r="VGS99" s="46"/>
      <c r="VGT99" s="46"/>
      <c r="VGU99" s="46"/>
      <c r="VGV99" s="46"/>
      <c r="VGW99" s="46"/>
      <c r="VGX99" s="46"/>
      <c r="VGY99" s="46"/>
      <c r="VGZ99" s="46"/>
      <c r="VHA99" s="46"/>
      <c r="VHB99" s="46"/>
      <c r="VHC99" s="46"/>
      <c r="VHD99" s="46"/>
      <c r="VHE99" s="46"/>
      <c r="VHF99" s="46"/>
      <c r="VHG99" s="46"/>
      <c r="VHH99" s="46"/>
      <c r="VHI99" s="46"/>
      <c r="VHJ99" s="46"/>
      <c r="VHK99" s="46"/>
      <c r="VHL99" s="46"/>
      <c r="VHM99" s="46"/>
      <c r="VHN99" s="46"/>
      <c r="VHO99" s="46"/>
      <c r="VHP99" s="46"/>
      <c r="VHQ99" s="46"/>
      <c r="VHR99" s="46"/>
      <c r="VHS99" s="46"/>
      <c r="VHT99" s="46"/>
      <c r="VHU99" s="46"/>
      <c r="VHV99" s="46"/>
      <c r="VHW99" s="46"/>
      <c r="VHX99" s="46"/>
      <c r="VHY99" s="46"/>
      <c r="VHZ99" s="46"/>
      <c r="VIA99" s="46"/>
      <c r="VIB99" s="46"/>
      <c r="VIC99" s="46"/>
      <c r="VID99" s="46"/>
      <c r="VIE99" s="46"/>
      <c r="VIF99" s="46"/>
      <c r="VIG99" s="46"/>
      <c r="VIH99" s="46"/>
      <c r="VII99" s="46"/>
      <c r="VIJ99" s="46"/>
      <c r="VIK99" s="46"/>
      <c r="VIL99" s="46"/>
      <c r="VIM99" s="46"/>
      <c r="VIN99" s="46"/>
      <c r="VIO99" s="46"/>
      <c r="VIP99" s="46"/>
      <c r="VIQ99" s="46"/>
      <c r="VIR99" s="46"/>
      <c r="VIS99" s="46"/>
      <c r="VIT99" s="46"/>
      <c r="VIU99" s="46"/>
      <c r="VIV99" s="46"/>
      <c r="VIW99" s="46"/>
      <c r="VIX99" s="46"/>
      <c r="VIY99" s="46"/>
      <c r="VIZ99" s="46"/>
      <c r="VJA99" s="46"/>
      <c r="VJB99" s="46"/>
      <c r="VJC99" s="46"/>
      <c r="VJD99" s="46"/>
      <c r="VJE99" s="46"/>
      <c r="VJF99" s="46"/>
      <c r="VJG99" s="46"/>
      <c r="VJH99" s="46"/>
      <c r="VJI99" s="46"/>
      <c r="VJJ99" s="46"/>
      <c r="VJK99" s="46"/>
      <c r="VJL99" s="46"/>
      <c r="VJM99" s="46"/>
      <c r="VJN99" s="46"/>
      <c r="VJO99" s="46"/>
      <c r="VJP99" s="46"/>
      <c r="VJQ99" s="46"/>
      <c r="VJR99" s="46"/>
      <c r="VJS99" s="46"/>
      <c r="VJT99" s="46"/>
      <c r="VJU99" s="46"/>
      <c r="VJV99" s="46"/>
      <c r="VJW99" s="46"/>
      <c r="VJX99" s="46"/>
      <c r="VJY99" s="46"/>
      <c r="VJZ99" s="46"/>
      <c r="VKA99" s="46"/>
      <c r="VKB99" s="46"/>
      <c r="VKC99" s="46"/>
      <c r="VKD99" s="46"/>
      <c r="VKE99" s="46"/>
      <c r="VKF99" s="46"/>
      <c r="VKG99" s="46"/>
      <c r="VKH99" s="46"/>
      <c r="VKI99" s="46"/>
      <c r="VKJ99" s="46"/>
      <c r="VKK99" s="46"/>
      <c r="VKL99" s="46"/>
      <c r="VKM99" s="46"/>
      <c r="VKN99" s="46"/>
      <c r="VKO99" s="46"/>
      <c r="VKP99" s="46"/>
      <c r="VKQ99" s="46"/>
      <c r="VKR99" s="46"/>
      <c r="VKS99" s="46"/>
      <c r="VKT99" s="46"/>
      <c r="VKU99" s="46"/>
      <c r="VKV99" s="46"/>
      <c r="VKW99" s="46"/>
      <c r="VKX99" s="46"/>
      <c r="VKY99" s="46"/>
      <c r="VKZ99" s="46"/>
      <c r="VLA99" s="46"/>
      <c r="VLB99" s="46"/>
      <c r="VLC99" s="46"/>
      <c r="VLD99" s="46"/>
      <c r="VLE99" s="46"/>
      <c r="VLF99" s="46"/>
      <c r="VLG99" s="46"/>
      <c r="VLH99" s="46"/>
      <c r="VLI99" s="46"/>
      <c r="VLJ99" s="46"/>
      <c r="VLK99" s="46"/>
      <c r="VLL99" s="46"/>
      <c r="VLM99" s="46"/>
      <c r="VLN99" s="46"/>
      <c r="VLO99" s="46"/>
      <c r="VLP99" s="46"/>
      <c r="VLQ99" s="46"/>
      <c r="VLR99" s="46"/>
      <c r="VLS99" s="46"/>
      <c r="VLT99" s="46"/>
      <c r="VLU99" s="46"/>
      <c r="VLV99" s="46"/>
      <c r="VLW99" s="46"/>
      <c r="VLX99" s="46"/>
      <c r="VLY99" s="46"/>
      <c r="VLZ99" s="46"/>
      <c r="VMA99" s="46"/>
      <c r="VMB99" s="46"/>
      <c r="VMC99" s="46"/>
      <c r="VMD99" s="46"/>
      <c r="VME99" s="46"/>
      <c r="VMF99" s="46"/>
      <c r="VMG99" s="46"/>
      <c r="VMH99" s="46"/>
      <c r="VMI99" s="46"/>
      <c r="VMJ99" s="46"/>
      <c r="VMK99" s="46"/>
      <c r="VML99" s="46"/>
      <c r="VMM99" s="46"/>
      <c r="VMN99" s="46"/>
      <c r="VMO99" s="46"/>
      <c r="VMP99" s="46"/>
      <c r="VMQ99" s="46"/>
      <c r="VMR99" s="46"/>
      <c r="VMS99" s="46"/>
      <c r="VMT99" s="46"/>
      <c r="VMU99" s="46"/>
      <c r="VMV99" s="46"/>
      <c r="VMW99" s="46"/>
      <c r="VMX99" s="46"/>
      <c r="VMY99" s="46"/>
      <c r="VMZ99" s="46"/>
      <c r="VNA99" s="46"/>
      <c r="VNB99" s="46"/>
      <c r="VNC99" s="46"/>
      <c r="VND99" s="46"/>
      <c r="VNE99" s="46"/>
      <c r="VNF99" s="46"/>
      <c r="VNG99" s="46"/>
      <c r="VNH99" s="46"/>
      <c r="VNI99" s="46"/>
      <c r="VNJ99" s="46"/>
      <c r="VNK99" s="46"/>
      <c r="VNL99" s="46"/>
      <c r="VNM99" s="46"/>
      <c r="VNN99" s="46"/>
      <c r="VNO99" s="46"/>
      <c r="VNP99" s="46"/>
      <c r="VNQ99" s="46"/>
      <c r="VNR99" s="46"/>
      <c r="VNS99" s="46"/>
      <c r="VNT99" s="46"/>
      <c r="VNU99" s="46"/>
      <c r="VNV99" s="46"/>
      <c r="VNW99" s="46"/>
      <c r="VNX99" s="46"/>
      <c r="VNY99" s="46"/>
      <c r="VNZ99" s="46"/>
      <c r="VOA99" s="46"/>
      <c r="VOB99" s="46"/>
      <c r="VOC99" s="46"/>
      <c r="VOD99" s="46"/>
      <c r="VOE99" s="46"/>
      <c r="VOF99" s="46"/>
      <c r="VOG99" s="46"/>
      <c r="VOH99" s="46"/>
      <c r="VOI99" s="46"/>
      <c r="VOJ99" s="46"/>
      <c r="VOK99" s="46"/>
      <c r="VOL99" s="46"/>
      <c r="VOM99" s="46"/>
      <c r="VON99" s="46"/>
      <c r="VOO99" s="46"/>
      <c r="VOP99" s="46"/>
      <c r="VOQ99" s="46"/>
      <c r="VOR99" s="46"/>
      <c r="VOS99" s="46"/>
      <c r="VOT99" s="46"/>
      <c r="VOU99" s="46"/>
      <c r="VOV99" s="46"/>
      <c r="VOW99" s="46"/>
      <c r="VOX99" s="46"/>
      <c r="VOY99" s="46"/>
      <c r="VOZ99" s="46"/>
      <c r="VPA99" s="46"/>
      <c r="VPB99" s="46"/>
      <c r="VPC99" s="46"/>
      <c r="VPD99" s="46"/>
      <c r="VPE99" s="46"/>
      <c r="VPF99" s="46"/>
      <c r="VPG99" s="46"/>
      <c r="VPH99" s="46"/>
      <c r="VPI99" s="46"/>
      <c r="VPJ99" s="46"/>
      <c r="VPK99" s="46"/>
      <c r="VPL99" s="46"/>
      <c r="VPM99" s="46"/>
      <c r="VPN99" s="46"/>
      <c r="VPO99" s="46"/>
      <c r="VPP99" s="46"/>
      <c r="VPQ99" s="46"/>
      <c r="VPR99" s="46"/>
      <c r="VPS99" s="46"/>
      <c r="VPT99" s="46"/>
      <c r="VPU99" s="46"/>
      <c r="VPV99" s="46"/>
      <c r="VPW99" s="46"/>
      <c r="VPX99" s="46"/>
      <c r="VPY99" s="46"/>
      <c r="VPZ99" s="46"/>
      <c r="VQA99" s="46"/>
      <c r="VQB99" s="46"/>
      <c r="VQC99" s="46"/>
      <c r="VQD99" s="46"/>
      <c r="VQE99" s="46"/>
      <c r="VQF99" s="46"/>
      <c r="VQG99" s="46"/>
      <c r="VQH99" s="46"/>
      <c r="VQI99" s="46"/>
      <c r="VQJ99" s="46"/>
      <c r="VQK99" s="46"/>
      <c r="VQL99" s="46"/>
      <c r="VQM99" s="46"/>
      <c r="VQN99" s="46"/>
      <c r="VQO99" s="46"/>
      <c r="VQP99" s="46"/>
      <c r="VQQ99" s="46"/>
      <c r="VQR99" s="46"/>
      <c r="VQS99" s="46"/>
      <c r="VQT99" s="46"/>
      <c r="VQU99" s="46"/>
      <c r="VQV99" s="46"/>
      <c r="VQW99" s="46"/>
      <c r="VQX99" s="46"/>
      <c r="VQY99" s="46"/>
      <c r="VQZ99" s="46"/>
      <c r="VRA99" s="46"/>
      <c r="VRB99" s="46"/>
      <c r="VRC99" s="46"/>
      <c r="VRD99" s="46"/>
      <c r="VRE99" s="46"/>
      <c r="VRF99" s="46"/>
      <c r="VRG99" s="46"/>
      <c r="VRH99" s="46"/>
      <c r="VRI99" s="46"/>
      <c r="VRJ99" s="46"/>
      <c r="VRK99" s="46"/>
      <c r="VRL99" s="46"/>
      <c r="VRM99" s="46"/>
      <c r="VRN99" s="46"/>
      <c r="VRO99" s="46"/>
      <c r="VRP99" s="46"/>
      <c r="VRQ99" s="46"/>
      <c r="VRR99" s="46"/>
      <c r="VRS99" s="46"/>
      <c r="VRT99" s="46"/>
      <c r="VRU99" s="46"/>
      <c r="VRV99" s="46"/>
      <c r="VRW99" s="46"/>
      <c r="VRX99" s="46"/>
      <c r="VRY99" s="46"/>
      <c r="VRZ99" s="46"/>
      <c r="VSA99" s="46"/>
      <c r="VSB99" s="46"/>
      <c r="VSC99" s="46"/>
      <c r="VSD99" s="46"/>
      <c r="VSE99" s="46"/>
      <c r="VSF99" s="46"/>
      <c r="VSG99" s="46"/>
      <c r="VSH99" s="46"/>
      <c r="VSI99" s="46"/>
      <c r="VSJ99" s="46"/>
      <c r="VSK99" s="46"/>
      <c r="VSL99" s="46"/>
      <c r="VSM99" s="46"/>
      <c r="VSN99" s="46"/>
      <c r="VSO99" s="46"/>
      <c r="VSP99" s="46"/>
      <c r="VSQ99" s="46"/>
      <c r="VSR99" s="46"/>
      <c r="VSS99" s="46"/>
      <c r="VST99" s="46"/>
      <c r="VSU99" s="46"/>
      <c r="VSV99" s="46"/>
      <c r="VSW99" s="46"/>
      <c r="VSX99" s="46"/>
      <c r="VSY99" s="46"/>
      <c r="VSZ99" s="46"/>
      <c r="VTA99" s="46"/>
      <c r="VTB99" s="46"/>
      <c r="VTC99" s="46"/>
      <c r="VTD99" s="46"/>
      <c r="VTE99" s="46"/>
      <c r="VTF99" s="46"/>
      <c r="VTG99" s="46"/>
      <c r="VTH99" s="46"/>
      <c r="VTI99" s="46"/>
      <c r="VTJ99" s="46"/>
      <c r="VTK99" s="46"/>
      <c r="VTL99" s="46"/>
      <c r="VTM99" s="46"/>
      <c r="VTN99" s="46"/>
      <c r="VTO99" s="46"/>
      <c r="VTP99" s="46"/>
      <c r="VTQ99" s="46"/>
      <c r="VTR99" s="46"/>
      <c r="VTS99" s="46"/>
      <c r="VTT99" s="46"/>
      <c r="VTU99" s="46"/>
      <c r="VTV99" s="46"/>
      <c r="VTW99" s="46"/>
      <c r="VTX99" s="46"/>
      <c r="VTY99" s="46"/>
      <c r="VTZ99" s="46"/>
      <c r="VUA99" s="46"/>
      <c r="VUB99" s="46"/>
      <c r="VUC99" s="46"/>
      <c r="VUD99" s="46"/>
      <c r="VUE99" s="46"/>
      <c r="VUF99" s="46"/>
      <c r="VUG99" s="46"/>
      <c r="VUH99" s="46"/>
      <c r="VUI99" s="46"/>
      <c r="VUJ99" s="46"/>
      <c r="VUK99" s="46"/>
      <c r="VUL99" s="46"/>
      <c r="VUM99" s="46"/>
      <c r="VUN99" s="46"/>
      <c r="VUO99" s="46"/>
      <c r="VUP99" s="46"/>
      <c r="VUQ99" s="46"/>
      <c r="VUR99" s="46"/>
      <c r="VUS99" s="46"/>
      <c r="VUT99" s="46"/>
      <c r="VUU99" s="46"/>
      <c r="VUV99" s="46"/>
      <c r="VUW99" s="46"/>
      <c r="VUX99" s="46"/>
      <c r="VUY99" s="46"/>
      <c r="VUZ99" s="46"/>
      <c r="VVA99" s="46"/>
      <c r="VVB99" s="46"/>
      <c r="VVC99" s="46"/>
      <c r="VVD99" s="46"/>
      <c r="VVE99" s="46"/>
      <c r="VVF99" s="46"/>
      <c r="VVG99" s="46"/>
      <c r="VVH99" s="46"/>
      <c r="VVI99" s="46"/>
      <c r="VVJ99" s="46"/>
      <c r="VVK99" s="46"/>
      <c r="VVL99" s="46"/>
      <c r="VVM99" s="46"/>
      <c r="VVN99" s="46"/>
      <c r="VVO99" s="46"/>
      <c r="VVP99" s="46"/>
      <c r="VVQ99" s="46"/>
      <c r="VVR99" s="46"/>
      <c r="VVS99" s="46"/>
      <c r="VVT99" s="46"/>
      <c r="VVU99" s="46"/>
      <c r="VVV99" s="46"/>
      <c r="VVW99" s="46"/>
      <c r="VVX99" s="46"/>
      <c r="VVY99" s="46"/>
      <c r="VVZ99" s="46"/>
      <c r="VWA99" s="46"/>
      <c r="VWB99" s="46"/>
      <c r="VWC99" s="46"/>
      <c r="VWD99" s="46"/>
      <c r="VWE99" s="46"/>
      <c r="VWF99" s="46"/>
      <c r="VWG99" s="46"/>
      <c r="VWH99" s="46"/>
      <c r="VWI99" s="46"/>
      <c r="VWJ99" s="46"/>
      <c r="VWK99" s="46"/>
      <c r="VWL99" s="46"/>
      <c r="VWM99" s="46"/>
      <c r="VWN99" s="46"/>
      <c r="VWO99" s="46"/>
      <c r="VWP99" s="46"/>
      <c r="VWQ99" s="46"/>
      <c r="VWR99" s="46"/>
      <c r="VWS99" s="46"/>
      <c r="VWT99" s="46"/>
      <c r="VWU99" s="46"/>
      <c r="VWV99" s="46"/>
      <c r="VWW99" s="46"/>
      <c r="VWX99" s="46"/>
      <c r="VWY99" s="46"/>
      <c r="VWZ99" s="46"/>
      <c r="VXA99" s="46"/>
      <c r="VXB99" s="46"/>
      <c r="VXC99" s="46"/>
      <c r="VXD99" s="46"/>
      <c r="VXE99" s="46"/>
      <c r="VXF99" s="46"/>
      <c r="VXG99" s="46"/>
      <c r="VXH99" s="46"/>
      <c r="VXI99" s="46"/>
      <c r="VXJ99" s="46"/>
      <c r="VXK99" s="46"/>
      <c r="VXL99" s="46"/>
      <c r="VXM99" s="46"/>
      <c r="VXN99" s="46"/>
      <c r="VXO99" s="46"/>
      <c r="VXP99" s="46"/>
      <c r="VXQ99" s="46"/>
      <c r="VXR99" s="46"/>
      <c r="VXS99" s="46"/>
      <c r="VXT99" s="46"/>
      <c r="VXU99" s="46"/>
      <c r="VXV99" s="46"/>
      <c r="VXW99" s="46"/>
      <c r="VXX99" s="46"/>
      <c r="VXY99" s="46"/>
      <c r="VXZ99" s="46"/>
      <c r="VYA99" s="46"/>
      <c r="VYB99" s="46"/>
      <c r="VYC99" s="46"/>
      <c r="VYD99" s="46"/>
      <c r="VYE99" s="46"/>
      <c r="VYF99" s="46"/>
      <c r="VYG99" s="46"/>
      <c r="VYH99" s="46"/>
      <c r="VYI99" s="46"/>
      <c r="VYJ99" s="46"/>
      <c r="VYK99" s="46"/>
      <c r="VYL99" s="46"/>
      <c r="VYM99" s="46"/>
      <c r="VYN99" s="46"/>
      <c r="VYO99" s="46"/>
      <c r="VYP99" s="46"/>
      <c r="VYQ99" s="46"/>
      <c r="VYR99" s="46"/>
      <c r="VYS99" s="46"/>
      <c r="VYT99" s="46"/>
      <c r="VYU99" s="46"/>
      <c r="VYV99" s="46"/>
      <c r="VYW99" s="46"/>
      <c r="VYX99" s="46"/>
      <c r="VYY99" s="46"/>
      <c r="VYZ99" s="46"/>
      <c r="VZA99" s="46"/>
      <c r="VZB99" s="46"/>
      <c r="VZC99" s="46"/>
      <c r="VZD99" s="46"/>
      <c r="VZE99" s="46"/>
      <c r="VZF99" s="46"/>
      <c r="VZG99" s="46"/>
      <c r="VZH99" s="46"/>
      <c r="VZI99" s="46"/>
      <c r="VZJ99" s="46"/>
      <c r="VZK99" s="46"/>
      <c r="VZL99" s="46"/>
      <c r="VZM99" s="46"/>
      <c r="VZN99" s="46"/>
      <c r="VZO99" s="46"/>
      <c r="VZP99" s="46"/>
      <c r="VZQ99" s="46"/>
      <c r="VZR99" s="46"/>
      <c r="VZS99" s="46"/>
      <c r="VZT99" s="46"/>
      <c r="VZU99" s="46"/>
      <c r="VZV99" s="46"/>
      <c r="VZW99" s="46"/>
      <c r="VZX99" s="46"/>
      <c r="VZY99" s="46"/>
      <c r="VZZ99" s="46"/>
      <c r="WAA99" s="46"/>
      <c r="WAB99" s="46"/>
      <c r="WAC99" s="46"/>
      <c r="WAD99" s="46"/>
      <c r="WAE99" s="46"/>
      <c r="WAF99" s="46"/>
      <c r="WAG99" s="46"/>
      <c r="WAH99" s="46"/>
      <c r="WAI99" s="46"/>
      <c r="WAJ99" s="46"/>
      <c r="WAK99" s="46"/>
      <c r="WAL99" s="46"/>
      <c r="WAM99" s="46"/>
      <c r="WAN99" s="46"/>
      <c r="WAO99" s="46"/>
      <c r="WAP99" s="46"/>
      <c r="WAQ99" s="46"/>
      <c r="WAR99" s="46"/>
      <c r="WAS99" s="46"/>
      <c r="WAT99" s="46"/>
      <c r="WAU99" s="46"/>
      <c r="WAV99" s="46"/>
      <c r="WAW99" s="46"/>
      <c r="WAX99" s="46"/>
      <c r="WAY99" s="46"/>
      <c r="WAZ99" s="46"/>
      <c r="WBA99" s="46"/>
      <c r="WBB99" s="46"/>
      <c r="WBC99" s="46"/>
      <c r="WBD99" s="46"/>
      <c r="WBE99" s="46"/>
      <c r="WBF99" s="46"/>
      <c r="WBG99" s="46"/>
      <c r="WBH99" s="46"/>
      <c r="WBI99" s="46"/>
      <c r="WBJ99" s="46"/>
      <c r="WBK99" s="46"/>
      <c r="WBL99" s="46"/>
      <c r="WBM99" s="46"/>
      <c r="WBN99" s="46"/>
      <c r="WBO99" s="46"/>
      <c r="WBP99" s="46"/>
      <c r="WBQ99" s="46"/>
      <c r="WBR99" s="46"/>
      <c r="WBS99" s="46"/>
      <c r="WBT99" s="46"/>
      <c r="WBU99" s="46"/>
      <c r="WBV99" s="46"/>
      <c r="WBW99" s="46"/>
      <c r="WBX99" s="46"/>
      <c r="WBY99" s="46"/>
      <c r="WBZ99" s="46"/>
      <c r="WCA99" s="46"/>
      <c r="WCB99" s="46"/>
      <c r="WCC99" s="46"/>
      <c r="WCD99" s="46"/>
      <c r="WCE99" s="46"/>
      <c r="WCF99" s="46"/>
      <c r="WCG99" s="46"/>
      <c r="WCH99" s="46"/>
      <c r="WCI99" s="46"/>
      <c r="WCJ99" s="46"/>
      <c r="WCK99" s="46"/>
      <c r="WCL99" s="46"/>
      <c r="WCM99" s="46"/>
      <c r="WCN99" s="46"/>
      <c r="WCO99" s="46"/>
      <c r="WCP99" s="46"/>
      <c r="WCQ99" s="46"/>
      <c r="WCR99" s="46"/>
      <c r="WCS99" s="46"/>
      <c r="WCT99" s="46"/>
      <c r="WCU99" s="46"/>
      <c r="WCV99" s="46"/>
      <c r="WCW99" s="46"/>
      <c r="WCX99" s="46"/>
      <c r="WCY99" s="46"/>
      <c r="WCZ99" s="46"/>
      <c r="WDA99" s="46"/>
      <c r="WDB99" s="46"/>
      <c r="WDC99" s="46"/>
      <c r="WDD99" s="46"/>
      <c r="WDE99" s="46"/>
      <c r="WDF99" s="46"/>
      <c r="WDG99" s="46"/>
      <c r="WDH99" s="46"/>
      <c r="WDI99" s="46"/>
      <c r="WDJ99" s="46"/>
      <c r="WDK99" s="46"/>
      <c r="WDL99" s="46"/>
      <c r="WDM99" s="46"/>
      <c r="WDN99" s="46"/>
      <c r="WDO99" s="46"/>
      <c r="WDP99" s="46"/>
      <c r="WDQ99" s="46"/>
      <c r="WDR99" s="46"/>
      <c r="WDS99" s="46"/>
      <c r="WDT99" s="46"/>
      <c r="WDU99" s="46"/>
      <c r="WDV99" s="46"/>
      <c r="WDW99" s="46"/>
      <c r="WDX99" s="46"/>
      <c r="WDY99" s="46"/>
      <c r="WDZ99" s="46"/>
      <c r="WEA99" s="46"/>
      <c r="WEB99" s="46"/>
      <c r="WEC99" s="46"/>
      <c r="WED99" s="46"/>
      <c r="WEE99" s="46"/>
      <c r="WEF99" s="46"/>
      <c r="WEG99" s="46"/>
      <c r="WEH99" s="46"/>
      <c r="WEI99" s="46"/>
      <c r="WEJ99" s="46"/>
      <c r="WEK99" s="46"/>
      <c r="WEL99" s="46"/>
      <c r="WEM99" s="46"/>
      <c r="WEN99" s="46"/>
      <c r="WEO99" s="46"/>
      <c r="WEP99" s="46"/>
      <c r="WEQ99" s="46"/>
      <c r="WER99" s="46"/>
      <c r="WES99" s="46"/>
      <c r="WET99" s="46"/>
      <c r="WEU99" s="46"/>
      <c r="WEV99" s="46"/>
      <c r="WEW99" s="46"/>
      <c r="WEX99" s="46"/>
      <c r="WEY99" s="46"/>
      <c r="WEZ99" s="46"/>
      <c r="WFA99" s="46"/>
      <c r="WFB99" s="46"/>
      <c r="WFC99" s="46"/>
      <c r="WFD99" s="46"/>
      <c r="WFE99" s="46"/>
      <c r="WFF99" s="46"/>
      <c r="WFG99" s="46"/>
      <c r="WFH99" s="46"/>
      <c r="WFI99" s="46"/>
      <c r="WFJ99" s="46"/>
      <c r="WFK99" s="46"/>
      <c r="WFL99" s="46"/>
      <c r="WFM99" s="46"/>
      <c r="WFN99" s="46"/>
      <c r="WFO99" s="46"/>
      <c r="WFP99" s="46"/>
      <c r="WFQ99" s="46"/>
      <c r="WFR99" s="46"/>
      <c r="WFS99" s="46"/>
      <c r="WFT99" s="46"/>
      <c r="WFU99" s="46"/>
      <c r="WFV99" s="46"/>
      <c r="WFW99" s="46"/>
      <c r="WFX99" s="46"/>
      <c r="WFY99" s="46"/>
      <c r="WFZ99" s="46"/>
      <c r="WGA99" s="46"/>
      <c r="WGB99" s="46"/>
      <c r="WGC99" s="46"/>
      <c r="WGD99" s="46"/>
      <c r="WGE99" s="46"/>
      <c r="WGF99" s="46"/>
      <c r="WGG99" s="46"/>
      <c r="WGH99" s="46"/>
      <c r="WGI99" s="46"/>
      <c r="WGJ99" s="46"/>
      <c r="WGK99" s="46"/>
      <c r="WGL99" s="46"/>
      <c r="WGM99" s="46"/>
      <c r="WGN99" s="46"/>
      <c r="WGO99" s="46"/>
      <c r="WGP99" s="46"/>
      <c r="WGQ99" s="46"/>
      <c r="WGR99" s="46"/>
      <c r="WGS99" s="46"/>
      <c r="WGT99" s="46"/>
      <c r="WGU99" s="46"/>
      <c r="WGV99" s="46"/>
      <c r="WGW99" s="46"/>
      <c r="WGX99" s="46"/>
      <c r="WGY99" s="46"/>
      <c r="WGZ99" s="46"/>
      <c r="WHA99" s="46"/>
      <c r="WHB99" s="46"/>
      <c r="WHC99" s="46"/>
      <c r="WHD99" s="46"/>
      <c r="WHE99" s="46"/>
      <c r="WHF99" s="46"/>
      <c r="WHG99" s="46"/>
      <c r="WHH99" s="46"/>
      <c r="WHI99" s="46"/>
      <c r="WHJ99" s="46"/>
      <c r="WHK99" s="46"/>
      <c r="WHL99" s="46"/>
      <c r="WHM99" s="46"/>
      <c r="WHN99" s="46"/>
      <c r="WHO99" s="46"/>
      <c r="WHP99" s="46"/>
      <c r="WHQ99" s="46"/>
      <c r="WHR99" s="46"/>
      <c r="WHS99" s="46"/>
      <c r="WHT99" s="46"/>
      <c r="WHU99" s="46"/>
      <c r="WHV99" s="46"/>
      <c r="WHW99" s="46"/>
      <c r="WHX99" s="46"/>
      <c r="WHY99" s="46"/>
      <c r="WHZ99" s="46"/>
      <c r="WIA99" s="46"/>
      <c r="WIB99" s="46"/>
      <c r="WIC99" s="46"/>
      <c r="WID99" s="46"/>
      <c r="WIE99" s="46"/>
      <c r="WIF99" s="46"/>
      <c r="WIG99" s="46"/>
      <c r="WIH99" s="46"/>
      <c r="WII99" s="46"/>
      <c r="WIJ99" s="46"/>
      <c r="WIK99" s="46"/>
      <c r="WIL99" s="46"/>
      <c r="WIM99" s="46"/>
      <c r="WIN99" s="46"/>
      <c r="WIO99" s="46"/>
      <c r="WIP99" s="46"/>
      <c r="WIQ99" s="46"/>
      <c r="WIR99" s="46"/>
      <c r="WIS99" s="46"/>
      <c r="WIT99" s="46"/>
      <c r="WIU99" s="46"/>
      <c r="WIV99" s="46"/>
      <c r="WIW99" s="46"/>
      <c r="WIX99" s="46"/>
      <c r="WIY99" s="46"/>
      <c r="WIZ99" s="46"/>
      <c r="WJA99" s="46"/>
      <c r="WJB99" s="46"/>
      <c r="WJC99" s="46"/>
      <c r="WJD99" s="46"/>
      <c r="WJE99" s="46"/>
      <c r="WJF99" s="46"/>
      <c r="WJG99" s="46"/>
      <c r="WJH99" s="46"/>
      <c r="WJI99" s="46"/>
      <c r="WJJ99" s="46"/>
      <c r="WJK99" s="46"/>
      <c r="WJL99" s="46"/>
      <c r="WJM99" s="46"/>
      <c r="WJN99" s="46"/>
      <c r="WJO99" s="46"/>
      <c r="WJP99" s="46"/>
      <c r="WJQ99" s="46"/>
      <c r="WJR99" s="46"/>
      <c r="WJS99" s="46"/>
      <c r="WJT99" s="46"/>
      <c r="WJU99" s="46"/>
      <c r="WJV99" s="46"/>
      <c r="WJW99" s="46"/>
      <c r="WJX99" s="46"/>
      <c r="WJY99" s="46"/>
      <c r="WJZ99" s="46"/>
      <c r="WKA99" s="46"/>
      <c r="WKB99" s="46"/>
      <c r="WKC99" s="46"/>
      <c r="WKD99" s="46"/>
      <c r="WKE99" s="46"/>
      <c r="WKF99" s="46"/>
      <c r="WKG99" s="46"/>
      <c r="WKH99" s="46"/>
      <c r="WKI99" s="46"/>
      <c r="WKJ99" s="46"/>
      <c r="WKK99" s="46"/>
      <c r="WKL99" s="46"/>
      <c r="WKM99" s="46"/>
      <c r="WKN99" s="46"/>
      <c r="WKO99" s="46"/>
      <c r="WKP99" s="46"/>
      <c r="WKQ99" s="46"/>
      <c r="WKR99" s="46"/>
      <c r="WKS99" s="46"/>
      <c r="WKT99" s="46"/>
      <c r="WKU99" s="46"/>
      <c r="WKV99" s="46"/>
      <c r="WKW99" s="46"/>
      <c r="WKX99" s="46"/>
      <c r="WKY99" s="46"/>
      <c r="WKZ99" s="46"/>
      <c r="WLA99" s="46"/>
      <c r="WLB99" s="46"/>
      <c r="WLC99" s="46"/>
      <c r="WLD99" s="46"/>
      <c r="WLE99" s="46"/>
      <c r="WLF99" s="46"/>
      <c r="WLG99" s="46"/>
      <c r="WLH99" s="46"/>
      <c r="WLI99" s="46"/>
      <c r="WLJ99" s="46"/>
      <c r="WLK99" s="46"/>
      <c r="WLL99" s="46"/>
      <c r="WLM99" s="46"/>
      <c r="WLN99" s="46"/>
      <c r="WLO99" s="46"/>
      <c r="WLP99" s="46"/>
      <c r="WLQ99" s="46"/>
      <c r="WLR99" s="46"/>
      <c r="WLS99" s="46"/>
      <c r="WLT99" s="46"/>
      <c r="WLU99" s="46"/>
      <c r="WLV99" s="46"/>
      <c r="WLW99" s="46"/>
      <c r="WLX99" s="46"/>
      <c r="WLY99" s="46"/>
      <c r="WLZ99" s="46"/>
      <c r="WMA99" s="46"/>
      <c r="WMB99" s="46"/>
      <c r="WMC99" s="46"/>
      <c r="WMD99" s="46"/>
      <c r="WME99" s="46"/>
      <c r="WMF99" s="46"/>
      <c r="WMG99" s="46"/>
      <c r="WMH99" s="46"/>
      <c r="WMI99" s="46"/>
      <c r="WMJ99" s="46"/>
      <c r="WMK99" s="46"/>
      <c r="WML99" s="46"/>
      <c r="WMM99" s="46"/>
      <c r="WMN99" s="46"/>
      <c r="WMO99" s="46"/>
      <c r="WMP99" s="46"/>
      <c r="WMQ99" s="46"/>
      <c r="WMR99" s="46"/>
      <c r="WMS99" s="46"/>
      <c r="WMT99" s="46"/>
      <c r="WMU99" s="46"/>
      <c r="WMV99" s="46"/>
      <c r="WMW99" s="46"/>
      <c r="WMX99" s="46"/>
      <c r="WMY99" s="46"/>
      <c r="WMZ99" s="46"/>
      <c r="WNA99" s="46"/>
      <c r="WNB99" s="46"/>
      <c r="WNC99" s="46"/>
      <c r="WND99" s="46"/>
      <c r="WNE99" s="46"/>
      <c r="WNF99" s="46"/>
      <c r="WNG99" s="46"/>
      <c r="WNH99" s="46"/>
      <c r="WNI99" s="46"/>
      <c r="WNJ99" s="46"/>
      <c r="WNK99" s="46"/>
      <c r="WNL99" s="46"/>
      <c r="WNM99" s="46"/>
      <c r="WNN99" s="46"/>
      <c r="WNO99" s="46"/>
      <c r="WNP99" s="46"/>
      <c r="WNQ99" s="46"/>
      <c r="WNR99" s="46"/>
      <c r="WNS99" s="46"/>
      <c r="WNT99" s="46"/>
      <c r="WNU99" s="46"/>
      <c r="WNV99" s="46"/>
      <c r="WNW99" s="46"/>
      <c r="WNX99" s="46"/>
      <c r="WNY99" s="46"/>
      <c r="WNZ99" s="46"/>
      <c r="WOA99" s="46"/>
      <c r="WOB99" s="46"/>
      <c r="WOC99" s="46"/>
      <c r="WOD99" s="46"/>
      <c r="WOE99" s="46"/>
      <c r="WOF99" s="46"/>
      <c r="WOG99" s="46"/>
      <c r="WOH99" s="46"/>
      <c r="WOI99" s="46"/>
      <c r="WOJ99" s="46"/>
      <c r="WOK99" s="46"/>
      <c r="WOL99" s="46"/>
      <c r="WOM99" s="46"/>
      <c r="WON99" s="46"/>
      <c r="WOO99" s="46"/>
      <c r="WOP99" s="46"/>
      <c r="WOQ99" s="46"/>
      <c r="WOR99" s="46"/>
      <c r="WOS99" s="46"/>
      <c r="WOT99" s="46"/>
      <c r="WOU99" s="46"/>
      <c r="WOV99" s="46"/>
      <c r="WOW99" s="46"/>
      <c r="WOX99" s="46"/>
      <c r="WOY99" s="46"/>
      <c r="WOZ99" s="46"/>
      <c r="WPA99" s="46"/>
      <c r="WPB99" s="46"/>
      <c r="WPC99" s="46"/>
      <c r="WPD99" s="46"/>
      <c r="WPE99" s="46"/>
      <c r="WPF99" s="46"/>
      <c r="WPG99" s="46"/>
      <c r="WPH99" s="46"/>
      <c r="WPI99" s="46"/>
      <c r="WPJ99" s="46"/>
      <c r="WPK99" s="46"/>
      <c r="WPL99" s="46"/>
      <c r="WPM99" s="46"/>
      <c r="WPN99" s="46"/>
      <c r="WPO99" s="46"/>
      <c r="WPP99" s="46"/>
      <c r="WPQ99" s="46"/>
      <c r="WPR99" s="46"/>
      <c r="WPS99" s="46"/>
      <c r="WPT99" s="46"/>
      <c r="WPU99" s="46"/>
      <c r="WPV99" s="46"/>
      <c r="WPW99" s="46"/>
      <c r="WPX99" s="46"/>
      <c r="WPY99" s="46"/>
      <c r="WPZ99" s="46"/>
      <c r="WQA99" s="46"/>
      <c r="WQB99" s="46"/>
      <c r="WQC99" s="46"/>
      <c r="WQD99" s="46"/>
      <c r="WQE99" s="46"/>
      <c r="WQF99" s="46"/>
      <c r="WQG99" s="46"/>
      <c r="WQH99" s="46"/>
      <c r="WQI99" s="46"/>
      <c r="WQJ99" s="46"/>
      <c r="WQK99" s="46"/>
      <c r="WQL99" s="46"/>
      <c r="WQM99" s="46"/>
      <c r="WQN99" s="46"/>
      <c r="WQO99" s="46"/>
      <c r="WQP99" s="46"/>
      <c r="WQQ99" s="46"/>
      <c r="WQR99" s="46"/>
      <c r="WQS99" s="46"/>
      <c r="WQT99" s="46"/>
      <c r="WQU99" s="46"/>
      <c r="WQV99" s="46"/>
      <c r="WQW99" s="46"/>
      <c r="WQX99" s="46"/>
      <c r="WQY99" s="46"/>
      <c r="WQZ99" s="46"/>
      <c r="WRA99" s="46"/>
      <c r="WRB99" s="46"/>
      <c r="WRC99" s="46"/>
      <c r="WRD99" s="46"/>
      <c r="WRE99" s="46"/>
      <c r="WRF99" s="46"/>
      <c r="WRG99" s="46"/>
      <c r="WRH99" s="46"/>
      <c r="WRI99" s="46"/>
      <c r="WRJ99" s="46"/>
      <c r="WRK99" s="46"/>
      <c r="WRL99" s="46"/>
      <c r="WRM99" s="46"/>
      <c r="WRN99" s="46"/>
      <c r="WRO99" s="46"/>
      <c r="WRP99" s="46"/>
      <c r="WRQ99" s="46"/>
      <c r="WRR99" s="46"/>
      <c r="WRS99" s="46"/>
      <c r="WRT99" s="46"/>
      <c r="WRU99" s="46"/>
      <c r="WRV99" s="46"/>
      <c r="WRW99" s="46"/>
      <c r="WRX99" s="46"/>
      <c r="WRY99" s="46"/>
      <c r="WRZ99" s="46"/>
      <c r="WSA99" s="46"/>
      <c r="WSB99" s="46"/>
      <c r="WSC99" s="46"/>
      <c r="WSD99" s="46"/>
      <c r="WSE99" s="46"/>
      <c r="WSF99" s="46"/>
      <c r="WSG99" s="46"/>
      <c r="WSH99" s="46"/>
      <c r="WSI99" s="46"/>
      <c r="WSJ99" s="46"/>
      <c r="WSK99" s="46"/>
      <c r="WSL99" s="46"/>
      <c r="WSM99" s="46"/>
      <c r="WSN99" s="46"/>
      <c r="WSO99" s="46"/>
      <c r="WSP99" s="46"/>
      <c r="WSQ99" s="46"/>
      <c r="WSR99" s="46"/>
      <c r="WSS99" s="46"/>
      <c r="WST99" s="46"/>
      <c r="WSU99" s="46"/>
      <c r="WSV99" s="46"/>
      <c r="WSW99" s="46"/>
      <c r="WSX99" s="46"/>
      <c r="WSY99" s="46"/>
      <c r="WSZ99" s="46"/>
      <c r="WTA99" s="46"/>
      <c r="WTB99" s="46"/>
      <c r="WTC99" s="46"/>
      <c r="WTD99" s="46"/>
      <c r="WTE99" s="46"/>
      <c r="WTF99" s="46"/>
      <c r="WTG99" s="46"/>
      <c r="WTH99" s="46"/>
      <c r="WTI99" s="46"/>
      <c r="WTJ99" s="46"/>
      <c r="WTK99" s="46"/>
      <c r="WTL99" s="46"/>
      <c r="WTM99" s="46"/>
      <c r="WTN99" s="46"/>
      <c r="WTO99" s="46"/>
      <c r="WTP99" s="46"/>
      <c r="WTQ99" s="46"/>
      <c r="WTR99" s="46"/>
      <c r="WTS99" s="46"/>
      <c r="WTT99" s="46"/>
      <c r="WTU99" s="46"/>
      <c r="WTV99" s="46"/>
      <c r="WTW99" s="46"/>
      <c r="WTX99" s="46"/>
      <c r="WTY99" s="46"/>
      <c r="WTZ99" s="46"/>
      <c r="WUA99" s="46"/>
      <c r="WUB99" s="46"/>
      <c r="WUC99" s="46"/>
      <c r="WUD99" s="46"/>
      <c r="WUE99" s="46"/>
      <c r="WUF99" s="46"/>
      <c r="WUG99" s="46"/>
      <c r="WUH99" s="46"/>
      <c r="WUI99" s="46"/>
      <c r="WUJ99" s="46"/>
      <c r="WUK99" s="46"/>
      <c r="WUL99" s="46"/>
      <c r="WUM99" s="46"/>
      <c r="WUN99" s="46"/>
      <c r="WUO99" s="46"/>
      <c r="WUP99" s="46"/>
      <c r="WUQ99" s="46"/>
      <c r="WUR99" s="46"/>
      <c r="WUS99" s="46"/>
      <c r="WUT99" s="46"/>
      <c r="WUU99" s="46"/>
      <c r="WUV99" s="46"/>
      <c r="WUW99" s="46"/>
      <c r="WUX99" s="46"/>
      <c r="WUY99" s="46"/>
      <c r="WUZ99" s="46"/>
      <c r="WVA99" s="46"/>
      <c r="WVB99" s="46"/>
      <c r="WVC99" s="46"/>
      <c r="WVD99" s="46"/>
      <c r="WVE99" s="46"/>
      <c r="WVF99" s="46"/>
      <c r="WVG99" s="46"/>
      <c r="WVH99" s="46"/>
      <c r="WVI99" s="46"/>
      <c r="WVJ99" s="46"/>
      <c r="WVK99" s="46"/>
      <c r="WVL99" s="46"/>
      <c r="WVM99" s="46"/>
      <c r="WVN99" s="46"/>
      <c r="WVO99" s="46"/>
      <c r="WVP99" s="46"/>
      <c r="WVQ99" s="46"/>
      <c r="WVR99" s="46"/>
      <c r="WVS99" s="46"/>
      <c r="WVT99" s="46"/>
      <c r="WVU99" s="46"/>
      <c r="WVV99" s="46"/>
      <c r="WVW99" s="46"/>
      <c r="WVX99" s="46"/>
      <c r="WVY99" s="46"/>
      <c r="WVZ99" s="46"/>
      <c r="WWA99" s="46"/>
      <c r="WWB99" s="46"/>
      <c r="WWC99" s="46"/>
      <c r="WWD99" s="46"/>
      <c r="WWE99" s="46"/>
      <c r="WWF99" s="46"/>
      <c r="WWG99" s="46"/>
      <c r="WWH99" s="46"/>
      <c r="WWI99" s="46"/>
      <c r="WWJ99" s="46"/>
      <c r="WWK99" s="46"/>
      <c r="WWL99" s="46"/>
      <c r="WWM99" s="46"/>
      <c r="WWN99" s="46"/>
      <c r="WWO99" s="46"/>
      <c r="WWP99" s="46"/>
      <c r="WWQ99" s="46"/>
      <c r="WWR99" s="46"/>
      <c r="WWS99" s="46"/>
      <c r="WWT99" s="46"/>
      <c r="WWU99" s="46"/>
      <c r="WWV99" s="46"/>
      <c r="WWW99" s="46"/>
      <c r="WWX99" s="46"/>
      <c r="WWY99" s="46"/>
      <c r="WWZ99" s="46"/>
      <c r="WXA99" s="46"/>
      <c r="WXB99" s="46"/>
      <c r="WXC99" s="46"/>
      <c r="WXD99" s="46"/>
      <c r="WXE99" s="46"/>
      <c r="WXF99" s="46"/>
      <c r="WXG99" s="46"/>
      <c r="WXH99" s="46"/>
      <c r="WXI99" s="46"/>
      <c r="WXJ99" s="46"/>
      <c r="WXK99" s="46"/>
      <c r="WXL99" s="46"/>
      <c r="WXM99" s="46"/>
      <c r="WXN99" s="46"/>
      <c r="WXO99" s="46"/>
      <c r="WXP99" s="46"/>
      <c r="WXQ99" s="46"/>
      <c r="WXR99" s="46"/>
      <c r="WXS99" s="46"/>
      <c r="WXT99" s="46"/>
      <c r="WXU99" s="46"/>
      <c r="WXV99" s="46"/>
      <c r="WXW99" s="46"/>
      <c r="WXX99" s="46"/>
      <c r="WXY99" s="46"/>
      <c r="WXZ99" s="46"/>
      <c r="WYA99" s="46"/>
      <c r="WYB99" s="46"/>
      <c r="WYC99" s="46"/>
      <c r="WYD99" s="46"/>
      <c r="WYE99" s="46"/>
      <c r="WYF99" s="46"/>
      <c r="WYG99" s="46"/>
      <c r="WYH99" s="46"/>
      <c r="WYI99" s="46"/>
      <c r="WYJ99" s="46"/>
      <c r="WYK99" s="46"/>
      <c r="WYL99" s="46"/>
      <c r="WYM99" s="46"/>
      <c r="WYN99" s="46"/>
      <c r="WYO99" s="46"/>
      <c r="WYP99" s="46"/>
      <c r="WYQ99" s="46"/>
      <c r="WYR99" s="46"/>
      <c r="WYS99" s="46"/>
      <c r="WYT99" s="46"/>
      <c r="WYU99" s="46"/>
      <c r="WYV99" s="46"/>
      <c r="WYW99" s="46"/>
      <c r="WYX99" s="46"/>
      <c r="WYY99" s="46"/>
      <c r="WYZ99" s="46"/>
      <c r="WZA99" s="46"/>
      <c r="WZB99" s="46"/>
      <c r="WZC99" s="46"/>
      <c r="WZD99" s="46"/>
      <c r="WZE99" s="46"/>
      <c r="WZF99" s="46"/>
      <c r="WZG99" s="46"/>
      <c r="WZH99" s="46"/>
      <c r="WZI99" s="46"/>
      <c r="WZJ99" s="46"/>
      <c r="WZK99" s="46"/>
      <c r="WZL99" s="46"/>
      <c r="WZM99" s="46"/>
      <c r="WZN99" s="46"/>
      <c r="WZO99" s="46"/>
      <c r="WZP99" s="46"/>
      <c r="WZQ99" s="46"/>
      <c r="WZR99" s="46"/>
      <c r="WZS99" s="46"/>
      <c r="WZT99" s="46"/>
      <c r="WZU99" s="46"/>
      <c r="WZV99" s="46"/>
      <c r="WZW99" s="46"/>
      <c r="WZX99" s="46"/>
      <c r="WZY99" s="46"/>
      <c r="WZZ99" s="46"/>
      <c r="XAA99" s="46"/>
      <c r="XAB99" s="46"/>
      <c r="XAC99" s="46"/>
      <c r="XAD99" s="46"/>
      <c r="XAE99" s="46"/>
      <c r="XAF99" s="46"/>
      <c r="XAG99" s="46"/>
      <c r="XAH99" s="46"/>
      <c r="XAI99" s="46"/>
      <c r="XAJ99" s="46"/>
      <c r="XAK99" s="46"/>
      <c r="XAL99" s="46"/>
      <c r="XAM99" s="46"/>
      <c r="XAN99" s="46"/>
      <c r="XAO99" s="46"/>
      <c r="XAP99" s="46"/>
      <c r="XAQ99" s="46"/>
      <c r="XAR99" s="46"/>
      <c r="XAS99" s="46"/>
      <c r="XAT99" s="46"/>
      <c r="XAU99" s="46"/>
      <c r="XAV99" s="46"/>
      <c r="XAW99" s="46"/>
      <c r="XAX99" s="46"/>
      <c r="XAY99" s="46"/>
      <c r="XAZ99" s="46"/>
      <c r="XBA99" s="46"/>
      <c r="XBB99" s="46"/>
      <c r="XBC99" s="46"/>
      <c r="XBD99" s="46"/>
      <c r="XBE99" s="46"/>
      <c r="XBF99" s="46"/>
      <c r="XBG99" s="46"/>
      <c r="XBH99" s="46"/>
      <c r="XBI99" s="46"/>
      <c r="XBJ99" s="46"/>
      <c r="XBK99" s="46"/>
      <c r="XBL99" s="46"/>
      <c r="XBM99" s="46"/>
      <c r="XBN99" s="46"/>
      <c r="XBO99" s="46"/>
      <c r="XBP99" s="46"/>
      <c r="XBQ99" s="46"/>
      <c r="XBR99" s="46"/>
      <c r="XBS99" s="46"/>
      <c r="XBT99" s="46"/>
      <c r="XBU99" s="46"/>
      <c r="XBV99" s="46"/>
      <c r="XBW99" s="46"/>
      <c r="XBX99" s="46"/>
      <c r="XBY99" s="46"/>
      <c r="XBZ99" s="46"/>
      <c r="XCA99" s="46"/>
      <c r="XCB99" s="46"/>
      <c r="XCC99" s="46"/>
      <c r="XCD99" s="46"/>
      <c r="XCE99" s="46"/>
      <c r="XCF99" s="46"/>
      <c r="XCG99" s="46"/>
      <c r="XCH99" s="46"/>
      <c r="XCI99" s="46"/>
      <c r="XCJ99" s="46"/>
      <c r="XCK99" s="46"/>
      <c r="XCL99" s="46"/>
      <c r="XCM99" s="46"/>
      <c r="XCN99" s="46"/>
      <c r="XCO99" s="46"/>
      <c r="XCP99" s="46"/>
      <c r="XCQ99" s="46"/>
      <c r="XCR99" s="46"/>
      <c r="XCS99" s="46"/>
      <c r="XCT99" s="46"/>
      <c r="XCU99" s="46"/>
      <c r="XCV99" s="46"/>
      <c r="XCW99" s="46"/>
      <c r="XCX99" s="46"/>
      <c r="XCY99" s="46"/>
      <c r="XCZ99" s="46"/>
      <c r="XDA99" s="46"/>
      <c r="XDB99" s="46"/>
      <c r="XDC99" s="46"/>
      <c r="XDD99" s="46"/>
      <c r="XDE99" s="46"/>
      <c r="XDF99" s="46"/>
      <c r="XDG99" s="46"/>
      <c r="XDH99" s="46"/>
      <c r="XDI99" s="46"/>
      <c r="XDJ99" s="46"/>
      <c r="XDK99" s="46"/>
      <c r="XDL99" s="46"/>
      <c r="XDM99" s="46"/>
      <c r="XDN99" s="46"/>
      <c r="XDO99" s="46"/>
      <c r="XDP99" s="46"/>
      <c r="XDQ99" s="46"/>
      <c r="XDR99" s="46"/>
      <c r="XDS99" s="46"/>
      <c r="XDT99" s="46"/>
      <c r="XDU99" s="46"/>
      <c r="XDV99" s="46"/>
      <c r="XDW99" s="46"/>
      <c r="XDX99" s="46"/>
      <c r="XDY99" s="46"/>
      <c r="XDZ99" s="46"/>
      <c r="XEA99" s="46"/>
      <c r="XEB99" s="46"/>
      <c r="XEC99" s="46"/>
      <c r="XED99" s="46"/>
      <c r="XEE99" s="46"/>
      <c r="XEF99" s="46"/>
      <c r="XEG99" s="46"/>
      <c r="XEH99" s="46"/>
      <c r="XEI99" s="46"/>
      <c r="XEJ99" s="46"/>
      <c r="XEK99" s="46"/>
      <c r="XEL99" s="46"/>
      <c r="XEM99" s="46"/>
      <c r="XEN99" s="46"/>
      <c r="XEO99" s="46"/>
      <c r="XEP99" s="46"/>
      <c r="XEQ99" s="46"/>
      <c r="XER99" s="46"/>
    </row>
    <row r="100" spans="1:16372" s="47" customFormat="1" x14ac:dyDescent="0.2">
      <c r="A100" s="1" t="s">
        <v>89</v>
      </c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  <c r="MH100" s="15"/>
      <c r="MI100" s="15"/>
      <c r="MJ100" s="15"/>
      <c r="MK100" s="15"/>
      <c r="ML100" s="15"/>
      <c r="MM100" s="15"/>
      <c r="MN100" s="15"/>
      <c r="MO100" s="15"/>
      <c r="MP100" s="15"/>
      <c r="MQ100" s="15"/>
      <c r="MR100" s="15"/>
      <c r="MS100" s="15"/>
      <c r="MT100" s="15"/>
      <c r="MU100" s="15"/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  <c r="OA100" s="15"/>
      <c r="OB100" s="15"/>
      <c r="OC100" s="15"/>
      <c r="OD100" s="15"/>
      <c r="OE100" s="15"/>
      <c r="OF100" s="15"/>
      <c r="OG100" s="15"/>
      <c r="OH100" s="15"/>
      <c r="OI100" s="15"/>
      <c r="OJ100" s="15"/>
      <c r="OK100" s="15"/>
      <c r="OL100" s="15"/>
      <c r="OM100" s="15"/>
      <c r="ON100" s="15"/>
      <c r="OO100" s="15"/>
      <c r="OP100" s="15"/>
      <c r="OQ100" s="15"/>
      <c r="OR100" s="15"/>
      <c r="OS100" s="15"/>
      <c r="OT100" s="15"/>
      <c r="OU100" s="15"/>
      <c r="OV100" s="15"/>
      <c r="OW100" s="15"/>
      <c r="OX100" s="15"/>
      <c r="OY100" s="15"/>
      <c r="OZ100" s="15"/>
      <c r="PA100" s="15"/>
      <c r="PB100" s="15"/>
      <c r="PC100" s="15"/>
      <c r="PD100" s="15"/>
      <c r="PE100" s="15"/>
      <c r="PF100" s="15"/>
      <c r="PG100" s="15"/>
      <c r="PH100" s="15"/>
      <c r="PI100" s="15"/>
      <c r="PJ100" s="15"/>
      <c r="PK100" s="15"/>
      <c r="PL100" s="15"/>
      <c r="PM100" s="15"/>
      <c r="PN100" s="15"/>
      <c r="PO100" s="15"/>
      <c r="PP100" s="15"/>
      <c r="PQ100" s="15"/>
      <c r="PR100" s="15"/>
      <c r="PS100" s="15"/>
      <c r="PT100" s="15"/>
      <c r="PU100" s="15"/>
      <c r="PV100" s="15"/>
      <c r="PW100" s="15"/>
      <c r="PX100" s="15"/>
      <c r="PY100" s="15"/>
      <c r="PZ100" s="15"/>
      <c r="QA100" s="15"/>
      <c r="QB100" s="15"/>
      <c r="QC100" s="15"/>
      <c r="QD100" s="15"/>
      <c r="QE100" s="15"/>
      <c r="QF100" s="15"/>
      <c r="QG100" s="15"/>
      <c r="QH100" s="15"/>
      <c r="QI100" s="15"/>
      <c r="QJ100" s="15"/>
      <c r="QK100" s="15"/>
      <c r="QL100" s="15"/>
      <c r="QM100" s="15"/>
      <c r="QN100" s="15"/>
      <c r="QO100" s="15"/>
      <c r="QP100" s="15"/>
      <c r="QQ100" s="15"/>
      <c r="QR100" s="15"/>
      <c r="QS100" s="15"/>
      <c r="QT100" s="15"/>
      <c r="QU100" s="15"/>
      <c r="QV100" s="15"/>
      <c r="QW100" s="15"/>
      <c r="QX100" s="15"/>
      <c r="QY100" s="15"/>
      <c r="QZ100" s="15"/>
      <c r="RA100" s="15"/>
      <c r="RB100" s="15"/>
      <c r="RC100" s="15"/>
      <c r="RD100" s="15"/>
      <c r="RE100" s="15"/>
      <c r="RF100" s="15"/>
      <c r="RG100" s="15"/>
      <c r="RH100" s="15"/>
      <c r="RI100" s="15"/>
      <c r="RJ100" s="15"/>
      <c r="RK100" s="15"/>
      <c r="RL100" s="15"/>
      <c r="RM100" s="15"/>
      <c r="RN100" s="15"/>
      <c r="RO100" s="15"/>
      <c r="RP100" s="15"/>
      <c r="RQ100" s="15"/>
      <c r="RR100" s="15"/>
      <c r="RS100" s="15"/>
      <c r="RT100" s="15"/>
      <c r="RU100" s="15"/>
      <c r="RV100" s="15"/>
      <c r="RW100" s="15"/>
      <c r="RX100" s="15"/>
      <c r="RY100" s="15"/>
      <c r="RZ100" s="15"/>
      <c r="SA100" s="15"/>
      <c r="SB100" s="15"/>
      <c r="SC100" s="15"/>
      <c r="SD100" s="15"/>
      <c r="SE100" s="15"/>
      <c r="SF100" s="15"/>
      <c r="SG100" s="15"/>
      <c r="SH100" s="15"/>
      <c r="SI100" s="15"/>
      <c r="SJ100" s="15"/>
      <c r="SK100" s="15"/>
      <c r="SL100" s="15"/>
      <c r="SM100" s="15"/>
      <c r="SN100" s="15"/>
      <c r="SO100" s="15"/>
      <c r="SP100" s="15"/>
      <c r="SQ100" s="15"/>
      <c r="SR100" s="15"/>
      <c r="SS100" s="15"/>
      <c r="ST100" s="15"/>
      <c r="SU100" s="15"/>
      <c r="SV100" s="15"/>
      <c r="SW100" s="15"/>
      <c r="SX100" s="15"/>
      <c r="SY100" s="15"/>
      <c r="SZ100" s="15"/>
      <c r="TA100" s="15"/>
      <c r="TB100" s="15"/>
      <c r="TC100" s="15"/>
      <c r="TD100" s="15"/>
      <c r="TE100" s="15"/>
      <c r="TF100" s="15"/>
      <c r="TG100" s="15"/>
      <c r="TH100" s="15"/>
      <c r="TI100" s="15"/>
      <c r="TJ100" s="15"/>
      <c r="TK100" s="15"/>
      <c r="TL100" s="15"/>
      <c r="TM100" s="15"/>
      <c r="TN100" s="15"/>
      <c r="TO100" s="15"/>
      <c r="TP100" s="15"/>
      <c r="TQ100" s="15"/>
      <c r="TR100" s="15"/>
      <c r="TS100" s="15"/>
      <c r="TT100" s="15"/>
      <c r="TU100" s="15"/>
      <c r="TV100" s="15"/>
      <c r="TW100" s="15"/>
      <c r="TX100" s="15"/>
      <c r="TY100" s="15"/>
      <c r="TZ100" s="15"/>
      <c r="UA100" s="15"/>
      <c r="UB100" s="15"/>
      <c r="UC100" s="15"/>
      <c r="UD100" s="15"/>
      <c r="UE100" s="15"/>
      <c r="UF100" s="15"/>
      <c r="UG100" s="15"/>
      <c r="UH100" s="15"/>
      <c r="UI100" s="15"/>
      <c r="UJ100" s="15"/>
      <c r="UK100" s="15"/>
      <c r="UL100" s="15"/>
      <c r="UM100" s="15"/>
      <c r="UN100" s="15"/>
      <c r="UO100" s="15"/>
      <c r="UP100" s="15"/>
      <c r="UQ100" s="15"/>
      <c r="UR100" s="15"/>
      <c r="US100" s="15"/>
      <c r="UT100" s="15"/>
      <c r="UU100" s="15"/>
      <c r="UV100" s="15"/>
      <c r="UW100" s="15"/>
      <c r="UX100" s="15"/>
      <c r="UY100" s="15"/>
      <c r="UZ100" s="15"/>
      <c r="VA100" s="15"/>
      <c r="VB100" s="15"/>
      <c r="VC100" s="15"/>
      <c r="VD100" s="15"/>
      <c r="VE100" s="15"/>
      <c r="VF100" s="15"/>
      <c r="VG100" s="15"/>
      <c r="VH100" s="15"/>
      <c r="VI100" s="15"/>
      <c r="VJ100" s="15"/>
      <c r="VK100" s="15"/>
      <c r="VL100" s="15"/>
      <c r="VM100" s="15"/>
      <c r="VN100" s="15"/>
      <c r="VO100" s="15"/>
      <c r="VP100" s="15"/>
      <c r="VQ100" s="15"/>
      <c r="VR100" s="15"/>
      <c r="VS100" s="15"/>
      <c r="VT100" s="15"/>
      <c r="VU100" s="15"/>
      <c r="VV100" s="15"/>
      <c r="VW100" s="15"/>
      <c r="VX100" s="15"/>
      <c r="VY100" s="15"/>
      <c r="VZ100" s="15"/>
      <c r="WA100" s="15"/>
      <c r="WB100" s="15"/>
      <c r="WC100" s="15"/>
      <c r="WD100" s="15"/>
      <c r="WE100" s="15"/>
      <c r="WF100" s="15"/>
      <c r="WG100" s="15"/>
      <c r="WH100" s="15"/>
      <c r="WI100" s="15"/>
      <c r="WJ100" s="15"/>
      <c r="WK100" s="15"/>
      <c r="WL100" s="15"/>
      <c r="WM100" s="15"/>
      <c r="WN100" s="15"/>
      <c r="WO100" s="15"/>
      <c r="WP100" s="15"/>
      <c r="WQ100" s="15"/>
      <c r="WR100" s="15"/>
      <c r="WS100" s="15"/>
      <c r="WT100" s="15"/>
      <c r="WU100" s="15"/>
      <c r="WV100" s="15"/>
      <c r="WW100" s="15"/>
      <c r="WX100" s="15"/>
      <c r="WY100" s="15"/>
      <c r="WZ100" s="15"/>
      <c r="XA100" s="15"/>
      <c r="XB100" s="15"/>
      <c r="XC100" s="15"/>
      <c r="XD100" s="15"/>
      <c r="XE100" s="15"/>
      <c r="XF100" s="15"/>
      <c r="XG100" s="15"/>
      <c r="XH100" s="15"/>
      <c r="XI100" s="15"/>
      <c r="XJ100" s="15"/>
      <c r="XK100" s="15"/>
      <c r="XL100" s="15"/>
      <c r="XM100" s="15"/>
      <c r="XN100" s="15"/>
      <c r="XO100" s="15"/>
      <c r="XP100" s="15"/>
      <c r="XQ100" s="15"/>
      <c r="XR100" s="15"/>
      <c r="XS100" s="15"/>
      <c r="XT100" s="15"/>
      <c r="XU100" s="15"/>
      <c r="XV100" s="15"/>
      <c r="XW100" s="15"/>
      <c r="XX100" s="15"/>
      <c r="XY100" s="15"/>
      <c r="XZ100" s="15"/>
      <c r="YA100" s="15"/>
      <c r="YB100" s="15"/>
      <c r="YC100" s="15"/>
      <c r="YD100" s="15"/>
      <c r="YE100" s="15"/>
      <c r="YF100" s="15"/>
      <c r="YG100" s="15"/>
      <c r="YH100" s="15"/>
      <c r="YI100" s="15"/>
      <c r="YJ100" s="15"/>
      <c r="YK100" s="15"/>
      <c r="YL100" s="15"/>
      <c r="YM100" s="15"/>
      <c r="YN100" s="15"/>
      <c r="YO100" s="15"/>
      <c r="YP100" s="15"/>
      <c r="YQ100" s="15"/>
      <c r="YR100" s="15"/>
      <c r="YS100" s="15"/>
      <c r="YT100" s="15"/>
      <c r="YU100" s="15"/>
      <c r="YV100" s="15"/>
      <c r="YW100" s="15"/>
      <c r="YX100" s="15"/>
      <c r="YY100" s="15"/>
      <c r="YZ100" s="15"/>
      <c r="ZA100" s="15"/>
      <c r="ZB100" s="15"/>
      <c r="ZC100" s="15"/>
      <c r="ZD100" s="15"/>
      <c r="ZE100" s="15"/>
      <c r="ZF100" s="15"/>
      <c r="ZG100" s="15"/>
      <c r="ZH100" s="15"/>
      <c r="ZI100" s="15"/>
      <c r="ZJ100" s="15"/>
      <c r="ZK100" s="15"/>
      <c r="ZL100" s="15"/>
      <c r="ZM100" s="15"/>
      <c r="ZN100" s="15"/>
      <c r="ZO100" s="15"/>
      <c r="ZP100" s="15"/>
      <c r="ZQ100" s="15"/>
      <c r="ZR100" s="15"/>
      <c r="ZS100" s="15"/>
      <c r="ZT100" s="15"/>
      <c r="ZU100" s="15"/>
      <c r="ZV100" s="15"/>
      <c r="ZW100" s="15"/>
      <c r="ZX100" s="15"/>
      <c r="ZY100" s="15"/>
      <c r="ZZ100" s="15"/>
      <c r="AAA100" s="15"/>
      <c r="AAB100" s="15"/>
      <c r="AAC100" s="15"/>
      <c r="AAD100" s="15"/>
      <c r="AAE100" s="15"/>
      <c r="AAF100" s="15"/>
      <c r="AAG100" s="15"/>
      <c r="AAH100" s="15"/>
      <c r="AAI100" s="15"/>
      <c r="AAJ100" s="15"/>
      <c r="AAK100" s="15"/>
      <c r="AAL100" s="15"/>
      <c r="AAM100" s="15"/>
      <c r="AAN100" s="15"/>
      <c r="AAO100" s="15"/>
      <c r="AAP100" s="15"/>
      <c r="AAQ100" s="15"/>
      <c r="AAR100" s="15"/>
      <c r="AAS100" s="15"/>
      <c r="AAT100" s="15"/>
      <c r="AAU100" s="15"/>
      <c r="AAV100" s="15"/>
      <c r="AAW100" s="15"/>
      <c r="AAX100" s="15"/>
      <c r="AAY100" s="15"/>
      <c r="AAZ100" s="15"/>
      <c r="ABA100" s="15"/>
      <c r="ABB100" s="15"/>
      <c r="ABC100" s="15"/>
      <c r="ABD100" s="15"/>
      <c r="ABE100" s="15"/>
      <c r="ABF100" s="15"/>
      <c r="ABG100" s="15"/>
      <c r="ABH100" s="15"/>
      <c r="ABI100" s="15"/>
      <c r="ABJ100" s="15"/>
      <c r="ABK100" s="15"/>
      <c r="ABL100" s="15"/>
      <c r="ABM100" s="15"/>
      <c r="ABN100" s="15"/>
      <c r="ABO100" s="15"/>
      <c r="ABP100" s="15"/>
      <c r="ABQ100" s="15"/>
      <c r="ABR100" s="15"/>
      <c r="ABS100" s="15"/>
      <c r="ABT100" s="15"/>
      <c r="ABU100" s="15"/>
      <c r="ABV100" s="15"/>
      <c r="ABW100" s="15"/>
      <c r="ABX100" s="15"/>
      <c r="ABY100" s="15"/>
      <c r="ABZ100" s="15"/>
      <c r="ACA100" s="15"/>
      <c r="ACB100" s="15"/>
      <c r="ACC100" s="15"/>
      <c r="ACD100" s="15"/>
      <c r="ACE100" s="15"/>
      <c r="ACF100" s="15"/>
      <c r="ACG100" s="15"/>
      <c r="ACH100" s="15"/>
      <c r="ACI100" s="15"/>
      <c r="ACJ100" s="15"/>
      <c r="ACK100" s="15"/>
      <c r="ACL100" s="15"/>
      <c r="ACM100" s="15"/>
      <c r="ACN100" s="15"/>
      <c r="ACO100" s="15"/>
      <c r="ACP100" s="15"/>
      <c r="ACQ100" s="15"/>
      <c r="ACR100" s="15"/>
      <c r="ACS100" s="15"/>
      <c r="ACT100" s="15"/>
      <c r="ACU100" s="15"/>
      <c r="ACV100" s="15"/>
      <c r="ACW100" s="15"/>
      <c r="ACX100" s="15"/>
      <c r="ACY100" s="15"/>
      <c r="ACZ100" s="15"/>
      <c r="ADA100" s="15"/>
      <c r="ADB100" s="15"/>
      <c r="ADC100" s="15"/>
      <c r="ADD100" s="15"/>
      <c r="ADE100" s="15"/>
      <c r="ADF100" s="15"/>
      <c r="ADG100" s="15"/>
      <c r="ADH100" s="15"/>
      <c r="ADI100" s="15"/>
      <c r="ADJ100" s="15"/>
      <c r="ADK100" s="15"/>
      <c r="ADL100" s="15"/>
      <c r="ADM100" s="15"/>
      <c r="ADN100" s="15"/>
      <c r="ADO100" s="15"/>
      <c r="ADP100" s="15"/>
      <c r="ADQ100" s="15"/>
      <c r="ADR100" s="15"/>
      <c r="ADS100" s="15"/>
      <c r="ADT100" s="15"/>
      <c r="ADU100" s="15"/>
      <c r="ADV100" s="15"/>
      <c r="ADW100" s="15"/>
      <c r="ADX100" s="15"/>
      <c r="ADY100" s="15"/>
      <c r="ADZ100" s="15"/>
      <c r="AEA100" s="15"/>
      <c r="AEB100" s="15"/>
      <c r="AEC100" s="15"/>
      <c r="AED100" s="15"/>
      <c r="AEE100" s="15"/>
      <c r="AEF100" s="15"/>
      <c r="AEG100" s="15"/>
      <c r="AEH100" s="15"/>
      <c r="AEI100" s="15"/>
      <c r="AEJ100" s="15"/>
      <c r="AEK100" s="15"/>
      <c r="AEL100" s="15"/>
      <c r="AEM100" s="15"/>
      <c r="AEN100" s="15"/>
      <c r="AEO100" s="15"/>
      <c r="AEP100" s="15"/>
      <c r="AEQ100" s="15"/>
      <c r="AER100" s="15"/>
      <c r="AES100" s="15"/>
      <c r="AET100" s="15"/>
      <c r="AEU100" s="15"/>
      <c r="AEV100" s="15"/>
      <c r="AEW100" s="15"/>
      <c r="AEX100" s="15"/>
      <c r="AEY100" s="15"/>
      <c r="AEZ100" s="15"/>
      <c r="AFA100" s="15"/>
      <c r="AFB100" s="15"/>
      <c r="AFC100" s="15"/>
      <c r="AFD100" s="15"/>
      <c r="AFE100" s="15"/>
      <c r="AFF100" s="15"/>
      <c r="AFG100" s="15"/>
      <c r="AFH100" s="15"/>
      <c r="AFI100" s="15"/>
      <c r="AFJ100" s="15"/>
      <c r="AFK100" s="15"/>
      <c r="AFL100" s="15"/>
      <c r="AFM100" s="15"/>
      <c r="AFN100" s="15"/>
      <c r="AFO100" s="15"/>
      <c r="AFP100" s="15"/>
      <c r="AFQ100" s="15"/>
      <c r="AFR100" s="15"/>
      <c r="AFS100" s="15"/>
      <c r="AFT100" s="15"/>
      <c r="AFU100" s="15"/>
      <c r="AFV100" s="15"/>
      <c r="AFW100" s="15"/>
      <c r="AFX100" s="15"/>
      <c r="AFY100" s="15"/>
      <c r="AFZ100" s="15"/>
      <c r="AGA100" s="15"/>
      <c r="AGB100" s="15"/>
      <c r="AGC100" s="15"/>
      <c r="AGD100" s="15"/>
      <c r="AGE100" s="15"/>
      <c r="AGF100" s="15"/>
      <c r="AGG100" s="15"/>
      <c r="AGH100" s="15"/>
      <c r="AGI100" s="15"/>
      <c r="AGJ100" s="15"/>
      <c r="AGK100" s="15"/>
      <c r="AGL100" s="15"/>
      <c r="AGM100" s="15"/>
      <c r="AGN100" s="15"/>
      <c r="AGO100" s="15"/>
      <c r="AGP100" s="15"/>
      <c r="AGQ100" s="15"/>
      <c r="AGR100" s="15"/>
      <c r="AGS100" s="15"/>
      <c r="AGT100" s="15"/>
      <c r="AGU100" s="15"/>
      <c r="AGV100" s="15"/>
      <c r="AGW100" s="15"/>
      <c r="AGX100" s="15"/>
      <c r="AGY100" s="15"/>
      <c r="AGZ100" s="15"/>
      <c r="AHA100" s="15"/>
      <c r="AHB100" s="15"/>
      <c r="AHC100" s="15"/>
      <c r="AHD100" s="15"/>
      <c r="AHE100" s="15"/>
      <c r="AHF100" s="15"/>
      <c r="AHG100" s="15"/>
      <c r="AHH100" s="15"/>
      <c r="AHI100" s="15"/>
      <c r="AHJ100" s="15"/>
      <c r="AHK100" s="15"/>
      <c r="AHL100" s="15"/>
      <c r="AHM100" s="15"/>
      <c r="AHN100" s="15"/>
      <c r="AHO100" s="15"/>
      <c r="AHP100" s="15"/>
      <c r="AHQ100" s="15"/>
      <c r="AHR100" s="15"/>
      <c r="AHS100" s="15"/>
      <c r="AHT100" s="15"/>
      <c r="AHU100" s="15"/>
      <c r="AHV100" s="15"/>
      <c r="AHW100" s="15"/>
      <c r="AHX100" s="15"/>
      <c r="AHY100" s="15"/>
      <c r="AHZ100" s="15"/>
      <c r="AIA100" s="15"/>
      <c r="AIB100" s="15"/>
      <c r="AIC100" s="15"/>
      <c r="AID100" s="15"/>
      <c r="AIE100" s="15"/>
      <c r="AIF100" s="15"/>
      <c r="AIG100" s="15"/>
      <c r="AIH100" s="15"/>
      <c r="AII100" s="15"/>
      <c r="AIJ100" s="15"/>
      <c r="AIK100" s="15"/>
      <c r="AIL100" s="15"/>
      <c r="AIM100" s="15"/>
      <c r="AIN100" s="15"/>
      <c r="AIO100" s="15"/>
      <c r="AIP100" s="15"/>
      <c r="AIQ100" s="15"/>
      <c r="AIR100" s="15"/>
      <c r="AIS100" s="15"/>
      <c r="AIT100" s="15"/>
      <c r="AIU100" s="15"/>
      <c r="AIV100" s="15"/>
      <c r="AIW100" s="15"/>
      <c r="AIX100" s="15"/>
      <c r="AIY100" s="15"/>
      <c r="AIZ100" s="15"/>
      <c r="AJA100" s="15"/>
      <c r="AJB100" s="15"/>
      <c r="AJC100" s="15"/>
      <c r="AJD100" s="15"/>
      <c r="AJE100" s="15"/>
      <c r="AJF100" s="15"/>
      <c r="AJG100" s="15"/>
      <c r="AJH100" s="15"/>
      <c r="AJI100" s="15"/>
      <c r="AJJ100" s="15"/>
      <c r="AJK100" s="15"/>
      <c r="AJL100" s="15"/>
      <c r="AJM100" s="15"/>
      <c r="AJN100" s="15"/>
      <c r="AJO100" s="15"/>
      <c r="AJP100" s="15"/>
      <c r="AJQ100" s="15"/>
      <c r="AJR100" s="15"/>
      <c r="AJS100" s="15"/>
      <c r="AJT100" s="15"/>
      <c r="AJU100" s="15"/>
      <c r="AJV100" s="15"/>
      <c r="AJW100" s="15"/>
      <c r="AJX100" s="15"/>
      <c r="AJY100" s="15"/>
      <c r="AJZ100" s="15"/>
      <c r="AKA100" s="15"/>
      <c r="AKB100" s="15"/>
      <c r="AKC100" s="15"/>
      <c r="AKD100" s="15"/>
      <c r="AKE100" s="15"/>
      <c r="AKF100" s="15"/>
      <c r="AKG100" s="15"/>
      <c r="AKH100" s="15"/>
      <c r="AKI100" s="15"/>
      <c r="AKJ100" s="15"/>
      <c r="AKK100" s="15"/>
      <c r="AKL100" s="15"/>
      <c r="AKM100" s="15"/>
      <c r="AKN100" s="15"/>
      <c r="AKO100" s="15"/>
      <c r="AKP100" s="15"/>
      <c r="AKQ100" s="15"/>
      <c r="AKR100" s="15"/>
      <c r="AKS100" s="15"/>
      <c r="AKT100" s="15"/>
      <c r="AKU100" s="15"/>
      <c r="AKV100" s="15"/>
      <c r="AKW100" s="15"/>
      <c r="AKX100" s="15"/>
      <c r="AKY100" s="15"/>
      <c r="AKZ100" s="15"/>
      <c r="ALA100" s="15"/>
      <c r="ALB100" s="15"/>
      <c r="ALC100" s="15"/>
      <c r="ALD100" s="15"/>
      <c r="ALE100" s="15"/>
      <c r="ALF100" s="15"/>
      <c r="ALG100" s="15"/>
      <c r="ALH100" s="15"/>
      <c r="ALI100" s="15"/>
      <c r="ALJ100" s="15"/>
      <c r="ALK100" s="15"/>
      <c r="ALL100" s="15"/>
      <c r="ALM100" s="15"/>
      <c r="ALN100" s="15"/>
      <c r="ALO100" s="15"/>
      <c r="ALP100" s="15"/>
      <c r="ALQ100" s="15"/>
      <c r="ALR100" s="15"/>
      <c r="ALS100" s="15"/>
      <c r="ALT100" s="15"/>
      <c r="ALU100" s="15"/>
      <c r="ALV100" s="15"/>
      <c r="ALW100" s="15"/>
      <c r="ALX100" s="15"/>
      <c r="ALY100" s="15"/>
      <c r="ALZ100" s="15"/>
      <c r="AMA100" s="15"/>
      <c r="AMB100" s="15"/>
      <c r="AMC100" s="15"/>
      <c r="AMD100" s="15"/>
      <c r="AME100" s="15"/>
      <c r="AMF100" s="15"/>
      <c r="AMG100" s="15"/>
      <c r="AMH100" s="15"/>
      <c r="AMI100" s="15"/>
      <c r="AMJ100" s="15"/>
      <c r="AMK100" s="15"/>
      <c r="AML100" s="15"/>
      <c r="AMM100" s="15"/>
      <c r="AMN100" s="15"/>
      <c r="AMO100" s="15"/>
      <c r="AMP100" s="15"/>
      <c r="AMQ100" s="15"/>
      <c r="AMR100" s="15"/>
      <c r="AMS100" s="15"/>
      <c r="AMT100" s="15"/>
      <c r="AMU100" s="15"/>
      <c r="AMV100" s="15"/>
      <c r="AMW100" s="15"/>
      <c r="AMX100" s="15"/>
      <c r="AMY100" s="15"/>
      <c r="AMZ100" s="15"/>
      <c r="ANA100" s="15"/>
      <c r="ANB100" s="15"/>
      <c r="ANC100" s="15"/>
      <c r="AND100" s="15"/>
      <c r="ANE100" s="15"/>
      <c r="ANF100" s="15"/>
      <c r="ANG100" s="15"/>
      <c r="ANH100" s="15"/>
      <c r="ANI100" s="15"/>
      <c r="ANJ100" s="15"/>
      <c r="ANK100" s="15"/>
      <c r="ANL100" s="15"/>
      <c r="ANM100" s="15"/>
      <c r="ANN100" s="15"/>
      <c r="ANO100" s="15"/>
      <c r="ANP100" s="15"/>
      <c r="ANQ100" s="15"/>
      <c r="ANR100" s="15"/>
      <c r="ANS100" s="15"/>
      <c r="ANT100" s="15"/>
      <c r="ANU100" s="15"/>
      <c r="ANV100" s="15"/>
      <c r="ANW100" s="15"/>
      <c r="ANX100" s="15"/>
      <c r="ANY100" s="15"/>
      <c r="ANZ100" s="15"/>
      <c r="AOA100" s="15"/>
      <c r="AOB100" s="15"/>
      <c r="AOC100" s="15"/>
      <c r="AOD100" s="15"/>
      <c r="AOE100" s="15"/>
      <c r="AOF100" s="15"/>
      <c r="AOG100" s="15"/>
      <c r="AOH100" s="15"/>
      <c r="AOI100" s="15"/>
      <c r="AOJ100" s="15"/>
      <c r="AOK100" s="15"/>
      <c r="AOL100" s="15"/>
      <c r="AOM100" s="15"/>
      <c r="AON100" s="15"/>
      <c r="AOO100" s="15"/>
      <c r="AOP100" s="15"/>
      <c r="AOQ100" s="15"/>
      <c r="AOR100" s="15"/>
      <c r="AOS100" s="15"/>
      <c r="AOT100" s="15"/>
      <c r="AOU100" s="15"/>
      <c r="AOV100" s="15"/>
      <c r="AOW100" s="15"/>
      <c r="AOX100" s="15"/>
      <c r="AOY100" s="15"/>
      <c r="AOZ100" s="15"/>
      <c r="APA100" s="15"/>
      <c r="APB100" s="15"/>
      <c r="APC100" s="15"/>
      <c r="APD100" s="15"/>
      <c r="APE100" s="15"/>
      <c r="APF100" s="15"/>
      <c r="APG100" s="15"/>
      <c r="APH100" s="15"/>
      <c r="API100" s="15"/>
      <c r="APJ100" s="15"/>
      <c r="APK100" s="15"/>
      <c r="APL100" s="15"/>
      <c r="APM100" s="15"/>
      <c r="APN100" s="15"/>
      <c r="APO100" s="15"/>
      <c r="APP100" s="15"/>
      <c r="APQ100" s="15"/>
      <c r="APR100" s="15"/>
      <c r="APS100" s="15"/>
      <c r="APT100" s="15"/>
      <c r="APU100" s="15"/>
      <c r="APV100" s="15"/>
      <c r="APW100" s="15"/>
      <c r="APX100" s="15"/>
      <c r="APY100" s="15"/>
      <c r="APZ100" s="15"/>
      <c r="AQA100" s="15"/>
      <c r="AQB100" s="15"/>
      <c r="AQC100" s="15"/>
      <c r="AQD100" s="15"/>
      <c r="AQE100" s="15"/>
      <c r="AQF100" s="15"/>
      <c r="AQG100" s="15"/>
      <c r="AQH100" s="15"/>
      <c r="AQI100" s="15"/>
      <c r="AQJ100" s="15"/>
      <c r="AQK100" s="15"/>
      <c r="AQL100" s="15"/>
      <c r="AQM100" s="15"/>
      <c r="AQN100" s="15"/>
      <c r="AQO100" s="15"/>
      <c r="AQP100" s="15"/>
      <c r="AQQ100" s="15"/>
      <c r="AQR100" s="15"/>
      <c r="AQS100" s="15"/>
      <c r="AQT100" s="15"/>
      <c r="AQU100" s="15"/>
      <c r="AQV100" s="15"/>
      <c r="AQW100" s="15"/>
      <c r="AQX100" s="15"/>
      <c r="AQY100" s="15"/>
      <c r="AQZ100" s="15"/>
      <c r="ARA100" s="15"/>
      <c r="ARB100" s="15"/>
      <c r="ARC100" s="15"/>
      <c r="ARD100" s="15"/>
      <c r="ARE100" s="15"/>
      <c r="ARF100" s="15"/>
      <c r="ARG100" s="15"/>
      <c r="ARH100" s="15"/>
      <c r="ARI100" s="15"/>
      <c r="ARJ100" s="15"/>
      <c r="ARK100" s="15"/>
      <c r="ARL100" s="15"/>
      <c r="ARM100" s="15"/>
      <c r="ARN100" s="15"/>
      <c r="ARO100" s="15"/>
      <c r="ARP100" s="15"/>
      <c r="ARQ100" s="15"/>
      <c r="ARR100" s="15"/>
      <c r="ARS100" s="15"/>
      <c r="ART100" s="15"/>
      <c r="ARU100" s="15"/>
      <c r="ARV100" s="15"/>
      <c r="ARW100" s="15"/>
      <c r="ARX100" s="15"/>
      <c r="ARY100" s="15"/>
      <c r="ARZ100" s="15"/>
      <c r="ASA100" s="15"/>
      <c r="ASB100" s="15"/>
      <c r="ASC100" s="15"/>
      <c r="ASD100" s="15"/>
      <c r="ASE100" s="15"/>
      <c r="ASF100" s="15"/>
      <c r="ASG100" s="15"/>
      <c r="ASH100" s="15"/>
      <c r="ASI100" s="15"/>
      <c r="ASJ100" s="15"/>
      <c r="ASK100" s="15"/>
      <c r="ASL100" s="15"/>
      <c r="ASM100" s="15"/>
      <c r="ASN100" s="15"/>
      <c r="ASO100" s="15"/>
      <c r="ASP100" s="15"/>
      <c r="ASQ100" s="15"/>
      <c r="ASR100" s="15"/>
      <c r="ASS100" s="15"/>
      <c r="AST100" s="15"/>
      <c r="ASU100" s="15"/>
      <c r="ASV100" s="15"/>
      <c r="ASW100" s="15"/>
      <c r="ASX100" s="15"/>
      <c r="ASY100" s="15"/>
      <c r="ASZ100" s="15"/>
      <c r="ATA100" s="15"/>
      <c r="ATB100" s="15"/>
      <c r="ATC100" s="15"/>
      <c r="ATD100" s="15"/>
      <c r="ATE100" s="15"/>
      <c r="ATF100" s="15"/>
      <c r="ATG100" s="15"/>
      <c r="ATH100" s="15"/>
      <c r="ATI100" s="15"/>
      <c r="ATJ100" s="15"/>
      <c r="ATK100" s="15"/>
      <c r="ATL100" s="15"/>
      <c r="ATM100" s="15"/>
      <c r="ATN100" s="15"/>
      <c r="ATO100" s="15"/>
      <c r="ATP100" s="15"/>
      <c r="ATQ100" s="15"/>
      <c r="ATR100" s="15"/>
      <c r="ATS100" s="15"/>
      <c r="ATT100" s="15"/>
      <c r="ATU100" s="15"/>
      <c r="ATV100" s="15"/>
      <c r="ATW100" s="15"/>
      <c r="ATX100" s="15"/>
      <c r="ATY100" s="15"/>
      <c r="ATZ100" s="15"/>
      <c r="AUA100" s="15"/>
      <c r="AUB100" s="15"/>
      <c r="AUC100" s="15"/>
      <c r="AUD100" s="15"/>
      <c r="AUE100" s="15"/>
      <c r="AUF100" s="15"/>
      <c r="AUG100" s="15"/>
      <c r="AUH100" s="15"/>
      <c r="AUI100" s="15"/>
      <c r="AUJ100" s="15"/>
      <c r="AUK100" s="15"/>
      <c r="AUL100" s="15"/>
      <c r="AUM100" s="15"/>
      <c r="AUN100" s="15"/>
      <c r="AUO100" s="15"/>
      <c r="AUP100" s="15"/>
      <c r="AUQ100" s="15"/>
      <c r="AUR100" s="15"/>
      <c r="AUS100" s="15"/>
      <c r="AUT100" s="15"/>
      <c r="AUU100" s="15"/>
      <c r="AUV100" s="15"/>
      <c r="AUW100" s="15"/>
      <c r="AUX100" s="15"/>
      <c r="AUY100" s="15"/>
      <c r="AUZ100" s="15"/>
      <c r="AVA100" s="15"/>
      <c r="AVB100" s="15"/>
      <c r="AVC100" s="15"/>
      <c r="AVD100" s="15"/>
      <c r="AVE100" s="15"/>
      <c r="AVF100" s="15"/>
      <c r="AVG100" s="15"/>
      <c r="AVH100" s="15"/>
      <c r="AVI100" s="15"/>
      <c r="AVJ100" s="15"/>
      <c r="AVK100" s="15"/>
      <c r="AVL100" s="15"/>
      <c r="AVM100" s="15"/>
      <c r="AVN100" s="15"/>
      <c r="AVO100" s="15"/>
      <c r="AVP100" s="15"/>
      <c r="AVQ100" s="15"/>
      <c r="AVR100" s="15"/>
      <c r="AVS100" s="15"/>
      <c r="AVT100" s="15"/>
      <c r="AVU100" s="15"/>
      <c r="AVV100" s="15"/>
      <c r="AVW100" s="15"/>
      <c r="AVX100" s="15"/>
      <c r="AVY100" s="15"/>
      <c r="AVZ100" s="15"/>
      <c r="AWA100" s="15"/>
      <c r="AWB100" s="15"/>
      <c r="AWC100" s="15"/>
      <c r="AWD100" s="15"/>
      <c r="AWE100" s="15"/>
      <c r="AWF100" s="15"/>
      <c r="AWG100" s="15"/>
      <c r="AWH100" s="15"/>
      <c r="AWI100" s="15"/>
      <c r="AWJ100" s="15"/>
      <c r="AWK100" s="15"/>
      <c r="AWL100" s="15"/>
      <c r="AWM100" s="15"/>
      <c r="AWN100" s="15"/>
      <c r="AWO100" s="15"/>
      <c r="AWP100" s="15"/>
      <c r="AWQ100" s="15"/>
      <c r="AWR100" s="15"/>
      <c r="AWS100" s="15"/>
      <c r="AWT100" s="15"/>
      <c r="AWU100" s="15"/>
      <c r="AWV100" s="15"/>
      <c r="AWW100" s="15"/>
      <c r="AWX100" s="15"/>
      <c r="AWY100" s="15"/>
      <c r="AWZ100" s="15"/>
      <c r="AXA100" s="15"/>
      <c r="AXB100" s="15"/>
      <c r="AXC100" s="15"/>
      <c r="AXD100" s="15"/>
      <c r="AXE100" s="15"/>
      <c r="AXF100" s="15"/>
      <c r="AXG100" s="15"/>
      <c r="AXH100" s="15"/>
      <c r="AXI100" s="15"/>
      <c r="AXJ100" s="15"/>
      <c r="AXK100" s="15"/>
      <c r="AXL100" s="15"/>
      <c r="AXM100" s="15"/>
      <c r="AXN100" s="15"/>
      <c r="AXO100" s="15"/>
      <c r="AXP100" s="15"/>
      <c r="AXQ100" s="15"/>
      <c r="AXR100" s="15"/>
      <c r="AXS100" s="15"/>
      <c r="AXT100" s="15"/>
      <c r="AXU100" s="15"/>
      <c r="AXV100" s="15"/>
      <c r="AXW100" s="15"/>
      <c r="AXX100" s="15"/>
      <c r="AXY100" s="15"/>
      <c r="AXZ100" s="15"/>
      <c r="AYA100" s="15"/>
      <c r="AYB100" s="15"/>
      <c r="AYC100" s="15"/>
      <c r="AYD100" s="15"/>
      <c r="AYE100" s="15"/>
      <c r="AYF100" s="15"/>
      <c r="AYG100" s="15"/>
      <c r="AYH100" s="15"/>
      <c r="AYI100" s="15"/>
      <c r="AYJ100" s="15"/>
      <c r="AYK100" s="15"/>
      <c r="AYL100" s="15"/>
      <c r="AYM100" s="15"/>
      <c r="AYN100" s="15"/>
      <c r="AYO100" s="15"/>
      <c r="AYP100" s="15"/>
      <c r="AYQ100" s="15"/>
      <c r="AYR100" s="15"/>
      <c r="AYS100" s="15"/>
      <c r="AYT100" s="15"/>
      <c r="AYU100" s="15"/>
      <c r="AYV100" s="15"/>
      <c r="AYW100" s="15"/>
      <c r="AYX100" s="15"/>
      <c r="AYY100" s="15"/>
      <c r="AYZ100" s="15"/>
      <c r="AZA100" s="15"/>
      <c r="AZB100" s="15"/>
      <c r="AZC100" s="15"/>
      <c r="AZD100" s="15"/>
      <c r="AZE100" s="15"/>
      <c r="AZF100" s="15"/>
      <c r="AZG100" s="15"/>
      <c r="AZH100" s="15"/>
      <c r="AZI100" s="15"/>
      <c r="AZJ100" s="15"/>
      <c r="AZK100" s="15"/>
      <c r="AZL100" s="15"/>
      <c r="AZM100" s="15"/>
      <c r="AZN100" s="15"/>
      <c r="AZO100" s="15"/>
      <c r="AZP100" s="15"/>
      <c r="AZQ100" s="15"/>
      <c r="AZR100" s="15"/>
      <c r="AZS100" s="15"/>
      <c r="AZT100" s="15"/>
      <c r="AZU100" s="15"/>
      <c r="AZV100" s="15"/>
      <c r="AZW100" s="15"/>
      <c r="AZX100" s="15"/>
      <c r="AZY100" s="15"/>
      <c r="AZZ100" s="15"/>
      <c r="BAA100" s="15"/>
      <c r="BAB100" s="15"/>
      <c r="BAC100" s="15"/>
      <c r="BAD100" s="15"/>
      <c r="BAE100" s="15"/>
      <c r="BAF100" s="15"/>
      <c r="BAG100" s="15"/>
      <c r="BAH100" s="15"/>
      <c r="BAI100" s="15"/>
      <c r="BAJ100" s="15"/>
      <c r="BAK100" s="15"/>
      <c r="BAL100" s="15"/>
      <c r="BAM100" s="15"/>
      <c r="BAN100" s="15"/>
      <c r="BAO100" s="15"/>
      <c r="BAP100" s="15"/>
      <c r="BAQ100" s="15"/>
      <c r="BAR100" s="15"/>
      <c r="BAS100" s="15"/>
      <c r="BAT100" s="15"/>
      <c r="BAU100" s="15"/>
      <c r="BAV100" s="15"/>
      <c r="BAW100" s="15"/>
      <c r="BAX100" s="15"/>
      <c r="BAY100" s="15"/>
      <c r="BAZ100" s="15"/>
      <c r="BBA100" s="15"/>
      <c r="BBB100" s="15"/>
      <c r="BBC100" s="15"/>
      <c r="BBD100" s="15"/>
      <c r="BBE100" s="15"/>
      <c r="BBF100" s="15"/>
      <c r="BBG100" s="15"/>
      <c r="BBH100" s="15"/>
      <c r="BBI100" s="15"/>
      <c r="BBJ100" s="15"/>
      <c r="BBK100" s="15"/>
      <c r="BBL100" s="15"/>
      <c r="BBM100" s="15"/>
      <c r="BBN100" s="15"/>
      <c r="BBO100" s="15"/>
      <c r="BBP100" s="15"/>
      <c r="BBQ100" s="15"/>
      <c r="BBR100" s="15"/>
      <c r="BBS100" s="15"/>
      <c r="BBT100" s="15"/>
      <c r="BBU100" s="15"/>
      <c r="BBV100" s="15"/>
      <c r="BBW100" s="15"/>
      <c r="BBX100" s="15"/>
      <c r="BBY100" s="15"/>
      <c r="BBZ100" s="15"/>
      <c r="BCA100" s="15"/>
      <c r="BCB100" s="15"/>
      <c r="BCC100" s="15"/>
      <c r="BCD100" s="15"/>
      <c r="BCE100" s="15"/>
      <c r="BCF100" s="15"/>
      <c r="BCG100" s="15"/>
      <c r="BCH100" s="15"/>
      <c r="BCI100" s="15"/>
      <c r="BCJ100" s="15"/>
      <c r="BCK100" s="15"/>
      <c r="BCL100" s="15"/>
      <c r="BCM100" s="15"/>
      <c r="BCN100" s="15"/>
      <c r="BCO100" s="15"/>
      <c r="BCP100" s="15"/>
      <c r="BCQ100" s="15"/>
      <c r="BCR100" s="15"/>
      <c r="BCS100" s="15"/>
      <c r="BCT100" s="15"/>
      <c r="BCU100" s="15"/>
      <c r="BCV100" s="15"/>
      <c r="BCW100" s="15"/>
      <c r="BCX100" s="15"/>
      <c r="BCY100" s="15"/>
      <c r="BCZ100" s="15"/>
      <c r="BDA100" s="15"/>
      <c r="BDB100" s="15"/>
      <c r="BDC100" s="15"/>
      <c r="BDD100" s="15"/>
      <c r="BDE100" s="15"/>
      <c r="BDF100" s="15"/>
      <c r="BDG100" s="15"/>
      <c r="BDH100" s="15"/>
      <c r="BDI100" s="15"/>
      <c r="BDJ100" s="15"/>
      <c r="BDK100" s="15"/>
      <c r="BDL100" s="15"/>
      <c r="BDM100" s="15"/>
      <c r="BDN100" s="15"/>
      <c r="BDO100" s="15"/>
      <c r="BDP100" s="15"/>
      <c r="BDQ100" s="15"/>
      <c r="BDR100" s="15"/>
      <c r="BDS100" s="15"/>
      <c r="BDT100" s="15"/>
      <c r="BDU100" s="15"/>
      <c r="BDV100" s="15"/>
      <c r="BDW100" s="15"/>
      <c r="BDX100" s="15"/>
      <c r="BDY100" s="15"/>
      <c r="BDZ100" s="15"/>
      <c r="BEA100" s="15"/>
      <c r="BEB100" s="15"/>
      <c r="BEC100" s="15"/>
      <c r="BED100" s="15"/>
      <c r="BEE100" s="15"/>
      <c r="BEF100" s="15"/>
      <c r="BEG100" s="15"/>
      <c r="BEH100" s="15"/>
      <c r="BEI100" s="15"/>
      <c r="BEJ100" s="15"/>
      <c r="BEK100" s="15"/>
      <c r="BEL100" s="15"/>
      <c r="BEM100" s="15"/>
      <c r="BEN100" s="15"/>
      <c r="BEO100" s="15"/>
      <c r="BEP100" s="15"/>
      <c r="BEQ100" s="15"/>
      <c r="BER100" s="15"/>
      <c r="BES100" s="15"/>
      <c r="BET100" s="15"/>
      <c r="BEU100" s="15"/>
      <c r="BEV100" s="15"/>
      <c r="BEW100" s="15"/>
      <c r="BEX100" s="15"/>
      <c r="BEY100" s="15"/>
      <c r="BEZ100" s="15"/>
      <c r="BFA100" s="15"/>
      <c r="BFB100" s="15"/>
      <c r="BFC100" s="15"/>
      <c r="BFD100" s="15"/>
      <c r="BFE100" s="15"/>
      <c r="BFF100" s="15"/>
      <c r="BFG100" s="15"/>
      <c r="BFH100" s="15"/>
      <c r="BFI100" s="15"/>
      <c r="BFJ100" s="15"/>
      <c r="BFK100" s="15"/>
      <c r="BFL100" s="15"/>
      <c r="BFM100" s="15"/>
      <c r="BFN100" s="15"/>
      <c r="BFO100" s="15"/>
      <c r="BFP100" s="15"/>
      <c r="BFQ100" s="15"/>
      <c r="BFR100" s="15"/>
      <c r="BFS100" s="15"/>
      <c r="BFT100" s="15"/>
      <c r="BFU100" s="15"/>
      <c r="BFV100" s="15"/>
      <c r="BFW100" s="15"/>
      <c r="BFX100" s="15"/>
      <c r="BFY100" s="15"/>
      <c r="BFZ100" s="15"/>
      <c r="BGA100" s="15"/>
      <c r="BGB100" s="15"/>
      <c r="BGC100" s="15"/>
      <c r="BGD100" s="15"/>
      <c r="BGE100" s="15"/>
      <c r="BGF100" s="15"/>
      <c r="BGG100" s="15"/>
      <c r="BGH100" s="15"/>
      <c r="BGI100" s="15"/>
      <c r="BGJ100" s="15"/>
      <c r="BGK100" s="15"/>
      <c r="BGL100" s="15"/>
      <c r="BGM100" s="15"/>
      <c r="BGN100" s="15"/>
      <c r="BGO100" s="15"/>
      <c r="BGP100" s="15"/>
      <c r="BGQ100" s="15"/>
      <c r="BGR100" s="15"/>
      <c r="BGS100" s="15"/>
      <c r="BGT100" s="15"/>
      <c r="BGU100" s="15"/>
      <c r="BGV100" s="15"/>
      <c r="BGW100" s="15"/>
      <c r="BGX100" s="15"/>
      <c r="BGY100" s="15"/>
      <c r="BGZ100" s="15"/>
      <c r="BHA100" s="15"/>
      <c r="BHB100" s="15"/>
      <c r="BHC100" s="15"/>
      <c r="BHD100" s="15"/>
      <c r="BHE100" s="15"/>
      <c r="BHF100" s="15"/>
      <c r="BHG100" s="15"/>
      <c r="BHH100" s="15"/>
      <c r="BHI100" s="15"/>
      <c r="BHJ100" s="15"/>
      <c r="BHK100" s="15"/>
      <c r="BHL100" s="15"/>
      <c r="BHM100" s="15"/>
      <c r="BHN100" s="15"/>
      <c r="BHO100" s="15"/>
      <c r="BHP100" s="15"/>
      <c r="BHQ100" s="15"/>
      <c r="BHR100" s="15"/>
      <c r="BHS100" s="15"/>
      <c r="BHT100" s="15"/>
      <c r="BHU100" s="15"/>
      <c r="BHV100" s="15"/>
      <c r="BHW100" s="15"/>
      <c r="BHX100" s="15"/>
      <c r="BHY100" s="15"/>
      <c r="BHZ100" s="15"/>
      <c r="BIA100" s="15"/>
      <c r="BIB100" s="15"/>
      <c r="BIC100" s="15"/>
      <c r="BID100" s="15"/>
      <c r="BIE100" s="15"/>
      <c r="BIF100" s="15"/>
      <c r="BIG100" s="15"/>
      <c r="BIH100" s="15"/>
      <c r="BII100" s="15"/>
      <c r="BIJ100" s="15"/>
      <c r="BIK100" s="15"/>
      <c r="BIL100" s="15"/>
      <c r="BIM100" s="15"/>
      <c r="BIN100" s="15"/>
      <c r="BIO100" s="15"/>
      <c r="BIP100" s="15"/>
      <c r="BIQ100" s="15"/>
      <c r="BIR100" s="15"/>
      <c r="BIS100" s="15"/>
      <c r="BIT100" s="15"/>
      <c r="BIU100" s="15"/>
      <c r="BIV100" s="15"/>
      <c r="BIW100" s="15"/>
      <c r="BIX100" s="15"/>
      <c r="BIY100" s="15"/>
      <c r="BIZ100" s="15"/>
      <c r="BJA100" s="15"/>
      <c r="BJB100" s="15"/>
      <c r="BJC100" s="15"/>
      <c r="BJD100" s="15"/>
      <c r="BJE100" s="15"/>
      <c r="BJF100" s="15"/>
      <c r="BJG100" s="15"/>
      <c r="BJH100" s="15"/>
      <c r="BJI100" s="15"/>
      <c r="BJJ100" s="15"/>
      <c r="BJK100" s="15"/>
      <c r="BJL100" s="15"/>
      <c r="BJM100" s="15"/>
      <c r="BJN100" s="15"/>
      <c r="BJO100" s="15"/>
      <c r="BJP100" s="15"/>
      <c r="BJQ100" s="15"/>
      <c r="BJR100" s="15"/>
      <c r="BJS100" s="15"/>
      <c r="BJT100" s="15"/>
      <c r="BJU100" s="15"/>
      <c r="BJV100" s="15"/>
      <c r="BJW100" s="15"/>
      <c r="BJX100" s="15"/>
      <c r="BJY100" s="15"/>
      <c r="BJZ100" s="15"/>
      <c r="BKA100" s="15"/>
      <c r="BKB100" s="15"/>
      <c r="BKC100" s="15"/>
      <c r="BKD100" s="15"/>
      <c r="BKE100" s="15"/>
      <c r="BKF100" s="15"/>
      <c r="BKG100" s="15"/>
      <c r="BKH100" s="15"/>
      <c r="BKI100" s="15"/>
      <c r="BKJ100" s="15"/>
      <c r="BKK100" s="15"/>
      <c r="BKL100" s="15"/>
      <c r="BKM100" s="15"/>
      <c r="BKN100" s="15"/>
      <c r="BKO100" s="15"/>
      <c r="BKP100" s="15"/>
      <c r="BKQ100" s="15"/>
      <c r="BKR100" s="15"/>
      <c r="BKS100" s="15"/>
      <c r="BKT100" s="15"/>
      <c r="BKU100" s="15"/>
      <c r="BKV100" s="15"/>
      <c r="BKW100" s="15"/>
      <c r="BKX100" s="15"/>
      <c r="BKY100" s="15"/>
      <c r="BKZ100" s="15"/>
      <c r="BLA100" s="15"/>
      <c r="BLB100" s="15"/>
      <c r="BLC100" s="15"/>
      <c r="BLD100" s="15"/>
      <c r="BLE100" s="15"/>
      <c r="BLF100" s="15"/>
      <c r="BLG100" s="15"/>
      <c r="BLH100" s="15"/>
      <c r="BLI100" s="15"/>
      <c r="BLJ100" s="15"/>
      <c r="BLK100" s="15"/>
      <c r="BLL100" s="15"/>
      <c r="BLM100" s="15"/>
      <c r="BLN100" s="15"/>
      <c r="BLO100" s="15"/>
      <c r="BLP100" s="15"/>
      <c r="BLQ100" s="15"/>
      <c r="BLR100" s="15"/>
      <c r="BLS100" s="15"/>
      <c r="BLT100" s="15"/>
      <c r="BLU100" s="15"/>
      <c r="BLV100" s="15"/>
      <c r="BLW100" s="15"/>
      <c r="BLX100" s="15"/>
      <c r="BLY100" s="15"/>
      <c r="BLZ100" s="15"/>
      <c r="BMA100" s="15"/>
      <c r="BMB100" s="15"/>
      <c r="BMC100" s="15"/>
      <c r="BMD100" s="15"/>
      <c r="BME100" s="15"/>
      <c r="BMF100" s="15"/>
      <c r="BMG100" s="15"/>
      <c r="BMH100" s="15"/>
      <c r="BMI100" s="15"/>
      <c r="BMJ100" s="15"/>
      <c r="BMK100" s="15"/>
      <c r="BML100" s="15"/>
      <c r="BMM100" s="15"/>
      <c r="BMN100" s="15"/>
      <c r="BMO100" s="15"/>
      <c r="BMP100" s="15"/>
      <c r="BMQ100" s="15"/>
      <c r="BMR100" s="15"/>
      <c r="BMS100" s="15"/>
      <c r="BMT100" s="15"/>
      <c r="BMU100" s="15"/>
      <c r="BMV100" s="15"/>
      <c r="BMW100" s="15"/>
      <c r="BMX100" s="15"/>
      <c r="BMY100" s="15"/>
      <c r="BMZ100" s="15"/>
      <c r="BNA100" s="15"/>
      <c r="BNB100" s="15"/>
      <c r="BNC100" s="15"/>
      <c r="BND100" s="15"/>
      <c r="BNE100" s="15"/>
      <c r="BNF100" s="15"/>
      <c r="BNG100" s="15"/>
      <c r="BNH100" s="15"/>
      <c r="BNI100" s="15"/>
      <c r="BNJ100" s="15"/>
      <c r="BNK100" s="15"/>
      <c r="BNL100" s="15"/>
      <c r="BNM100" s="15"/>
      <c r="BNN100" s="15"/>
      <c r="BNO100" s="15"/>
      <c r="BNP100" s="15"/>
      <c r="BNQ100" s="15"/>
      <c r="BNR100" s="15"/>
      <c r="BNS100" s="15"/>
      <c r="BNT100" s="15"/>
      <c r="BNU100" s="15"/>
      <c r="BNV100" s="15"/>
      <c r="BNW100" s="15"/>
      <c r="BNX100" s="15"/>
      <c r="BNY100" s="15"/>
      <c r="BNZ100" s="15"/>
      <c r="BOA100" s="15"/>
      <c r="BOB100" s="15"/>
      <c r="BOC100" s="15"/>
      <c r="BOD100" s="15"/>
      <c r="BOE100" s="15"/>
      <c r="BOF100" s="15"/>
      <c r="BOG100" s="15"/>
      <c r="BOH100" s="15"/>
      <c r="BOI100" s="15"/>
      <c r="BOJ100" s="15"/>
      <c r="BOK100" s="15"/>
      <c r="BOL100" s="15"/>
      <c r="BOM100" s="15"/>
      <c r="BON100" s="15"/>
      <c r="BOO100" s="15"/>
      <c r="BOP100" s="15"/>
      <c r="BOQ100" s="15"/>
      <c r="BOR100" s="15"/>
      <c r="BOS100" s="15"/>
      <c r="BOT100" s="15"/>
      <c r="BOU100" s="15"/>
      <c r="BOV100" s="15"/>
      <c r="BOW100" s="15"/>
      <c r="BOX100" s="15"/>
      <c r="BOY100" s="15"/>
      <c r="BOZ100" s="15"/>
      <c r="BPA100" s="15"/>
      <c r="BPB100" s="15"/>
      <c r="BPC100" s="15"/>
      <c r="BPD100" s="15"/>
      <c r="BPE100" s="15"/>
      <c r="BPF100" s="15"/>
      <c r="BPG100" s="15"/>
      <c r="BPH100" s="15"/>
      <c r="BPI100" s="15"/>
      <c r="BPJ100" s="15"/>
      <c r="BPK100" s="15"/>
      <c r="BPL100" s="15"/>
      <c r="BPM100" s="15"/>
      <c r="BPN100" s="15"/>
      <c r="BPO100" s="15"/>
      <c r="BPP100" s="15"/>
      <c r="BPQ100" s="15"/>
      <c r="BPR100" s="15"/>
      <c r="BPS100" s="15"/>
      <c r="BPT100" s="15"/>
      <c r="BPU100" s="15"/>
      <c r="BPV100" s="15"/>
      <c r="BPW100" s="15"/>
      <c r="BPX100" s="15"/>
      <c r="BPY100" s="15"/>
      <c r="BPZ100" s="15"/>
      <c r="BQA100" s="15"/>
      <c r="BQB100" s="15"/>
      <c r="BQC100" s="15"/>
      <c r="BQD100" s="15"/>
      <c r="BQE100" s="15"/>
      <c r="BQF100" s="15"/>
      <c r="BQG100" s="15"/>
      <c r="BQH100" s="15"/>
      <c r="BQI100" s="15"/>
      <c r="BQJ100" s="15"/>
      <c r="BQK100" s="15"/>
      <c r="BQL100" s="15"/>
      <c r="BQM100" s="15"/>
      <c r="BQN100" s="15"/>
      <c r="BQO100" s="15"/>
      <c r="BQP100" s="15"/>
      <c r="BQQ100" s="15"/>
      <c r="BQR100" s="15"/>
      <c r="BQS100" s="15"/>
      <c r="BQT100" s="15"/>
      <c r="BQU100" s="15"/>
      <c r="BQV100" s="15"/>
      <c r="BQW100" s="15"/>
      <c r="BQX100" s="15"/>
      <c r="BQY100" s="15"/>
      <c r="BQZ100" s="15"/>
      <c r="BRA100" s="15"/>
      <c r="BRB100" s="15"/>
      <c r="BRC100" s="15"/>
      <c r="BRD100" s="15"/>
      <c r="BRE100" s="15"/>
      <c r="BRF100" s="15"/>
      <c r="BRG100" s="15"/>
      <c r="BRH100" s="15"/>
      <c r="BRI100" s="15"/>
      <c r="BRJ100" s="15"/>
      <c r="BRK100" s="15"/>
      <c r="BRL100" s="15"/>
      <c r="BRM100" s="15"/>
      <c r="BRN100" s="15"/>
      <c r="BRO100" s="15"/>
      <c r="BRP100" s="15"/>
      <c r="BRQ100" s="15"/>
      <c r="BRR100" s="15"/>
      <c r="BRS100" s="15"/>
      <c r="BRT100" s="15"/>
      <c r="BRU100" s="15"/>
      <c r="BRV100" s="15"/>
      <c r="BRW100" s="15"/>
      <c r="BRX100" s="15"/>
      <c r="BRY100" s="15"/>
      <c r="BRZ100" s="15"/>
      <c r="BSA100" s="15"/>
      <c r="BSB100" s="15"/>
      <c r="BSC100" s="15"/>
      <c r="BSD100" s="15"/>
      <c r="BSE100" s="15"/>
      <c r="BSF100" s="15"/>
      <c r="BSG100" s="15"/>
      <c r="BSH100" s="15"/>
      <c r="BSI100" s="15"/>
      <c r="BSJ100" s="15"/>
      <c r="BSK100" s="15"/>
      <c r="BSL100" s="15"/>
      <c r="BSM100" s="15"/>
      <c r="BSN100" s="15"/>
      <c r="BSO100" s="15"/>
      <c r="BSP100" s="15"/>
      <c r="BSQ100" s="15"/>
      <c r="BSR100" s="15"/>
      <c r="BSS100" s="15"/>
      <c r="BST100" s="15"/>
      <c r="BSU100" s="15"/>
      <c r="BSV100" s="15"/>
      <c r="BSW100" s="15"/>
      <c r="BSX100" s="15"/>
      <c r="BSY100" s="15"/>
      <c r="BSZ100" s="15"/>
      <c r="BTA100" s="15"/>
      <c r="BTB100" s="15"/>
      <c r="BTC100" s="15"/>
      <c r="BTD100" s="15"/>
      <c r="BTE100" s="15"/>
      <c r="BTF100" s="15"/>
      <c r="BTG100" s="15"/>
      <c r="BTH100" s="15"/>
      <c r="BTI100" s="15"/>
      <c r="BTJ100" s="15"/>
      <c r="BTK100" s="15"/>
      <c r="BTL100" s="15"/>
      <c r="BTM100" s="15"/>
      <c r="BTN100" s="15"/>
      <c r="BTO100" s="15"/>
      <c r="BTP100" s="15"/>
      <c r="BTQ100" s="15"/>
      <c r="BTR100" s="15"/>
      <c r="BTS100" s="15"/>
      <c r="BTT100" s="15"/>
      <c r="BTU100" s="15"/>
      <c r="BTV100" s="15"/>
      <c r="BTW100" s="15"/>
      <c r="BTX100" s="15"/>
      <c r="BTY100" s="15"/>
      <c r="BTZ100" s="15"/>
      <c r="BUA100" s="15"/>
      <c r="BUB100" s="15"/>
      <c r="BUC100" s="15"/>
      <c r="BUD100" s="15"/>
      <c r="BUE100" s="15"/>
      <c r="BUF100" s="15"/>
      <c r="BUG100" s="15"/>
      <c r="BUH100" s="15"/>
      <c r="BUI100" s="15"/>
      <c r="BUJ100" s="15"/>
      <c r="BUK100" s="15"/>
      <c r="BUL100" s="15"/>
      <c r="BUM100" s="15"/>
      <c r="BUN100" s="15"/>
      <c r="BUO100" s="15"/>
      <c r="BUP100" s="15"/>
      <c r="BUQ100" s="15"/>
      <c r="BUR100" s="15"/>
      <c r="BUS100" s="15"/>
      <c r="BUT100" s="15"/>
      <c r="BUU100" s="15"/>
      <c r="BUV100" s="15"/>
      <c r="BUW100" s="15"/>
      <c r="BUX100" s="15"/>
      <c r="BUY100" s="15"/>
      <c r="BUZ100" s="15"/>
      <c r="BVA100" s="15"/>
      <c r="BVB100" s="15"/>
      <c r="BVC100" s="15"/>
      <c r="BVD100" s="15"/>
      <c r="BVE100" s="15"/>
      <c r="BVF100" s="15"/>
      <c r="BVG100" s="15"/>
      <c r="BVH100" s="15"/>
      <c r="BVI100" s="15"/>
      <c r="BVJ100" s="15"/>
      <c r="BVK100" s="15"/>
      <c r="BVL100" s="15"/>
      <c r="BVM100" s="15"/>
      <c r="BVN100" s="15"/>
      <c r="BVO100" s="15"/>
      <c r="BVP100" s="15"/>
      <c r="BVQ100" s="15"/>
      <c r="BVR100" s="15"/>
      <c r="BVS100" s="15"/>
      <c r="BVT100" s="15"/>
      <c r="BVU100" s="15"/>
      <c r="BVV100" s="15"/>
      <c r="BVW100" s="15"/>
      <c r="BVX100" s="15"/>
      <c r="BVY100" s="15"/>
      <c r="BVZ100" s="15"/>
      <c r="BWA100" s="15"/>
      <c r="BWB100" s="15"/>
      <c r="BWC100" s="15"/>
      <c r="BWD100" s="15"/>
      <c r="BWE100" s="15"/>
      <c r="BWF100" s="15"/>
      <c r="BWG100" s="15"/>
      <c r="BWH100" s="15"/>
      <c r="BWI100" s="15"/>
      <c r="BWJ100" s="15"/>
      <c r="BWK100" s="15"/>
      <c r="BWL100" s="15"/>
      <c r="BWM100" s="15"/>
      <c r="BWN100" s="15"/>
      <c r="BWO100" s="15"/>
      <c r="BWP100" s="15"/>
      <c r="BWQ100" s="15"/>
      <c r="BWR100" s="15"/>
      <c r="BWS100" s="15"/>
      <c r="BWT100" s="15"/>
      <c r="BWU100" s="15"/>
      <c r="BWV100" s="15"/>
      <c r="BWW100" s="15"/>
      <c r="BWX100" s="15"/>
      <c r="BWY100" s="15"/>
      <c r="BWZ100" s="15"/>
      <c r="BXA100" s="15"/>
      <c r="BXB100" s="15"/>
      <c r="BXC100" s="15"/>
      <c r="BXD100" s="15"/>
      <c r="BXE100" s="15"/>
      <c r="BXF100" s="15"/>
      <c r="BXG100" s="15"/>
      <c r="BXH100" s="15"/>
      <c r="BXI100" s="15"/>
      <c r="BXJ100" s="15"/>
      <c r="BXK100" s="15"/>
      <c r="BXL100" s="15"/>
      <c r="BXM100" s="15"/>
      <c r="BXN100" s="15"/>
      <c r="BXO100" s="15"/>
      <c r="BXP100" s="15"/>
      <c r="BXQ100" s="15"/>
      <c r="BXR100" s="15"/>
      <c r="BXS100" s="15"/>
      <c r="BXT100" s="15"/>
      <c r="BXU100" s="15"/>
      <c r="BXV100" s="15"/>
      <c r="BXW100" s="15"/>
      <c r="BXX100" s="15"/>
      <c r="BXY100" s="15"/>
      <c r="BXZ100" s="15"/>
      <c r="BYA100" s="15"/>
      <c r="BYB100" s="15"/>
      <c r="BYC100" s="15"/>
      <c r="BYD100" s="15"/>
      <c r="BYE100" s="15"/>
      <c r="BYF100" s="15"/>
      <c r="BYG100" s="15"/>
      <c r="BYH100" s="15"/>
      <c r="BYI100" s="15"/>
      <c r="BYJ100" s="15"/>
      <c r="BYK100" s="15"/>
      <c r="BYL100" s="15"/>
      <c r="BYM100" s="15"/>
      <c r="BYN100" s="15"/>
      <c r="BYO100" s="15"/>
      <c r="BYP100" s="15"/>
      <c r="BYQ100" s="15"/>
      <c r="BYR100" s="15"/>
      <c r="BYS100" s="15"/>
      <c r="BYT100" s="15"/>
      <c r="BYU100" s="15"/>
      <c r="BYV100" s="15"/>
      <c r="BYW100" s="15"/>
      <c r="BYX100" s="15"/>
      <c r="BYY100" s="15"/>
      <c r="BYZ100" s="15"/>
      <c r="BZA100" s="15"/>
      <c r="BZB100" s="15"/>
      <c r="BZC100" s="15"/>
      <c r="BZD100" s="15"/>
      <c r="BZE100" s="15"/>
      <c r="BZF100" s="15"/>
      <c r="BZG100" s="15"/>
      <c r="BZH100" s="15"/>
      <c r="BZI100" s="15"/>
      <c r="BZJ100" s="15"/>
      <c r="BZK100" s="15"/>
      <c r="BZL100" s="15"/>
      <c r="BZM100" s="15"/>
      <c r="BZN100" s="15"/>
      <c r="BZO100" s="15"/>
      <c r="BZP100" s="15"/>
      <c r="BZQ100" s="15"/>
      <c r="BZR100" s="15"/>
      <c r="BZS100" s="15"/>
      <c r="BZT100" s="15"/>
      <c r="BZU100" s="15"/>
      <c r="BZV100" s="15"/>
      <c r="BZW100" s="15"/>
      <c r="BZX100" s="15"/>
      <c r="BZY100" s="15"/>
      <c r="BZZ100" s="15"/>
      <c r="CAA100" s="15"/>
      <c r="CAB100" s="15"/>
      <c r="CAC100" s="15"/>
      <c r="CAD100" s="15"/>
      <c r="CAE100" s="15"/>
      <c r="CAF100" s="15"/>
      <c r="CAG100" s="15"/>
      <c r="CAH100" s="15"/>
      <c r="CAI100" s="15"/>
      <c r="CAJ100" s="15"/>
      <c r="CAK100" s="15"/>
      <c r="CAL100" s="15"/>
      <c r="CAM100" s="15"/>
      <c r="CAN100" s="15"/>
      <c r="CAO100" s="15"/>
      <c r="CAP100" s="15"/>
      <c r="CAQ100" s="15"/>
      <c r="CAR100" s="15"/>
      <c r="CAS100" s="15"/>
      <c r="CAT100" s="15"/>
      <c r="CAU100" s="15"/>
      <c r="CAV100" s="15"/>
      <c r="CAW100" s="15"/>
      <c r="CAX100" s="15"/>
      <c r="CAY100" s="15"/>
      <c r="CAZ100" s="15"/>
      <c r="CBA100" s="15"/>
      <c r="CBB100" s="15"/>
      <c r="CBC100" s="15"/>
      <c r="CBD100" s="15"/>
      <c r="CBE100" s="15"/>
      <c r="CBF100" s="15"/>
      <c r="CBG100" s="15"/>
      <c r="CBH100" s="15"/>
      <c r="CBI100" s="46"/>
      <c r="CBJ100" s="46"/>
      <c r="CBK100" s="46"/>
      <c r="CBL100" s="46"/>
      <c r="CBM100" s="46"/>
      <c r="CBN100" s="46"/>
      <c r="CBO100" s="46"/>
      <c r="CBP100" s="46"/>
      <c r="CBQ100" s="46"/>
      <c r="CBR100" s="46"/>
      <c r="CBS100" s="46"/>
      <c r="CBT100" s="46"/>
      <c r="CBU100" s="46"/>
      <c r="CBV100" s="46"/>
      <c r="CBW100" s="46"/>
      <c r="CBX100" s="46"/>
      <c r="CBY100" s="46"/>
      <c r="CBZ100" s="46"/>
      <c r="CCA100" s="46"/>
      <c r="CCB100" s="46"/>
      <c r="CCC100" s="46"/>
      <c r="CCD100" s="46"/>
      <c r="CCE100" s="46"/>
      <c r="CCF100" s="46"/>
      <c r="CCG100" s="46"/>
      <c r="CCH100" s="46"/>
      <c r="CCI100" s="46"/>
      <c r="CCJ100" s="46"/>
      <c r="CCK100" s="46"/>
      <c r="CCL100" s="46"/>
      <c r="CCM100" s="46"/>
      <c r="CCN100" s="46"/>
      <c r="CCO100" s="46"/>
      <c r="CCP100" s="46"/>
      <c r="CCQ100" s="46"/>
      <c r="CCR100" s="46"/>
      <c r="CCS100" s="46"/>
      <c r="CCT100" s="46"/>
      <c r="CCU100" s="46"/>
      <c r="CCV100" s="46"/>
      <c r="CCW100" s="46"/>
      <c r="CCX100" s="46"/>
      <c r="CCY100" s="46"/>
      <c r="CCZ100" s="46"/>
      <c r="CDA100" s="46"/>
      <c r="CDB100" s="46"/>
      <c r="CDC100" s="46"/>
      <c r="CDD100" s="46"/>
      <c r="CDE100" s="46"/>
      <c r="CDF100" s="46"/>
      <c r="CDG100" s="46"/>
      <c r="CDH100" s="46"/>
      <c r="CDI100" s="46"/>
      <c r="CDJ100" s="46"/>
      <c r="CDK100" s="46"/>
      <c r="CDL100" s="46"/>
      <c r="CDM100" s="46"/>
      <c r="CDN100" s="46"/>
      <c r="CDO100" s="46"/>
      <c r="CDP100" s="46"/>
      <c r="CDQ100" s="46"/>
      <c r="CDR100" s="46"/>
      <c r="CDS100" s="46"/>
      <c r="CDT100" s="46"/>
      <c r="CDU100" s="46"/>
      <c r="CDV100" s="46"/>
      <c r="CDW100" s="46"/>
      <c r="CDX100" s="46"/>
      <c r="CDY100" s="46"/>
      <c r="CDZ100" s="46"/>
      <c r="CEA100" s="46"/>
      <c r="CEB100" s="46"/>
      <c r="CEC100" s="46"/>
      <c r="CED100" s="46"/>
      <c r="CEE100" s="46"/>
      <c r="CEF100" s="46"/>
      <c r="CEG100" s="46"/>
      <c r="CEH100" s="46"/>
      <c r="CEI100" s="46"/>
      <c r="CEJ100" s="46"/>
      <c r="CEK100" s="46"/>
      <c r="CEL100" s="46"/>
      <c r="CEM100" s="46"/>
      <c r="CEN100" s="46"/>
      <c r="CEO100" s="46"/>
      <c r="CEP100" s="46"/>
      <c r="CEQ100" s="46"/>
      <c r="CER100" s="46"/>
      <c r="CES100" s="46"/>
      <c r="CET100" s="46"/>
      <c r="CEU100" s="46"/>
      <c r="CEV100" s="46"/>
      <c r="CEW100" s="46"/>
      <c r="CEX100" s="46"/>
      <c r="CEY100" s="46"/>
      <c r="CEZ100" s="46"/>
      <c r="CFA100" s="46"/>
      <c r="CFB100" s="46"/>
      <c r="CFC100" s="46"/>
      <c r="CFD100" s="46"/>
      <c r="CFE100" s="46"/>
      <c r="CFF100" s="46"/>
      <c r="CFG100" s="46"/>
      <c r="CFH100" s="46"/>
      <c r="CFI100" s="46"/>
      <c r="CFJ100" s="46"/>
      <c r="CFK100" s="46"/>
      <c r="CFL100" s="46"/>
      <c r="CFM100" s="46"/>
      <c r="CFN100" s="46"/>
      <c r="CFO100" s="46"/>
      <c r="CFP100" s="46"/>
      <c r="CFQ100" s="46"/>
      <c r="CFR100" s="46"/>
      <c r="CFS100" s="46"/>
      <c r="CFT100" s="46"/>
      <c r="CFU100" s="46"/>
      <c r="CFV100" s="46"/>
      <c r="CFW100" s="46"/>
      <c r="CFX100" s="46"/>
      <c r="CFY100" s="46"/>
      <c r="CFZ100" s="46"/>
      <c r="CGA100" s="46"/>
      <c r="CGB100" s="46"/>
      <c r="CGC100" s="46"/>
      <c r="CGD100" s="46"/>
      <c r="CGE100" s="46"/>
      <c r="CGF100" s="46"/>
      <c r="CGG100" s="46"/>
      <c r="CGH100" s="46"/>
      <c r="CGI100" s="46"/>
      <c r="CGJ100" s="46"/>
      <c r="CGK100" s="46"/>
      <c r="CGL100" s="46"/>
      <c r="CGM100" s="46"/>
      <c r="CGN100" s="46"/>
      <c r="CGO100" s="46"/>
      <c r="CGP100" s="46"/>
      <c r="CGQ100" s="46"/>
      <c r="CGR100" s="46"/>
      <c r="CGS100" s="46"/>
      <c r="CGT100" s="46"/>
      <c r="CGU100" s="46"/>
      <c r="CGV100" s="46"/>
      <c r="CGW100" s="46"/>
      <c r="CGX100" s="46"/>
      <c r="CGY100" s="46"/>
      <c r="CGZ100" s="46"/>
      <c r="CHA100" s="46"/>
      <c r="CHB100" s="46"/>
      <c r="CHC100" s="46"/>
      <c r="CHD100" s="46"/>
      <c r="CHE100" s="46"/>
      <c r="CHF100" s="46"/>
      <c r="CHG100" s="46"/>
      <c r="CHH100" s="46"/>
      <c r="CHI100" s="46"/>
      <c r="CHJ100" s="46"/>
      <c r="CHK100" s="46"/>
      <c r="CHL100" s="46"/>
      <c r="CHM100" s="46"/>
      <c r="CHN100" s="46"/>
      <c r="CHO100" s="46"/>
      <c r="CHP100" s="46"/>
      <c r="CHQ100" s="46"/>
      <c r="CHR100" s="46"/>
      <c r="CHS100" s="46"/>
      <c r="CHT100" s="46"/>
      <c r="CHU100" s="46"/>
      <c r="CHV100" s="46"/>
      <c r="CHW100" s="46"/>
      <c r="CHX100" s="46"/>
      <c r="CHY100" s="46"/>
      <c r="CHZ100" s="46"/>
      <c r="CIA100" s="46"/>
      <c r="CIB100" s="46"/>
      <c r="CIC100" s="46"/>
      <c r="CID100" s="46"/>
      <c r="CIE100" s="46"/>
      <c r="CIF100" s="46"/>
      <c r="CIG100" s="46"/>
      <c r="CIH100" s="46"/>
      <c r="CII100" s="46"/>
      <c r="CIJ100" s="46"/>
      <c r="CIK100" s="46"/>
      <c r="CIL100" s="46"/>
      <c r="CIM100" s="46"/>
      <c r="CIN100" s="46"/>
      <c r="CIO100" s="46"/>
      <c r="CIP100" s="46"/>
      <c r="CIQ100" s="46"/>
      <c r="CIR100" s="46"/>
      <c r="CIS100" s="46"/>
      <c r="CIT100" s="46"/>
      <c r="CIU100" s="46"/>
      <c r="CIV100" s="46"/>
      <c r="CIW100" s="46"/>
      <c r="CIX100" s="46"/>
      <c r="CIY100" s="46"/>
      <c r="CIZ100" s="46"/>
      <c r="CJA100" s="46"/>
      <c r="CJB100" s="46"/>
      <c r="CJC100" s="46"/>
      <c r="CJD100" s="46"/>
      <c r="CJE100" s="46"/>
      <c r="CJF100" s="46"/>
      <c r="CJG100" s="46"/>
      <c r="CJH100" s="46"/>
      <c r="CJI100" s="46"/>
      <c r="CJJ100" s="46"/>
      <c r="CJK100" s="46"/>
      <c r="CJL100" s="46"/>
      <c r="CJM100" s="46"/>
      <c r="CJN100" s="46"/>
      <c r="CJO100" s="46"/>
      <c r="CJP100" s="46"/>
      <c r="CJQ100" s="46"/>
      <c r="CJR100" s="46"/>
      <c r="CJS100" s="46"/>
      <c r="CJT100" s="46"/>
      <c r="CJU100" s="46"/>
      <c r="CJV100" s="46"/>
      <c r="CJW100" s="46"/>
      <c r="CJX100" s="46"/>
      <c r="CJY100" s="46"/>
      <c r="CJZ100" s="46"/>
      <c r="CKA100" s="46"/>
      <c r="CKB100" s="46"/>
      <c r="CKC100" s="46"/>
      <c r="CKD100" s="46"/>
      <c r="CKE100" s="46"/>
      <c r="CKF100" s="46"/>
      <c r="CKG100" s="46"/>
      <c r="CKH100" s="46"/>
      <c r="CKI100" s="46"/>
      <c r="CKJ100" s="46"/>
      <c r="CKK100" s="46"/>
      <c r="CKL100" s="46"/>
      <c r="CKM100" s="46"/>
      <c r="CKN100" s="46"/>
      <c r="CKO100" s="46"/>
      <c r="CKP100" s="46"/>
      <c r="CKQ100" s="46"/>
      <c r="CKR100" s="46"/>
      <c r="CKS100" s="46"/>
      <c r="CKT100" s="46"/>
      <c r="CKU100" s="46"/>
      <c r="CKV100" s="46"/>
      <c r="CKW100" s="46"/>
      <c r="CKX100" s="46"/>
      <c r="CKY100" s="46"/>
      <c r="CKZ100" s="46"/>
      <c r="CLA100" s="46"/>
      <c r="CLB100" s="46"/>
      <c r="CLC100" s="46"/>
      <c r="CLD100" s="46"/>
      <c r="CLE100" s="46"/>
      <c r="CLF100" s="46"/>
      <c r="CLG100" s="46"/>
      <c r="CLH100" s="46"/>
      <c r="CLI100" s="46"/>
      <c r="CLJ100" s="46"/>
      <c r="CLK100" s="46"/>
      <c r="CLL100" s="46"/>
      <c r="CLM100" s="46"/>
      <c r="CLN100" s="46"/>
      <c r="CLO100" s="46"/>
      <c r="CLP100" s="46"/>
      <c r="CLQ100" s="46"/>
      <c r="CLR100" s="46"/>
      <c r="CLS100" s="46"/>
      <c r="CLT100" s="46"/>
      <c r="CLU100" s="46"/>
      <c r="CLV100" s="46"/>
      <c r="CLW100" s="46"/>
      <c r="CLX100" s="46"/>
      <c r="CLY100" s="46"/>
      <c r="CLZ100" s="46"/>
      <c r="CMA100" s="46"/>
      <c r="CMB100" s="46"/>
      <c r="CMC100" s="46"/>
      <c r="CMD100" s="46"/>
      <c r="CME100" s="46"/>
      <c r="CMF100" s="46"/>
      <c r="CMG100" s="46"/>
      <c r="CMH100" s="46"/>
      <c r="CMI100" s="46"/>
      <c r="CMJ100" s="46"/>
      <c r="CMK100" s="46"/>
      <c r="CML100" s="46"/>
      <c r="CMM100" s="46"/>
      <c r="CMN100" s="46"/>
      <c r="CMO100" s="46"/>
      <c r="CMP100" s="46"/>
      <c r="CMQ100" s="46"/>
      <c r="CMR100" s="46"/>
      <c r="CMS100" s="46"/>
      <c r="CMT100" s="46"/>
      <c r="CMU100" s="46"/>
      <c r="CMV100" s="46"/>
      <c r="CMW100" s="46"/>
      <c r="CMX100" s="46"/>
      <c r="CMY100" s="46"/>
      <c r="CMZ100" s="46"/>
      <c r="CNA100" s="46"/>
      <c r="CNB100" s="46"/>
      <c r="CNC100" s="46"/>
      <c r="CND100" s="46"/>
      <c r="CNE100" s="46"/>
      <c r="CNF100" s="46"/>
      <c r="CNG100" s="46"/>
      <c r="CNH100" s="46"/>
      <c r="CNI100" s="46"/>
      <c r="CNJ100" s="46"/>
      <c r="CNK100" s="46"/>
      <c r="CNL100" s="46"/>
      <c r="CNM100" s="46"/>
      <c r="CNN100" s="46"/>
      <c r="CNO100" s="46"/>
      <c r="CNP100" s="46"/>
      <c r="CNQ100" s="46"/>
      <c r="CNR100" s="46"/>
      <c r="CNS100" s="46"/>
      <c r="CNT100" s="46"/>
      <c r="CNU100" s="46"/>
      <c r="CNV100" s="46"/>
      <c r="CNW100" s="46"/>
      <c r="CNX100" s="46"/>
      <c r="CNY100" s="46"/>
      <c r="CNZ100" s="46"/>
      <c r="COA100" s="46"/>
      <c r="COB100" s="46"/>
      <c r="COC100" s="46"/>
      <c r="COD100" s="46"/>
      <c r="COE100" s="46"/>
      <c r="COF100" s="46"/>
      <c r="COG100" s="46"/>
      <c r="COH100" s="46"/>
      <c r="COI100" s="46"/>
      <c r="COJ100" s="46"/>
      <c r="COK100" s="46"/>
      <c r="COL100" s="46"/>
      <c r="COM100" s="46"/>
      <c r="CON100" s="46"/>
      <c r="COO100" s="46"/>
      <c r="COP100" s="46"/>
      <c r="COQ100" s="46"/>
      <c r="COR100" s="46"/>
      <c r="COS100" s="46"/>
      <c r="COT100" s="46"/>
      <c r="COU100" s="46"/>
      <c r="COV100" s="46"/>
      <c r="COW100" s="46"/>
      <c r="COX100" s="46"/>
      <c r="COY100" s="46"/>
      <c r="COZ100" s="46"/>
      <c r="CPA100" s="46"/>
      <c r="CPB100" s="46"/>
      <c r="CPC100" s="46"/>
      <c r="CPD100" s="46"/>
      <c r="CPE100" s="46"/>
      <c r="CPF100" s="46"/>
      <c r="CPG100" s="46"/>
      <c r="CPH100" s="46"/>
      <c r="CPI100" s="46"/>
      <c r="CPJ100" s="46"/>
      <c r="CPK100" s="46"/>
      <c r="CPL100" s="46"/>
      <c r="CPM100" s="46"/>
      <c r="CPN100" s="46"/>
      <c r="CPO100" s="46"/>
      <c r="CPP100" s="46"/>
      <c r="CPQ100" s="46"/>
      <c r="CPR100" s="46"/>
      <c r="CPS100" s="46"/>
      <c r="CPT100" s="46"/>
      <c r="CPU100" s="46"/>
      <c r="CPV100" s="46"/>
      <c r="CPW100" s="46"/>
      <c r="CPX100" s="46"/>
      <c r="CPY100" s="46"/>
      <c r="CPZ100" s="46"/>
      <c r="CQA100" s="46"/>
      <c r="CQB100" s="46"/>
      <c r="CQC100" s="46"/>
      <c r="CQD100" s="46"/>
      <c r="CQE100" s="46"/>
      <c r="CQF100" s="46"/>
      <c r="CQG100" s="46"/>
      <c r="CQH100" s="46"/>
      <c r="CQI100" s="46"/>
      <c r="CQJ100" s="46"/>
      <c r="CQK100" s="46"/>
      <c r="CQL100" s="46"/>
      <c r="CQM100" s="46"/>
      <c r="CQN100" s="46"/>
      <c r="CQO100" s="46"/>
      <c r="CQP100" s="46"/>
      <c r="CQQ100" s="46"/>
      <c r="CQR100" s="46"/>
      <c r="CQS100" s="46"/>
      <c r="CQT100" s="46"/>
      <c r="CQU100" s="46"/>
      <c r="CQV100" s="46"/>
      <c r="CQW100" s="46"/>
      <c r="CQX100" s="46"/>
      <c r="CQY100" s="46"/>
      <c r="CQZ100" s="46"/>
      <c r="CRA100" s="46"/>
      <c r="CRB100" s="46"/>
      <c r="CRC100" s="46"/>
      <c r="CRD100" s="46"/>
      <c r="CRE100" s="46"/>
      <c r="CRF100" s="46"/>
      <c r="CRG100" s="46"/>
      <c r="CRH100" s="46"/>
      <c r="CRI100" s="46"/>
      <c r="CRJ100" s="46"/>
      <c r="CRK100" s="46"/>
      <c r="CRL100" s="46"/>
      <c r="CRM100" s="46"/>
      <c r="CRN100" s="46"/>
      <c r="CRO100" s="46"/>
      <c r="CRP100" s="46"/>
      <c r="CRQ100" s="46"/>
      <c r="CRR100" s="46"/>
      <c r="CRS100" s="46"/>
      <c r="CRT100" s="46"/>
      <c r="CRU100" s="46"/>
      <c r="CRV100" s="46"/>
      <c r="CRW100" s="46"/>
      <c r="CRX100" s="46"/>
      <c r="CRY100" s="46"/>
      <c r="CRZ100" s="46"/>
      <c r="CSA100" s="46"/>
      <c r="CSB100" s="46"/>
      <c r="CSC100" s="46"/>
      <c r="CSD100" s="46"/>
      <c r="CSE100" s="46"/>
      <c r="CSF100" s="46"/>
      <c r="CSG100" s="46"/>
      <c r="CSH100" s="46"/>
      <c r="CSI100" s="46"/>
      <c r="CSJ100" s="46"/>
      <c r="CSK100" s="46"/>
      <c r="CSL100" s="46"/>
      <c r="CSM100" s="46"/>
      <c r="CSN100" s="46"/>
      <c r="CSO100" s="46"/>
      <c r="CSP100" s="46"/>
      <c r="CSQ100" s="46"/>
      <c r="CSR100" s="46"/>
      <c r="CSS100" s="46"/>
      <c r="CST100" s="46"/>
      <c r="CSU100" s="46"/>
      <c r="CSV100" s="46"/>
      <c r="CSW100" s="46"/>
      <c r="CSX100" s="46"/>
      <c r="CSY100" s="46"/>
      <c r="CSZ100" s="46"/>
      <c r="CTA100" s="46"/>
      <c r="CTB100" s="46"/>
      <c r="CTC100" s="46"/>
      <c r="CTD100" s="46"/>
      <c r="CTE100" s="46"/>
      <c r="CTF100" s="46"/>
      <c r="CTG100" s="46"/>
      <c r="CTH100" s="46"/>
      <c r="CTI100" s="46"/>
      <c r="CTJ100" s="46"/>
      <c r="CTK100" s="46"/>
      <c r="CTL100" s="46"/>
      <c r="CTM100" s="46"/>
      <c r="CTN100" s="46"/>
      <c r="CTO100" s="46"/>
      <c r="CTP100" s="46"/>
      <c r="CTQ100" s="46"/>
      <c r="CTR100" s="46"/>
      <c r="CTS100" s="46"/>
      <c r="CTT100" s="46"/>
      <c r="CTU100" s="46"/>
      <c r="CTV100" s="46"/>
      <c r="CTW100" s="46"/>
      <c r="CTX100" s="46"/>
      <c r="CTY100" s="46"/>
      <c r="CTZ100" s="46"/>
      <c r="CUA100" s="46"/>
      <c r="CUB100" s="46"/>
      <c r="CUC100" s="46"/>
      <c r="CUD100" s="46"/>
      <c r="CUE100" s="46"/>
      <c r="CUF100" s="46"/>
      <c r="CUG100" s="46"/>
      <c r="CUH100" s="46"/>
      <c r="CUI100" s="46"/>
      <c r="CUJ100" s="46"/>
      <c r="CUK100" s="46"/>
      <c r="CUL100" s="46"/>
      <c r="CUM100" s="46"/>
      <c r="CUN100" s="46"/>
      <c r="CUO100" s="46"/>
      <c r="CUP100" s="46"/>
      <c r="CUQ100" s="46"/>
      <c r="CUR100" s="46"/>
      <c r="CUS100" s="46"/>
      <c r="CUT100" s="46"/>
      <c r="CUU100" s="46"/>
      <c r="CUV100" s="46"/>
      <c r="CUW100" s="46"/>
      <c r="CUX100" s="46"/>
      <c r="CUY100" s="46"/>
      <c r="CUZ100" s="46"/>
      <c r="CVA100" s="46"/>
      <c r="CVB100" s="46"/>
      <c r="CVC100" s="46"/>
      <c r="CVD100" s="46"/>
      <c r="CVE100" s="46"/>
      <c r="CVF100" s="46"/>
      <c r="CVG100" s="46"/>
      <c r="CVH100" s="46"/>
      <c r="CVI100" s="46"/>
      <c r="CVJ100" s="46"/>
      <c r="CVK100" s="46"/>
      <c r="CVL100" s="46"/>
      <c r="CVM100" s="46"/>
      <c r="CVN100" s="46"/>
      <c r="CVO100" s="46"/>
      <c r="CVP100" s="46"/>
      <c r="CVQ100" s="46"/>
      <c r="CVR100" s="46"/>
      <c r="CVS100" s="46"/>
      <c r="CVT100" s="46"/>
      <c r="CVU100" s="46"/>
      <c r="CVV100" s="46"/>
      <c r="CVW100" s="46"/>
      <c r="CVX100" s="46"/>
      <c r="CVY100" s="46"/>
      <c r="CVZ100" s="46"/>
      <c r="CWA100" s="46"/>
      <c r="CWB100" s="46"/>
      <c r="CWC100" s="46"/>
      <c r="CWD100" s="46"/>
      <c r="CWE100" s="46"/>
      <c r="CWF100" s="46"/>
      <c r="CWG100" s="46"/>
      <c r="CWH100" s="46"/>
      <c r="CWI100" s="46"/>
      <c r="CWJ100" s="46"/>
      <c r="CWK100" s="46"/>
      <c r="CWL100" s="46"/>
      <c r="CWM100" s="46"/>
      <c r="CWN100" s="46"/>
      <c r="CWO100" s="46"/>
      <c r="CWP100" s="46"/>
      <c r="CWQ100" s="46"/>
      <c r="CWR100" s="46"/>
      <c r="CWS100" s="46"/>
      <c r="CWT100" s="46"/>
      <c r="CWU100" s="46"/>
      <c r="CWV100" s="46"/>
      <c r="CWW100" s="46"/>
      <c r="CWX100" s="46"/>
      <c r="CWY100" s="46"/>
      <c r="CWZ100" s="46"/>
      <c r="CXA100" s="46"/>
      <c r="CXB100" s="46"/>
      <c r="CXC100" s="46"/>
      <c r="CXD100" s="46"/>
      <c r="CXE100" s="46"/>
      <c r="CXF100" s="46"/>
      <c r="CXG100" s="46"/>
      <c r="CXH100" s="46"/>
      <c r="CXI100" s="46"/>
      <c r="CXJ100" s="46"/>
      <c r="CXK100" s="46"/>
      <c r="CXL100" s="46"/>
      <c r="CXM100" s="46"/>
      <c r="CXN100" s="46"/>
      <c r="CXO100" s="46"/>
      <c r="CXP100" s="46"/>
      <c r="CXQ100" s="46"/>
      <c r="CXR100" s="46"/>
      <c r="CXS100" s="46"/>
      <c r="CXT100" s="46"/>
      <c r="CXU100" s="46"/>
      <c r="CXV100" s="46"/>
      <c r="CXW100" s="46"/>
      <c r="CXX100" s="46"/>
      <c r="CXY100" s="46"/>
      <c r="CXZ100" s="46"/>
      <c r="CYA100" s="46"/>
      <c r="CYB100" s="46"/>
      <c r="CYC100" s="46"/>
      <c r="CYD100" s="46"/>
      <c r="CYE100" s="46"/>
      <c r="CYF100" s="46"/>
      <c r="CYG100" s="46"/>
      <c r="CYH100" s="46"/>
      <c r="CYI100" s="46"/>
      <c r="CYJ100" s="46"/>
      <c r="CYK100" s="46"/>
      <c r="CYL100" s="46"/>
      <c r="CYM100" s="46"/>
      <c r="CYN100" s="46"/>
      <c r="CYO100" s="46"/>
      <c r="CYP100" s="46"/>
      <c r="CYQ100" s="46"/>
      <c r="CYR100" s="46"/>
      <c r="CYS100" s="46"/>
      <c r="CYT100" s="46"/>
      <c r="CYU100" s="46"/>
      <c r="CYV100" s="46"/>
      <c r="CYW100" s="46"/>
      <c r="CYX100" s="46"/>
      <c r="CYY100" s="46"/>
      <c r="CYZ100" s="46"/>
      <c r="CZA100" s="46"/>
      <c r="CZB100" s="46"/>
      <c r="CZC100" s="46"/>
      <c r="CZD100" s="46"/>
      <c r="CZE100" s="46"/>
      <c r="CZF100" s="46"/>
      <c r="CZG100" s="46"/>
      <c r="CZH100" s="46"/>
      <c r="CZI100" s="46"/>
      <c r="CZJ100" s="46"/>
      <c r="CZK100" s="46"/>
      <c r="CZL100" s="46"/>
      <c r="CZM100" s="46"/>
      <c r="CZN100" s="46"/>
      <c r="CZO100" s="46"/>
      <c r="CZP100" s="46"/>
      <c r="CZQ100" s="46"/>
      <c r="CZR100" s="46"/>
      <c r="CZS100" s="46"/>
      <c r="CZT100" s="46"/>
      <c r="CZU100" s="46"/>
      <c r="CZV100" s="46"/>
      <c r="CZW100" s="46"/>
      <c r="CZX100" s="46"/>
      <c r="CZY100" s="46"/>
      <c r="CZZ100" s="46"/>
      <c r="DAA100" s="46"/>
      <c r="DAB100" s="46"/>
      <c r="DAC100" s="46"/>
      <c r="DAD100" s="46"/>
      <c r="DAE100" s="46"/>
      <c r="DAF100" s="46"/>
      <c r="DAG100" s="46"/>
      <c r="DAH100" s="46"/>
      <c r="DAI100" s="46"/>
      <c r="DAJ100" s="46"/>
      <c r="DAK100" s="46"/>
      <c r="DAL100" s="46"/>
      <c r="DAM100" s="46"/>
      <c r="DAN100" s="46"/>
      <c r="DAO100" s="46"/>
      <c r="DAP100" s="46"/>
      <c r="DAQ100" s="46"/>
      <c r="DAR100" s="46"/>
      <c r="DAS100" s="46"/>
      <c r="DAT100" s="46"/>
      <c r="DAU100" s="46"/>
      <c r="DAV100" s="46"/>
      <c r="DAW100" s="46"/>
      <c r="DAX100" s="46"/>
      <c r="DAY100" s="46"/>
      <c r="DAZ100" s="46"/>
      <c r="DBA100" s="46"/>
      <c r="DBB100" s="46"/>
      <c r="DBC100" s="46"/>
      <c r="DBD100" s="46"/>
      <c r="DBE100" s="46"/>
      <c r="DBF100" s="46"/>
      <c r="DBG100" s="46"/>
      <c r="DBH100" s="46"/>
      <c r="DBI100" s="46"/>
      <c r="DBJ100" s="46"/>
      <c r="DBK100" s="46"/>
      <c r="DBL100" s="46"/>
      <c r="DBM100" s="46"/>
      <c r="DBN100" s="46"/>
      <c r="DBO100" s="46"/>
      <c r="DBP100" s="46"/>
      <c r="DBQ100" s="46"/>
      <c r="DBR100" s="46"/>
      <c r="DBS100" s="46"/>
      <c r="DBT100" s="46"/>
      <c r="DBU100" s="46"/>
      <c r="DBV100" s="46"/>
      <c r="DBW100" s="46"/>
      <c r="DBX100" s="46"/>
      <c r="DBY100" s="46"/>
      <c r="DBZ100" s="46"/>
      <c r="DCA100" s="46"/>
      <c r="DCB100" s="46"/>
      <c r="DCC100" s="46"/>
      <c r="DCD100" s="46"/>
      <c r="DCE100" s="46"/>
      <c r="DCF100" s="46"/>
      <c r="DCG100" s="46"/>
      <c r="DCH100" s="46"/>
      <c r="DCI100" s="46"/>
      <c r="DCJ100" s="46"/>
      <c r="DCK100" s="46"/>
      <c r="DCL100" s="46"/>
      <c r="DCM100" s="46"/>
      <c r="DCN100" s="46"/>
      <c r="DCO100" s="46"/>
      <c r="DCP100" s="46"/>
      <c r="DCQ100" s="46"/>
      <c r="DCR100" s="46"/>
      <c r="DCS100" s="46"/>
      <c r="DCT100" s="46"/>
      <c r="DCU100" s="46"/>
      <c r="DCV100" s="46"/>
      <c r="DCW100" s="46"/>
      <c r="DCX100" s="46"/>
      <c r="DCY100" s="46"/>
      <c r="DCZ100" s="46"/>
      <c r="DDA100" s="46"/>
      <c r="DDB100" s="46"/>
      <c r="DDC100" s="46"/>
      <c r="DDD100" s="46"/>
      <c r="DDE100" s="46"/>
      <c r="DDF100" s="46"/>
      <c r="DDG100" s="46"/>
      <c r="DDH100" s="46"/>
      <c r="DDI100" s="46"/>
      <c r="DDJ100" s="46"/>
      <c r="DDK100" s="46"/>
      <c r="DDL100" s="46"/>
      <c r="DDM100" s="46"/>
      <c r="DDN100" s="46"/>
      <c r="DDO100" s="46"/>
      <c r="DDP100" s="46"/>
      <c r="DDQ100" s="46"/>
      <c r="DDR100" s="46"/>
      <c r="DDS100" s="46"/>
      <c r="DDT100" s="46"/>
      <c r="DDU100" s="46"/>
      <c r="DDV100" s="46"/>
      <c r="DDW100" s="46"/>
      <c r="DDX100" s="46"/>
      <c r="DDY100" s="46"/>
      <c r="DDZ100" s="46"/>
      <c r="DEA100" s="46"/>
      <c r="DEB100" s="46"/>
      <c r="DEC100" s="46"/>
      <c r="DED100" s="46"/>
      <c r="DEE100" s="46"/>
      <c r="DEF100" s="46"/>
      <c r="DEG100" s="46"/>
      <c r="DEH100" s="46"/>
      <c r="DEI100" s="46"/>
      <c r="DEJ100" s="46"/>
      <c r="DEK100" s="46"/>
      <c r="DEL100" s="46"/>
      <c r="DEM100" s="46"/>
      <c r="DEN100" s="46"/>
      <c r="DEO100" s="46"/>
      <c r="DEP100" s="46"/>
      <c r="DEQ100" s="46"/>
      <c r="DER100" s="46"/>
      <c r="DES100" s="46"/>
      <c r="DET100" s="46"/>
      <c r="DEU100" s="46"/>
      <c r="DEV100" s="46"/>
      <c r="DEW100" s="46"/>
      <c r="DEX100" s="46"/>
      <c r="DEY100" s="46"/>
      <c r="DEZ100" s="46"/>
      <c r="DFA100" s="46"/>
      <c r="DFB100" s="46"/>
      <c r="DFC100" s="46"/>
      <c r="DFD100" s="46"/>
      <c r="DFE100" s="46"/>
      <c r="DFF100" s="46"/>
      <c r="DFG100" s="46"/>
      <c r="DFH100" s="46"/>
      <c r="DFI100" s="46"/>
      <c r="DFJ100" s="46"/>
      <c r="DFK100" s="46"/>
      <c r="DFL100" s="46"/>
      <c r="DFM100" s="46"/>
      <c r="DFN100" s="46"/>
      <c r="DFO100" s="46"/>
      <c r="DFP100" s="46"/>
      <c r="DFQ100" s="46"/>
      <c r="DFR100" s="46"/>
      <c r="DFS100" s="46"/>
      <c r="DFT100" s="46"/>
      <c r="DFU100" s="46"/>
      <c r="DFV100" s="46"/>
      <c r="DFW100" s="46"/>
      <c r="DFX100" s="46"/>
      <c r="DFY100" s="46"/>
      <c r="DFZ100" s="46"/>
      <c r="DGA100" s="46"/>
      <c r="DGB100" s="46"/>
      <c r="DGC100" s="46"/>
      <c r="DGD100" s="46"/>
      <c r="DGE100" s="46"/>
      <c r="DGF100" s="46"/>
      <c r="DGG100" s="46"/>
      <c r="DGH100" s="46"/>
      <c r="DGI100" s="46"/>
      <c r="DGJ100" s="46"/>
      <c r="DGK100" s="46"/>
      <c r="DGL100" s="46"/>
      <c r="DGM100" s="46"/>
      <c r="DGN100" s="46"/>
      <c r="DGO100" s="46"/>
      <c r="DGP100" s="46"/>
      <c r="DGQ100" s="46"/>
      <c r="DGR100" s="46"/>
      <c r="DGS100" s="46"/>
      <c r="DGT100" s="46"/>
      <c r="DGU100" s="46"/>
      <c r="DGV100" s="46"/>
      <c r="DGW100" s="46"/>
      <c r="DGX100" s="46"/>
      <c r="DGY100" s="46"/>
      <c r="DGZ100" s="46"/>
      <c r="DHA100" s="46"/>
      <c r="DHB100" s="46"/>
      <c r="DHC100" s="46"/>
      <c r="DHD100" s="46"/>
      <c r="DHE100" s="46"/>
      <c r="DHF100" s="46"/>
      <c r="DHG100" s="46"/>
      <c r="DHH100" s="46"/>
      <c r="DHI100" s="46"/>
      <c r="DHJ100" s="46"/>
      <c r="DHK100" s="46"/>
      <c r="DHL100" s="46"/>
      <c r="DHM100" s="46"/>
      <c r="DHN100" s="46"/>
      <c r="DHO100" s="46"/>
      <c r="DHP100" s="46"/>
      <c r="DHQ100" s="46"/>
      <c r="DHR100" s="46"/>
      <c r="DHS100" s="46"/>
      <c r="DHT100" s="46"/>
      <c r="DHU100" s="46"/>
      <c r="DHV100" s="46"/>
      <c r="DHW100" s="46"/>
      <c r="DHX100" s="46"/>
      <c r="DHY100" s="46"/>
      <c r="DHZ100" s="46"/>
      <c r="DIA100" s="46"/>
      <c r="DIB100" s="46"/>
      <c r="DIC100" s="46"/>
      <c r="DID100" s="46"/>
      <c r="DIE100" s="46"/>
      <c r="DIF100" s="46"/>
      <c r="DIG100" s="46"/>
      <c r="DIH100" s="46"/>
      <c r="DII100" s="46"/>
      <c r="DIJ100" s="46"/>
      <c r="DIK100" s="46"/>
      <c r="DIL100" s="46"/>
      <c r="DIM100" s="46"/>
      <c r="DIN100" s="46"/>
      <c r="DIO100" s="46"/>
      <c r="DIP100" s="46"/>
      <c r="DIQ100" s="46"/>
      <c r="DIR100" s="46"/>
      <c r="DIS100" s="46"/>
      <c r="DIT100" s="46"/>
      <c r="DIU100" s="46"/>
      <c r="DIV100" s="46"/>
      <c r="DIW100" s="46"/>
      <c r="DIX100" s="46"/>
      <c r="DIY100" s="46"/>
      <c r="DIZ100" s="46"/>
      <c r="DJA100" s="46"/>
      <c r="DJB100" s="46"/>
      <c r="DJC100" s="46"/>
      <c r="DJD100" s="46"/>
      <c r="DJE100" s="46"/>
      <c r="DJF100" s="46"/>
      <c r="DJG100" s="46"/>
      <c r="DJH100" s="46"/>
      <c r="DJI100" s="46"/>
      <c r="DJJ100" s="46"/>
      <c r="DJK100" s="46"/>
      <c r="DJL100" s="46"/>
      <c r="DJM100" s="46"/>
      <c r="DJN100" s="46"/>
      <c r="DJO100" s="46"/>
      <c r="DJP100" s="46"/>
      <c r="DJQ100" s="46"/>
      <c r="DJR100" s="46"/>
      <c r="DJS100" s="46"/>
      <c r="DJT100" s="46"/>
      <c r="DJU100" s="46"/>
      <c r="DJV100" s="46"/>
      <c r="DJW100" s="46"/>
      <c r="DJX100" s="46"/>
      <c r="DJY100" s="46"/>
      <c r="DJZ100" s="46"/>
      <c r="DKA100" s="46"/>
      <c r="DKB100" s="46"/>
      <c r="DKC100" s="46"/>
      <c r="DKD100" s="46"/>
      <c r="DKE100" s="46"/>
      <c r="DKF100" s="46"/>
      <c r="DKG100" s="46"/>
      <c r="DKH100" s="46"/>
      <c r="DKI100" s="46"/>
      <c r="DKJ100" s="46"/>
      <c r="DKK100" s="46"/>
      <c r="DKL100" s="46"/>
      <c r="DKM100" s="46"/>
      <c r="DKN100" s="46"/>
      <c r="DKO100" s="46"/>
      <c r="DKP100" s="46"/>
      <c r="DKQ100" s="46"/>
      <c r="DKR100" s="46"/>
      <c r="DKS100" s="46"/>
      <c r="DKT100" s="46"/>
      <c r="DKU100" s="46"/>
      <c r="DKV100" s="46"/>
      <c r="DKW100" s="46"/>
      <c r="DKX100" s="46"/>
      <c r="DKY100" s="46"/>
      <c r="DKZ100" s="46"/>
      <c r="DLA100" s="46"/>
      <c r="DLB100" s="46"/>
      <c r="DLC100" s="46"/>
      <c r="DLD100" s="46"/>
      <c r="DLE100" s="46"/>
      <c r="DLF100" s="46"/>
      <c r="DLG100" s="46"/>
      <c r="DLH100" s="46"/>
      <c r="DLI100" s="46"/>
      <c r="DLJ100" s="46"/>
      <c r="DLK100" s="46"/>
      <c r="DLL100" s="46"/>
      <c r="DLM100" s="46"/>
      <c r="DLN100" s="46"/>
      <c r="DLO100" s="46"/>
      <c r="DLP100" s="46"/>
      <c r="DLQ100" s="46"/>
      <c r="DLR100" s="46"/>
      <c r="DLS100" s="46"/>
      <c r="DLT100" s="46"/>
      <c r="DLU100" s="46"/>
      <c r="DLV100" s="46"/>
      <c r="DLW100" s="46"/>
      <c r="DLX100" s="46"/>
      <c r="DLY100" s="46"/>
      <c r="DLZ100" s="46"/>
      <c r="DMA100" s="46"/>
      <c r="DMB100" s="46"/>
      <c r="DMC100" s="46"/>
      <c r="DMD100" s="46"/>
      <c r="DME100" s="46"/>
      <c r="DMF100" s="46"/>
      <c r="DMG100" s="46"/>
      <c r="DMH100" s="46"/>
      <c r="DMI100" s="46"/>
      <c r="DMJ100" s="46"/>
      <c r="DMK100" s="46"/>
      <c r="DML100" s="46"/>
      <c r="DMM100" s="46"/>
      <c r="DMN100" s="46"/>
      <c r="DMO100" s="46"/>
      <c r="DMP100" s="46"/>
      <c r="DMQ100" s="46"/>
      <c r="DMR100" s="46"/>
      <c r="DMS100" s="46"/>
      <c r="DMT100" s="46"/>
      <c r="DMU100" s="46"/>
      <c r="DMV100" s="46"/>
      <c r="DMW100" s="46"/>
      <c r="DMX100" s="46"/>
      <c r="DMY100" s="46"/>
      <c r="DMZ100" s="46"/>
      <c r="DNA100" s="46"/>
      <c r="DNB100" s="46"/>
      <c r="DNC100" s="46"/>
      <c r="DND100" s="46"/>
      <c r="DNE100" s="46"/>
      <c r="DNF100" s="46"/>
      <c r="DNG100" s="46"/>
      <c r="DNH100" s="46"/>
      <c r="DNI100" s="46"/>
      <c r="DNJ100" s="46"/>
      <c r="DNK100" s="46"/>
      <c r="DNL100" s="46"/>
      <c r="DNM100" s="46"/>
      <c r="DNN100" s="46"/>
      <c r="DNO100" s="46"/>
      <c r="DNP100" s="46"/>
      <c r="DNQ100" s="46"/>
      <c r="DNR100" s="46"/>
      <c r="DNS100" s="46"/>
      <c r="DNT100" s="46"/>
      <c r="DNU100" s="46"/>
      <c r="DNV100" s="46"/>
      <c r="DNW100" s="46"/>
      <c r="DNX100" s="46"/>
      <c r="DNY100" s="46"/>
      <c r="DNZ100" s="46"/>
      <c r="DOA100" s="46"/>
      <c r="DOB100" s="46"/>
      <c r="DOC100" s="46"/>
      <c r="DOD100" s="46"/>
      <c r="DOE100" s="46"/>
      <c r="DOF100" s="46"/>
      <c r="DOG100" s="46"/>
      <c r="DOH100" s="46"/>
      <c r="DOI100" s="46"/>
      <c r="DOJ100" s="46"/>
      <c r="DOK100" s="46"/>
      <c r="DOL100" s="46"/>
      <c r="DOM100" s="46"/>
      <c r="DON100" s="46"/>
      <c r="DOO100" s="46"/>
      <c r="DOP100" s="46"/>
      <c r="DOQ100" s="46"/>
      <c r="DOR100" s="46"/>
      <c r="DOS100" s="46"/>
      <c r="DOT100" s="46"/>
      <c r="DOU100" s="46"/>
      <c r="DOV100" s="46"/>
      <c r="DOW100" s="46"/>
      <c r="DOX100" s="46"/>
      <c r="DOY100" s="46"/>
      <c r="DOZ100" s="46"/>
      <c r="DPA100" s="46"/>
      <c r="DPB100" s="46"/>
      <c r="DPC100" s="46"/>
      <c r="DPD100" s="46"/>
      <c r="DPE100" s="46"/>
      <c r="DPF100" s="46"/>
      <c r="DPG100" s="46"/>
      <c r="DPH100" s="46"/>
      <c r="DPI100" s="46"/>
      <c r="DPJ100" s="46"/>
      <c r="DPK100" s="46"/>
      <c r="DPL100" s="46"/>
      <c r="DPM100" s="46"/>
      <c r="DPN100" s="46"/>
      <c r="DPO100" s="46"/>
      <c r="DPP100" s="46"/>
      <c r="DPQ100" s="46"/>
      <c r="DPR100" s="46"/>
      <c r="DPS100" s="46"/>
      <c r="DPT100" s="46"/>
      <c r="DPU100" s="46"/>
      <c r="DPV100" s="46"/>
      <c r="DPW100" s="46"/>
      <c r="DPX100" s="46"/>
      <c r="DPY100" s="46"/>
      <c r="DPZ100" s="46"/>
      <c r="DQA100" s="46"/>
      <c r="DQB100" s="46"/>
      <c r="DQC100" s="46"/>
      <c r="DQD100" s="46"/>
      <c r="DQE100" s="46"/>
      <c r="DQF100" s="46"/>
      <c r="DQG100" s="46"/>
      <c r="DQH100" s="46"/>
      <c r="DQI100" s="46"/>
      <c r="DQJ100" s="46"/>
      <c r="DQK100" s="46"/>
      <c r="DQL100" s="46"/>
      <c r="DQM100" s="46"/>
      <c r="DQN100" s="46"/>
      <c r="DQO100" s="46"/>
      <c r="DQP100" s="46"/>
      <c r="DQQ100" s="46"/>
      <c r="DQR100" s="46"/>
      <c r="DQS100" s="46"/>
      <c r="DQT100" s="46"/>
      <c r="DQU100" s="46"/>
      <c r="DQV100" s="46"/>
      <c r="DQW100" s="46"/>
      <c r="DQX100" s="46"/>
      <c r="DQY100" s="46"/>
      <c r="DQZ100" s="46"/>
      <c r="DRA100" s="46"/>
      <c r="DRB100" s="46"/>
      <c r="DRC100" s="46"/>
      <c r="DRD100" s="46"/>
      <c r="DRE100" s="46"/>
      <c r="DRF100" s="46"/>
      <c r="DRG100" s="46"/>
      <c r="DRH100" s="46"/>
      <c r="DRI100" s="46"/>
      <c r="DRJ100" s="46"/>
      <c r="DRK100" s="46"/>
      <c r="DRL100" s="46"/>
      <c r="DRM100" s="46"/>
      <c r="DRN100" s="46"/>
      <c r="DRO100" s="46"/>
      <c r="DRP100" s="46"/>
      <c r="DRQ100" s="46"/>
      <c r="DRR100" s="46"/>
      <c r="DRS100" s="46"/>
      <c r="DRT100" s="46"/>
      <c r="DRU100" s="46"/>
      <c r="DRV100" s="46"/>
      <c r="DRW100" s="46"/>
      <c r="DRX100" s="46"/>
      <c r="DRY100" s="46"/>
      <c r="DRZ100" s="46"/>
      <c r="DSA100" s="46"/>
      <c r="DSB100" s="46"/>
      <c r="DSC100" s="46"/>
      <c r="DSD100" s="46"/>
      <c r="DSE100" s="46"/>
      <c r="DSF100" s="46"/>
      <c r="DSG100" s="46"/>
      <c r="DSH100" s="46"/>
      <c r="DSI100" s="46"/>
      <c r="DSJ100" s="46"/>
      <c r="DSK100" s="46"/>
      <c r="DSL100" s="46"/>
      <c r="DSM100" s="46"/>
      <c r="DSN100" s="46"/>
      <c r="DSO100" s="46"/>
      <c r="DSP100" s="46"/>
      <c r="DSQ100" s="46"/>
      <c r="DSR100" s="46"/>
      <c r="DSS100" s="46"/>
      <c r="DST100" s="46"/>
      <c r="DSU100" s="46"/>
      <c r="DSV100" s="46"/>
      <c r="DSW100" s="46"/>
      <c r="DSX100" s="46"/>
      <c r="DSY100" s="46"/>
      <c r="DSZ100" s="46"/>
      <c r="DTA100" s="46"/>
      <c r="DTB100" s="46"/>
      <c r="DTC100" s="46"/>
      <c r="DTD100" s="46"/>
      <c r="DTE100" s="46"/>
      <c r="DTF100" s="46"/>
      <c r="DTG100" s="46"/>
      <c r="DTH100" s="46"/>
      <c r="DTI100" s="46"/>
      <c r="DTJ100" s="46"/>
      <c r="DTK100" s="46"/>
      <c r="DTL100" s="46"/>
      <c r="DTM100" s="46"/>
      <c r="DTN100" s="46"/>
      <c r="DTO100" s="46"/>
      <c r="DTP100" s="46"/>
      <c r="DTQ100" s="46"/>
      <c r="DTR100" s="46"/>
      <c r="DTS100" s="46"/>
      <c r="DTT100" s="46"/>
      <c r="DTU100" s="46"/>
      <c r="DTV100" s="46"/>
      <c r="DTW100" s="46"/>
      <c r="DTX100" s="46"/>
      <c r="DTY100" s="46"/>
      <c r="DTZ100" s="46"/>
      <c r="DUA100" s="46"/>
      <c r="DUB100" s="46"/>
      <c r="DUC100" s="46"/>
      <c r="DUD100" s="46"/>
      <c r="DUE100" s="46"/>
      <c r="DUF100" s="46"/>
      <c r="DUG100" s="46"/>
      <c r="DUH100" s="46"/>
      <c r="DUI100" s="46"/>
      <c r="DUJ100" s="46"/>
      <c r="DUK100" s="46"/>
      <c r="DUL100" s="46"/>
      <c r="DUM100" s="46"/>
      <c r="DUN100" s="46"/>
      <c r="DUO100" s="46"/>
      <c r="DUP100" s="46"/>
      <c r="DUQ100" s="46"/>
      <c r="DUR100" s="46"/>
      <c r="DUS100" s="46"/>
      <c r="DUT100" s="46"/>
      <c r="DUU100" s="46"/>
      <c r="DUV100" s="46"/>
      <c r="DUW100" s="46"/>
      <c r="DUX100" s="46"/>
      <c r="DUY100" s="46"/>
      <c r="DUZ100" s="46"/>
      <c r="DVA100" s="46"/>
      <c r="DVB100" s="46"/>
      <c r="DVC100" s="46"/>
      <c r="DVD100" s="46"/>
      <c r="DVE100" s="46"/>
      <c r="DVF100" s="46"/>
      <c r="DVG100" s="46"/>
      <c r="DVH100" s="46"/>
      <c r="DVI100" s="46"/>
      <c r="DVJ100" s="46"/>
      <c r="DVK100" s="46"/>
      <c r="DVL100" s="46"/>
      <c r="DVM100" s="46"/>
      <c r="DVN100" s="46"/>
      <c r="DVO100" s="46"/>
      <c r="DVP100" s="46"/>
      <c r="DVQ100" s="46"/>
      <c r="DVR100" s="46"/>
      <c r="DVS100" s="46"/>
      <c r="DVT100" s="46"/>
      <c r="DVU100" s="46"/>
      <c r="DVV100" s="46"/>
      <c r="DVW100" s="46"/>
      <c r="DVX100" s="46"/>
      <c r="DVY100" s="46"/>
      <c r="DVZ100" s="46"/>
      <c r="DWA100" s="46"/>
      <c r="DWB100" s="46"/>
      <c r="DWC100" s="46"/>
      <c r="DWD100" s="46"/>
      <c r="DWE100" s="46"/>
      <c r="DWF100" s="46"/>
      <c r="DWG100" s="46"/>
      <c r="DWH100" s="46"/>
      <c r="DWI100" s="46"/>
      <c r="DWJ100" s="46"/>
      <c r="DWK100" s="46"/>
      <c r="DWL100" s="46"/>
      <c r="DWM100" s="46"/>
      <c r="DWN100" s="46"/>
      <c r="DWO100" s="46"/>
      <c r="DWP100" s="46"/>
      <c r="DWQ100" s="46"/>
      <c r="DWR100" s="46"/>
      <c r="DWS100" s="46"/>
      <c r="DWT100" s="46"/>
      <c r="DWU100" s="46"/>
      <c r="DWV100" s="46"/>
      <c r="DWW100" s="46"/>
      <c r="DWX100" s="46"/>
      <c r="DWY100" s="46"/>
      <c r="DWZ100" s="46"/>
      <c r="DXA100" s="46"/>
      <c r="DXB100" s="46"/>
      <c r="DXC100" s="46"/>
      <c r="DXD100" s="46"/>
      <c r="DXE100" s="46"/>
      <c r="DXF100" s="46"/>
      <c r="DXG100" s="46"/>
      <c r="DXH100" s="46"/>
      <c r="DXI100" s="46"/>
      <c r="DXJ100" s="46"/>
      <c r="DXK100" s="46"/>
      <c r="DXL100" s="46"/>
      <c r="DXM100" s="46"/>
      <c r="DXN100" s="46"/>
      <c r="DXO100" s="46"/>
      <c r="DXP100" s="46"/>
      <c r="DXQ100" s="46"/>
      <c r="DXR100" s="46"/>
      <c r="DXS100" s="46"/>
      <c r="DXT100" s="46"/>
      <c r="DXU100" s="46"/>
      <c r="DXV100" s="46"/>
      <c r="DXW100" s="46"/>
      <c r="DXX100" s="46"/>
      <c r="DXY100" s="46"/>
      <c r="DXZ100" s="46"/>
      <c r="DYA100" s="46"/>
      <c r="DYB100" s="46"/>
      <c r="DYC100" s="46"/>
      <c r="DYD100" s="46"/>
      <c r="DYE100" s="46"/>
      <c r="DYF100" s="46"/>
      <c r="DYG100" s="46"/>
      <c r="DYH100" s="46"/>
      <c r="DYI100" s="46"/>
      <c r="DYJ100" s="46"/>
      <c r="DYK100" s="46"/>
      <c r="DYL100" s="46"/>
      <c r="DYM100" s="46"/>
      <c r="DYN100" s="46"/>
      <c r="DYO100" s="46"/>
      <c r="DYP100" s="46"/>
      <c r="DYQ100" s="46"/>
      <c r="DYR100" s="46"/>
      <c r="DYS100" s="46"/>
      <c r="DYT100" s="46"/>
      <c r="DYU100" s="46"/>
      <c r="DYV100" s="46"/>
      <c r="DYW100" s="46"/>
      <c r="DYX100" s="46"/>
      <c r="DYY100" s="46"/>
      <c r="DYZ100" s="46"/>
      <c r="DZA100" s="46"/>
      <c r="DZB100" s="46"/>
      <c r="DZC100" s="46"/>
      <c r="DZD100" s="46"/>
      <c r="DZE100" s="46"/>
      <c r="DZF100" s="46"/>
      <c r="DZG100" s="46"/>
      <c r="DZH100" s="46"/>
      <c r="DZI100" s="46"/>
      <c r="DZJ100" s="46"/>
      <c r="DZK100" s="46"/>
      <c r="DZL100" s="46"/>
      <c r="DZM100" s="46"/>
      <c r="DZN100" s="46"/>
      <c r="DZO100" s="46"/>
      <c r="DZP100" s="46"/>
      <c r="DZQ100" s="46"/>
      <c r="DZR100" s="46"/>
      <c r="DZS100" s="46"/>
      <c r="DZT100" s="46"/>
      <c r="DZU100" s="46"/>
      <c r="DZV100" s="46"/>
      <c r="DZW100" s="46"/>
      <c r="DZX100" s="46"/>
      <c r="DZY100" s="46"/>
      <c r="DZZ100" s="46"/>
      <c r="EAA100" s="46"/>
      <c r="EAB100" s="46"/>
      <c r="EAC100" s="46"/>
      <c r="EAD100" s="46"/>
      <c r="EAE100" s="46"/>
      <c r="EAF100" s="46"/>
      <c r="EAG100" s="46"/>
      <c r="EAH100" s="46"/>
      <c r="EAI100" s="46"/>
      <c r="EAJ100" s="46"/>
      <c r="EAK100" s="46"/>
      <c r="EAL100" s="46"/>
      <c r="EAM100" s="46"/>
      <c r="EAN100" s="46"/>
      <c r="EAO100" s="46"/>
      <c r="EAP100" s="46"/>
      <c r="EAQ100" s="46"/>
      <c r="EAR100" s="46"/>
      <c r="EAS100" s="46"/>
      <c r="EAT100" s="46"/>
      <c r="EAU100" s="46"/>
      <c r="EAV100" s="46"/>
      <c r="EAW100" s="46"/>
      <c r="EAX100" s="46"/>
      <c r="EAY100" s="46"/>
      <c r="EAZ100" s="46"/>
      <c r="EBA100" s="46"/>
      <c r="EBB100" s="46"/>
      <c r="EBC100" s="46"/>
      <c r="EBD100" s="46"/>
      <c r="EBE100" s="46"/>
      <c r="EBF100" s="46"/>
      <c r="EBG100" s="46"/>
      <c r="EBH100" s="46"/>
      <c r="EBI100" s="46"/>
      <c r="EBJ100" s="46"/>
      <c r="EBK100" s="46"/>
      <c r="EBL100" s="46"/>
      <c r="EBM100" s="46"/>
      <c r="EBN100" s="46"/>
      <c r="EBO100" s="46"/>
      <c r="EBP100" s="46"/>
      <c r="EBQ100" s="46"/>
      <c r="EBR100" s="46"/>
      <c r="EBS100" s="46"/>
      <c r="EBT100" s="46"/>
      <c r="EBU100" s="46"/>
      <c r="EBV100" s="46"/>
      <c r="EBW100" s="46"/>
      <c r="EBX100" s="46"/>
      <c r="EBY100" s="46"/>
      <c r="EBZ100" s="46"/>
      <c r="ECA100" s="46"/>
      <c r="ECB100" s="46"/>
      <c r="ECC100" s="46"/>
      <c r="ECD100" s="46"/>
      <c r="ECE100" s="46"/>
      <c r="ECF100" s="46"/>
      <c r="ECG100" s="46"/>
      <c r="ECH100" s="46"/>
      <c r="ECI100" s="46"/>
      <c r="ECJ100" s="46"/>
      <c r="ECK100" s="46"/>
      <c r="ECL100" s="46"/>
      <c r="ECM100" s="46"/>
      <c r="ECN100" s="46"/>
      <c r="ECO100" s="46"/>
      <c r="ECP100" s="46"/>
      <c r="ECQ100" s="46"/>
      <c r="ECR100" s="46"/>
      <c r="ECS100" s="46"/>
      <c r="ECT100" s="46"/>
      <c r="ECU100" s="46"/>
      <c r="ECV100" s="46"/>
      <c r="ECW100" s="46"/>
      <c r="ECX100" s="46"/>
      <c r="ECY100" s="46"/>
      <c r="ECZ100" s="46"/>
      <c r="EDA100" s="46"/>
      <c r="EDB100" s="46"/>
      <c r="EDC100" s="46"/>
      <c r="EDD100" s="46"/>
      <c r="EDE100" s="46"/>
      <c r="EDF100" s="46"/>
      <c r="EDG100" s="46"/>
      <c r="EDH100" s="46"/>
      <c r="EDI100" s="46"/>
      <c r="EDJ100" s="46"/>
      <c r="EDK100" s="46"/>
      <c r="EDL100" s="46"/>
      <c r="EDM100" s="46"/>
      <c r="EDN100" s="46"/>
      <c r="EDO100" s="46"/>
      <c r="EDP100" s="46"/>
      <c r="EDQ100" s="46"/>
      <c r="EDR100" s="46"/>
      <c r="EDS100" s="46"/>
      <c r="EDT100" s="46"/>
      <c r="EDU100" s="46"/>
      <c r="EDV100" s="46"/>
      <c r="EDW100" s="46"/>
      <c r="EDX100" s="46"/>
      <c r="EDY100" s="46"/>
      <c r="EDZ100" s="46"/>
      <c r="EEA100" s="46"/>
      <c r="EEB100" s="46"/>
      <c r="EEC100" s="46"/>
      <c r="EED100" s="46"/>
      <c r="EEE100" s="46"/>
      <c r="EEF100" s="46"/>
      <c r="EEG100" s="46"/>
      <c r="EEH100" s="46"/>
      <c r="EEI100" s="46"/>
      <c r="EEJ100" s="46"/>
      <c r="EEK100" s="46"/>
      <c r="EEL100" s="46"/>
      <c r="EEM100" s="46"/>
      <c r="EEN100" s="46"/>
      <c r="EEO100" s="46"/>
      <c r="EEP100" s="46"/>
      <c r="EEQ100" s="46"/>
      <c r="EER100" s="46"/>
      <c r="EES100" s="46"/>
      <c r="EET100" s="46"/>
      <c r="EEU100" s="46"/>
      <c r="EEV100" s="46"/>
      <c r="EEW100" s="46"/>
      <c r="EEX100" s="46"/>
      <c r="EEY100" s="46"/>
      <c r="EEZ100" s="46"/>
      <c r="EFA100" s="46"/>
      <c r="EFB100" s="46"/>
      <c r="EFC100" s="46"/>
      <c r="EFD100" s="46"/>
      <c r="EFE100" s="46"/>
      <c r="EFF100" s="46"/>
      <c r="EFG100" s="46"/>
      <c r="EFH100" s="46"/>
      <c r="EFI100" s="46"/>
      <c r="EFJ100" s="46"/>
      <c r="EFK100" s="46"/>
      <c r="EFL100" s="46"/>
      <c r="EFM100" s="46"/>
      <c r="EFN100" s="46"/>
      <c r="EFO100" s="46"/>
      <c r="EFP100" s="46"/>
      <c r="EFQ100" s="46"/>
      <c r="EFR100" s="46"/>
      <c r="EFS100" s="46"/>
      <c r="EFT100" s="46"/>
      <c r="EFU100" s="46"/>
      <c r="EFV100" s="46"/>
      <c r="EFW100" s="46"/>
      <c r="EFX100" s="46"/>
      <c r="EFY100" s="46"/>
      <c r="EFZ100" s="46"/>
      <c r="EGA100" s="46"/>
      <c r="EGB100" s="46"/>
      <c r="EGC100" s="46"/>
      <c r="EGD100" s="46"/>
      <c r="EGE100" s="46"/>
      <c r="EGF100" s="46"/>
      <c r="EGG100" s="46"/>
      <c r="EGH100" s="46"/>
      <c r="EGI100" s="46"/>
      <c r="EGJ100" s="46"/>
      <c r="EGK100" s="46"/>
      <c r="EGL100" s="46"/>
      <c r="EGM100" s="46"/>
      <c r="EGN100" s="46"/>
      <c r="EGO100" s="46"/>
      <c r="EGP100" s="46"/>
      <c r="EGQ100" s="46"/>
      <c r="EGR100" s="46"/>
      <c r="EGS100" s="46"/>
      <c r="EGT100" s="46"/>
      <c r="EGU100" s="46"/>
      <c r="EGV100" s="46"/>
      <c r="EGW100" s="46"/>
      <c r="EGX100" s="46"/>
      <c r="EGY100" s="46"/>
      <c r="EGZ100" s="46"/>
      <c r="EHA100" s="46"/>
      <c r="EHB100" s="46"/>
      <c r="EHC100" s="46"/>
      <c r="EHD100" s="46"/>
      <c r="EHE100" s="46"/>
      <c r="EHF100" s="46"/>
      <c r="EHG100" s="46"/>
      <c r="EHH100" s="46"/>
      <c r="EHI100" s="46"/>
      <c r="EHJ100" s="46"/>
      <c r="EHK100" s="46"/>
      <c r="EHL100" s="46"/>
      <c r="EHM100" s="46"/>
      <c r="EHN100" s="46"/>
      <c r="EHO100" s="46"/>
      <c r="EHP100" s="46"/>
      <c r="EHQ100" s="46"/>
      <c r="EHR100" s="46"/>
      <c r="EHS100" s="46"/>
      <c r="EHT100" s="46"/>
      <c r="EHU100" s="46"/>
      <c r="EHV100" s="46"/>
      <c r="EHW100" s="46"/>
      <c r="EHX100" s="46"/>
      <c r="EHY100" s="46"/>
      <c r="EHZ100" s="46"/>
      <c r="EIA100" s="46"/>
      <c r="EIB100" s="46"/>
      <c r="EIC100" s="46"/>
      <c r="EID100" s="46"/>
      <c r="EIE100" s="46"/>
      <c r="EIF100" s="46"/>
      <c r="EIG100" s="46"/>
      <c r="EIH100" s="46"/>
      <c r="EII100" s="46"/>
      <c r="EIJ100" s="46"/>
      <c r="EIK100" s="46"/>
      <c r="EIL100" s="46"/>
      <c r="EIM100" s="46"/>
      <c r="EIN100" s="46"/>
      <c r="EIO100" s="46"/>
      <c r="EIP100" s="46"/>
      <c r="EIQ100" s="46"/>
      <c r="EIR100" s="46"/>
      <c r="EIS100" s="46"/>
      <c r="EIT100" s="46"/>
      <c r="EIU100" s="46"/>
      <c r="EIV100" s="46"/>
      <c r="EIW100" s="46"/>
      <c r="EIX100" s="46"/>
      <c r="EIY100" s="46"/>
      <c r="EIZ100" s="46"/>
      <c r="EJA100" s="46"/>
      <c r="EJB100" s="46"/>
      <c r="EJC100" s="46"/>
      <c r="EJD100" s="46"/>
      <c r="EJE100" s="46"/>
      <c r="EJF100" s="46"/>
      <c r="EJG100" s="46"/>
      <c r="EJH100" s="46"/>
      <c r="EJI100" s="46"/>
      <c r="EJJ100" s="46"/>
      <c r="EJK100" s="46"/>
      <c r="EJL100" s="46"/>
      <c r="EJM100" s="46"/>
      <c r="EJN100" s="46"/>
      <c r="EJO100" s="46"/>
      <c r="EJP100" s="46"/>
      <c r="EJQ100" s="46"/>
      <c r="EJR100" s="46"/>
      <c r="EJS100" s="46"/>
      <c r="EJT100" s="46"/>
      <c r="EJU100" s="46"/>
      <c r="EJV100" s="46"/>
      <c r="EJW100" s="46"/>
      <c r="EJX100" s="46"/>
      <c r="EJY100" s="46"/>
      <c r="EJZ100" s="46"/>
      <c r="EKA100" s="46"/>
      <c r="EKB100" s="46"/>
      <c r="EKC100" s="46"/>
      <c r="EKD100" s="46"/>
      <c r="EKE100" s="46"/>
      <c r="EKF100" s="46"/>
      <c r="EKG100" s="46"/>
      <c r="EKH100" s="46"/>
      <c r="EKI100" s="46"/>
      <c r="EKJ100" s="46"/>
      <c r="EKK100" s="46"/>
      <c r="EKL100" s="46"/>
      <c r="EKM100" s="46"/>
      <c r="EKN100" s="46"/>
      <c r="EKO100" s="46"/>
      <c r="EKP100" s="46"/>
      <c r="EKQ100" s="46"/>
      <c r="EKR100" s="46"/>
      <c r="EKS100" s="46"/>
      <c r="EKT100" s="46"/>
      <c r="EKU100" s="46"/>
      <c r="EKV100" s="46"/>
      <c r="EKW100" s="46"/>
      <c r="EKX100" s="46"/>
      <c r="EKY100" s="46"/>
      <c r="EKZ100" s="46"/>
      <c r="ELA100" s="46"/>
      <c r="ELB100" s="46"/>
      <c r="ELC100" s="46"/>
      <c r="ELD100" s="46"/>
      <c r="ELE100" s="46"/>
      <c r="ELF100" s="46"/>
      <c r="ELG100" s="46"/>
      <c r="ELH100" s="46"/>
      <c r="ELI100" s="46"/>
      <c r="ELJ100" s="46"/>
      <c r="ELK100" s="46"/>
      <c r="ELL100" s="46"/>
      <c r="ELM100" s="46"/>
      <c r="ELN100" s="46"/>
      <c r="ELO100" s="46"/>
      <c r="ELP100" s="46"/>
      <c r="ELQ100" s="46"/>
      <c r="ELR100" s="46"/>
      <c r="ELS100" s="46"/>
      <c r="ELT100" s="46"/>
      <c r="ELU100" s="46"/>
      <c r="ELV100" s="46"/>
      <c r="ELW100" s="46"/>
      <c r="ELX100" s="46"/>
      <c r="ELY100" s="46"/>
      <c r="ELZ100" s="46"/>
      <c r="EMA100" s="46"/>
      <c r="EMB100" s="46"/>
      <c r="EMC100" s="46"/>
      <c r="EMD100" s="46"/>
      <c r="EME100" s="46"/>
      <c r="EMF100" s="46"/>
      <c r="EMG100" s="46"/>
      <c r="EMH100" s="46"/>
      <c r="EMI100" s="46"/>
      <c r="EMJ100" s="46"/>
      <c r="EMK100" s="46"/>
      <c r="EML100" s="46"/>
      <c r="EMM100" s="46"/>
      <c r="EMN100" s="46"/>
      <c r="EMO100" s="46"/>
      <c r="EMP100" s="46"/>
      <c r="EMQ100" s="46"/>
      <c r="EMR100" s="46"/>
      <c r="EMS100" s="46"/>
      <c r="EMT100" s="46"/>
      <c r="EMU100" s="46"/>
      <c r="EMV100" s="46"/>
      <c r="EMW100" s="46"/>
      <c r="EMX100" s="46"/>
      <c r="EMY100" s="46"/>
      <c r="EMZ100" s="46"/>
      <c r="ENA100" s="46"/>
      <c r="ENB100" s="46"/>
      <c r="ENC100" s="46"/>
      <c r="END100" s="46"/>
      <c r="ENE100" s="46"/>
      <c r="ENF100" s="46"/>
      <c r="ENG100" s="46"/>
      <c r="ENH100" s="46"/>
      <c r="ENI100" s="46"/>
      <c r="ENJ100" s="46"/>
      <c r="ENK100" s="46"/>
      <c r="ENL100" s="46"/>
      <c r="ENM100" s="46"/>
      <c r="ENN100" s="46"/>
      <c r="ENO100" s="46"/>
      <c r="ENP100" s="46"/>
      <c r="ENQ100" s="46"/>
      <c r="ENR100" s="46"/>
      <c r="ENS100" s="46"/>
      <c r="ENT100" s="46"/>
      <c r="ENU100" s="46"/>
      <c r="ENV100" s="46"/>
      <c r="ENW100" s="46"/>
      <c r="ENX100" s="46"/>
      <c r="ENY100" s="46"/>
      <c r="ENZ100" s="46"/>
      <c r="EOA100" s="46"/>
      <c r="EOB100" s="46"/>
      <c r="EOC100" s="46"/>
      <c r="EOD100" s="46"/>
      <c r="EOE100" s="46"/>
      <c r="EOF100" s="46"/>
      <c r="EOG100" s="46"/>
      <c r="EOH100" s="46"/>
      <c r="EOI100" s="46"/>
      <c r="EOJ100" s="46"/>
      <c r="EOK100" s="46"/>
      <c r="EOL100" s="46"/>
      <c r="EOM100" s="46"/>
      <c r="EON100" s="46"/>
      <c r="EOO100" s="46"/>
      <c r="EOP100" s="46"/>
      <c r="EOQ100" s="46"/>
      <c r="EOR100" s="46"/>
      <c r="EOS100" s="46"/>
      <c r="EOT100" s="46"/>
      <c r="EOU100" s="46"/>
      <c r="EOV100" s="46"/>
      <c r="EOW100" s="46"/>
      <c r="EOX100" s="46"/>
      <c r="EOY100" s="46"/>
      <c r="EOZ100" s="46"/>
      <c r="EPA100" s="46"/>
      <c r="EPB100" s="46"/>
      <c r="EPC100" s="46"/>
      <c r="EPD100" s="46"/>
      <c r="EPE100" s="46"/>
      <c r="EPF100" s="46"/>
      <c r="EPG100" s="46"/>
      <c r="EPH100" s="46"/>
      <c r="EPI100" s="46"/>
      <c r="EPJ100" s="46"/>
      <c r="EPK100" s="46"/>
      <c r="EPL100" s="46"/>
      <c r="EPM100" s="46"/>
      <c r="EPN100" s="46"/>
      <c r="EPO100" s="46"/>
      <c r="EPP100" s="46"/>
      <c r="EPQ100" s="46"/>
      <c r="EPR100" s="46"/>
      <c r="EPS100" s="46"/>
      <c r="EPT100" s="46"/>
      <c r="EPU100" s="46"/>
      <c r="EPV100" s="46"/>
      <c r="EPW100" s="46"/>
      <c r="EPX100" s="46"/>
      <c r="EPY100" s="46"/>
      <c r="EPZ100" s="46"/>
      <c r="EQA100" s="46"/>
      <c r="EQB100" s="46"/>
      <c r="EQC100" s="46"/>
      <c r="EQD100" s="46"/>
      <c r="EQE100" s="46"/>
      <c r="EQF100" s="46"/>
      <c r="EQG100" s="46"/>
      <c r="EQH100" s="46"/>
      <c r="EQI100" s="46"/>
      <c r="EQJ100" s="46"/>
      <c r="EQK100" s="46"/>
      <c r="EQL100" s="46"/>
      <c r="EQM100" s="46"/>
      <c r="EQN100" s="46"/>
      <c r="EQO100" s="46"/>
      <c r="EQP100" s="46"/>
      <c r="EQQ100" s="46"/>
      <c r="EQR100" s="46"/>
      <c r="EQS100" s="46"/>
      <c r="EQT100" s="46"/>
      <c r="EQU100" s="46"/>
      <c r="EQV100" s="46"/>
      <c r="EQW100" s="46"/>
      <c r="EQX100" s="46"/>
      <c r="EQY100" s="46"/>
      <c r="EQZ100" s="46"/>
      <c r="ERA100" s="46"/>
      <c r="ERB100" s="46"/>
      <c r="ERC100" s="46"/>
      <c r="ERD100" s="46"/>
      <c r="ERE100" s="46"/>
      <c r="ERF100" s="46"/>
      <c r="ERG100" s="46"/>
      <c r="ERH100" s="46"/>
      <c r="ERI100" s="46"/>
      <c r="ERJ100" s="46"/>
      <c r="ERK100" s="46"/>
      <c r="ERL100" s="46"/>
      <c r="ERM100" s="46"/>
      <c r="ERN100" s="46"/>
      <c r="ERO100" s="46"/>
      <c r="ERP100" s="46"/>
      <c r="ERQ100" s="46"/>
      <c r="ERR100" s="46"/>
      <c r="ERS100" s="46"/>
      <c r="ERT100" s="46"/>
      <c r="ERU100" s="46"/>
      <c r="ERV100" s="46"/>
      <c r="ERW100" s="46"/>
      <c r="ERX100" s="46"/>
      <c r="ERY100" s="46"/>
      <c r="ERZ100" s="46"/>
      <c r="ESA100" s="46"/>
      <c r="ESB100" s="46"/>
      <c r="ESC100" s="46"/>
      <c r="ESD100" s="46"/>
      <c r="ESE100" s="46"/>
      <c r="ESF100" s="46"/>
      <c r="ESG100" s="46"/>
      <c r="ESH100" s="46"/>
      <c r="ESI100" s="46"/>
      <c r="ESJ100" s="46"/>
      <c r="ESK100" s="46"/>
      <c r="ESL100" s="46"/>
      <c r="ESM100" s="46"/>
      <c r="ESN100" s="46"/>
      <c r="ESO100" s="46"/>
      <c r="ESP100" s="46"/>
      <c r="ESQ100" s="46"/>
      <c r="ESR100" s="46"/>
      <c r="ESS100" s="46"/>
      <c r="EST100" s="46"/>
      <c r="ESU100" s="46"/>
      <c r="ESV100" s="46"/>
      <c r="ESW100" s="46"/>
      <c r="ESX100" s="46"/>
      <c r="ESY100" s="46"/>
      <c r="ESZ100" s="46"/>
      <c r="ETA100" s="46"/>
      <c r="ETB100" s="46"/>
      <c r="ETC100" s="46"/>
      <c r="ETD100" s="46"/>
      <c r="ETE100" s="46"/>
      <c r="ETF100" s="46"/>
      <c r="ETG100" s="46"/>
      <c r="ETH100" s="46"/>
      <c r="ETI100" s="46"/>
      <c r="ETJ100" s="46"/>
      <c r="ETK100" s="46"/>
      <c r="ETL100" s="46"/>
      <c r="ETM100" s="46"/>
      <c r="ETN100" s="46"/>
      <c r="ETO100" s="46"/>
      <c r="ETP100" s="46"/>
      <c r="ETQ100" s="46"/>
      <c r="ETR100" s="46"/>
      <c r="ETS100" s="46"/>
      <c r="ETT100" s="46"/>
      <c r="ETU100" s="46"/>
      <c r="ETV100" s="46"/>
      <c r="ETW100" s="46"/>
      <c r="ETX100" s="46"/>
      <c r="ETY100" s="46"/>
      <c r="ETZ100" s="46"/>
      <c r="EUA100" s="46"/>
      <c r="EUB100" s="46"/>
      <c r="EUC100" s="46"/>
      <c r="EUD100" s="46"/>
      <c r="EUE100" s="46"/>
      <c r="EUF100" s="46"/>
      <c r="EUG100" s="46"/>
      <c r="EUH100" s="46"/>
      <c r="EUI100" s="46"/>
      <c r="EUJ100" s="46"/>
      <c r="EUK100" s="46"/>
      <c r="EUL100" s="46"/>
      <c r="EUM100" s="46"/>
      <c r="EUN100" s="46"/>
      <c r="EUO100" s="46"/>
      <c r="EUP100" s="46"/>
      <c r="EUQ100" s="46"/>
      <c r="EUR100" s="46"/>
      <c r="EUS100" s="46"/>
      <c r="EUT100" s="46"/>
      <c r="EUU100" s="46"/>
      <c r="EUV100" s="46"/>
      <c r="EUW100" s="46"/>
      <c r="EUX100" s="46"/>
      <c r="EUY100" s="46"/>
      <c r="EUZ100" s="46"/>
      <c r="EVA100" s="46"/>
      <c r="EVB100" s="46"/>
      <c r="EVC100" s="46"/>
      <c r="EVD100" s="46"/>
      <c r="EVE100" s="46"/>
      <c r="EVF100" s="46"/>
      <c r="EVG100" s="46"/>
      <c r="EVH100" s="46"/>
      <c r="EVI100" s="46"/>
      <c r="EVJ100" s="46"/>
      <c r="EVK100" s="46"/>
      <c r="EVL100" s="46"/>
      <c r="EVM100" s="46"/>
      <c r="EVN100" s="46"/>
      <c r="EVO100" s="46"/>
      <c r="EVP100" s="46"/>
      <c r="EVQ100" s="46"/>
      <c r="EVR100" s="46"/>
      <c r="EVS100" s="46"/>
      <c r="EVT100" s="46"/>
      <c r="EVU100" s="46"/>
      <c r="EVV100" s="46"/>
      <c r="EVW100" s="46"/>
      <c r="EVX100" s="46"/>
      <c r="EVY100" s="46"/>
      <c r="EVZ100" s="46"/>
      <c r="EWA100" s="46"/>
      <c r="EWB100" s="46"/>
      <c r="EWC100" s="46"/>
      <c r="EWD100" s="46"/>
      <c r="EWE100" s="46"/>
      <c r="EWF100" s="46"/>
      <c r="EWG100" s="46"/>
      <c r="EWH100" s="46"/>
      <c r="EWI100" s="46"/>
      <c r="EWJ100" s="46"/>
      <c r="EWK100" s="46"/>
      <c r="EWL100" s="46"/>
      <c r="EWM100" s="46"/>
      <c r="EWN100" s="46"/>
      <c r="EWO100" s="46"/>
      <c r="EWP100" s="46"/>
      <c r="EWQ100" s="46"/>
      <c r="EWR100" s="46"/>
      <c r="EWS100" s="46"/>
      <c r="EWT100" s="46"/>
      <c r="EWU100" s="46"/>
      <c r="EWV100" s="46"/>
      <c r="EWW100" s="46"/>
      <c r="EWX100" s="46"/>
      <c r="EWY100" s="46"/>
      <c r="EWZ100" s="46"/>
      <c r="EXA100" s="46"/>
      <c r="EXB100" s="46"/>
      <c r="EXC100" s="46"/>
      <c r="EXD100" s="46"/>
      <c r="EXE100" s="46"/>
      <c r="EXF100" s="46"/>
      <c r="EXG100" s="46"/>
      <c r="EXH100" s="46"/>
      <c r="EXI100" s="46"/>
      <c r="EXJ100" s="46"/>
      <c r="EXK100" s="46"/>
      <c r="EXL100" s="46"/>
      <c r="EXM100" s="46"/>
      <c r="EXN100" s="46"/>
      <c r="EXO100" s="46"/>
      <c r="EXP100" s="46"/>
      <c r="EXQ100" s="46"/>
      <c r="EXR100" s="46"/>
      <c r="EXS100" s="46"/>
      <c r="EXT100" s="46"/>
      <c r="EXU100" s="46"/>
      <c r="EXV100" s="46"/>
      <c r="EXW100" s="46"/>
      <c r="EXX100" s="46"/>
      <c r="EXY100" s="46"/>
      <c r="EXZ100" s="46"/>
      <c r="EYA100" s="46"/>
      <c r="EYB100" s="46"/>
      <c r="EYC100" s="46"/>
      <c r="EYD100" s="46"/>
      <c r="EYE100" s="46"/>
      <c r="EYF100" s="46"/>
      <c r="EYG100" s="46"/>
      <c r="EYH100" s="46"/>
      <c r="EYI100" s="46"/>
      <c r="EYJ100" s="46"/>
      <c r="EYK100" s="46"/>
      <c r="EYL100" s="46"/>
      <c r="EYM100" s="46"/>
      <c r="EYN100" s="46"/>
      <c r="EYO100" s="46"/>
      <c r="EYP100" s="46"/>
      <c r="EYQ100" s="46"/>
      <c r="EYR100" s="46"/>
      <c r="EYS100" s="46"/>
      <c r="EYT100" s="46"/>
      <c r="EYU100" s="46"/>
      <c r="EYV100" s="46"/>
      <c r="EYW100" s="46"/>
      <c r="EYX100" s="46"/>
      <c r="EYY100" s="46"/>
      <c r="EYZ100" s="46"/>
      <c r="EZA100" s="46"/>
      <c r="EZB100" s="46"/>
      <c r="EZC100" s="46"/>
      <c r="EZD100" s="46"/>
      <c r="EZE100" s="46"/>
      <c r="EZF100" s="46"/>
      <c r="EZG100" s="46"/>
      <c r="EZH100" s="46"/>
      <c r="EZI100" s="46"/>
      <c r="EZJ100" s="46"/>
      <c r="EZK100" s="46"/>
      <c r="EZL100" s="46"/>
      <c r="EZM100" s="46"/>
      <c r="EZN100" s="46"/>
      <c r="EZO100" s="46"/>
      <c r="EZP100" s="46"/>
      <c r="EZQ100" s="46"/>
      <c r="EZR100" s="46"/>
      <c r="EZS100" s="46"/>
      <c r="EZT100" s="46"/>
      <c r="EZU100" s="46"/>
      <c r="EZV100" s="46"/>
      <c r="EZW100" s="46"/>
      <c r="EZX100" s="46"/>
      <c r="EZY100" s="46"/>
      <c r="EZZ100" s="46"/>
      <c r="FAA100" s="46"/>
      <c r="FAB100" s="46"/>
      <c r="FAC100" s="46"/>
      <c r="FAD100" s="46"/>
      <c r="FAE100" s="46"/>
      <c r="FAF100" s="46"/>
      <c r="FAG100" s="46"/>
      <c r="FAH100" s="46"/>
      <c r="FAI100" s="46"/>
      <c r="FAJ100" s="46"/>
      <c r="FAK100" s="46"/>
      <c r="FAL100" s="46"/>
      <c r="FAM100" s="46"/>
      <c r="FAN100" s="46"/>
      <c r="FAO100" s="46"/>
      <c r="FAP100" s="46"/>
      <c r="FAQ100" s="46"/>
      <c r="FAR100" s="46"/>
      <c r="FAS100" s="46"/>
      <c r="FAT100" s="46"/>
      <c r="FAU100" s="46"/>
      <c r="FAV100" s="46"/>
      <c r="FAW100" s="46"/>
      <c r="FAX100" s="46"/>
      <c r="FAY100" s="46"/>
      <c r="FAZ100" s="46"/>
      <c r="FBA100" s="46"/>
      <c r="FBB100" s="46"/>
      <c r="FBC100" s="46"/>
      <c r="FBD100" s="46"/>
      <c r="FBE100" s="46"/>
      <c r="FBF100" s="46"/>
      <c r="FBG100" s="46"/>
      <c r="FBH100" s="46"/>
      <c r="FBI100" s="46"/>
      <c r="FBJ100" s="46"/>
      <c r="FBK100" s="46"/>
      <c r="FBL100" s="46"/>
      <c r="FBM100" s="46"/>
      <c r="FBN100" s="46"/>
      <c r="FBO100" s="46"/>
      <c r="FBP100" s="46"/>
      <c r="FBQ100" s="46"/>
      <c r="FBR100" s="46"/>
      <c r="FBS100" s="46"/>
      <c r="FBT100" s="46"/>
      <c r="FBU100" s="46"/>
      <c r="FBV100" s="46"/>
      <c r="FBW100" s="46"/>
      <c r="FBX100" s="46"/>
      <c r="FBY100" s="46"/>
      <c r="FBZ100" s="46"/>
      <c r="FCA100" s="46"/>
      <c r="FCB100" s="46"/>
      <c r="FCC100" s="46"/>
      <c r="FCD100" s="46"/>
      <c r="FCE100" s="46"/>
      <c r="FCF100" s="46"/>
      <c r="FCG100" s="46"/>
      <c r="FCH100" s="46"/>
      <c r="FCI100" s="46"/>
      <c r="FCJ100" s="46"/>
      <c r="FCK100" s="46"/>
      <c r="FCL100" s="46"/>
      <c r="FCM100" s="46"/>
      <c r="FCN100" s="46"/>
      <c r="FCO100" s="46"/>
      <c r="FCP100" s="46"/>
      <c r="FCQ100" s="46"/>
      <c r="FCR100" s="46"/>
      <c r="FCS100" s="46"/>
      <c r="FCT100" s="46"/>
      <c r="FCU100" s="46"/>
      <c r="FCV100" s="46"/>
      <c r="FCW100" s="46"/>
      <c r="FCX100" s="46"/>
      <c r="FCY100" s="46"/>
      <c r="FCZ100" s="46"/>
      <c r="FDA100" s="46"/>
      <c r="FDB100" s="46"/>
      <c r="FDC100" s="46"/>
      <c r="FDD100" s="46"/>
      <c r="FDE100" s="46"/>
      <c r="FDF100" s="46"/>
      <c r="FDG100" s="46"/>
      <c r="FDH100" s="46"/>
      <c r="FDI100" s="46"/>
      <c r="FDJ100" s="46"/>
      <c r="FDK100" s="46"/>
      <c r="FDL100" s="46"/>
      <c r="FDM100" s="46"/>
      <c r="FDN100" s="46"/>
      <c r="FDO100" s="46"/>
      <c r="FDP100" s="46"/>
      <c r="FDQ100" s="46"/>
      <c r="FDR100" s="46"/>
      <c r="FDS100" s="46"/>
      <c r="FDT100" s="46"/>
      <c r="FDU100" s="46"/>
      <c r="FDV100" s="46"/>
      <c r="FDW100" s="46"/>
      <c r="FDX100" s="46"/>
      <c r="FDY100" s="46"/>
      <c r="FDZ100" s="46"/>
      <c r="FEA100" s="46"/>
      <c r="FEB100" s="46"/>
      <c r="FEC100" s="46"/>
      <c r="FED100" s="46"/>
      <c r="FEE100" s="46"/>
      <c r="FEF100" s="46"/>
      <c r="FEG100" s="46"/>
      <c r="FEH100" s="46"/>
      <c r="FEI100" s="46"/>
      <c r="FEJ100" s="46"/>
      <c r="FEK100" s="46"/>
      <c r="FEL100" s="46"/>
      <c r="FEM100" s="46"/>
      <c r="FEN100" s="46"/>
      <c r="FEO100" s="46"/>
      <c r="FEP100" s="46"/>
      <c r="FEQ100" s="46"/>
      <c r="FER100" s="46"/>
      <c r="FES100" s="46"/>
      <c r="FET100" s="46"/>
      <c r="FEU100" s="46"/>
      <c r="FEV100" s="46"/>
      <c r="FEW100" s="46"/>
      <c r="FEX100" s="46"/>
      <c r="FEY100" s="46"/>
      <c r="FEZ100" s="46"/>
      <c r="FFA100" s="46"/>
      <c r="FFB100" s="46"/>
      <c r="FFC100" s="46"/>
      <c r="FFD100" s="46"/>
      <c r="FFE100" s="46"/>
      <c r="FFF100" s="46"/>
      <c r="FFG100" s="46"/>
      <c r="FFH100" s="46"/>
      <c r="FFI100" s="46"/>
      <c r="FFJ100" s="46"/>
      <c r="FFK100" s="46"/>
      <c r="FFL100" s="46"/>
      <c r="FFM100" s="46"/>
      <c r="FFN100" s="46"/>
      <c r="FFO100" s="46"/>
      <c r="FFP100" s="46"/>
      <c r="FFQ100" s="46"/>
      <c r="FFR100" s="46"/>
      <c r="FFS100" s="46"/>
      <c r="FFT100" s="46"/>
      <c r="FFU100" s="46"/>
      <c r="FFV100" s="46"/>
      <c r="FFW100" s="46"/>
      <c r="FFX100" s="46"/>
      <c r="FFY100" s="46"/>
      <c r="FFZ100" s="46"/>
      <c r="FGA100" s="46"/>
      <c r="FGB100" s="46"/>
      <c r="FGC100" s="46"/>
      <c r="FGD100" s="46"/>
      <c r="FGE100" s="46"/>
      <c r="FGF100" s="46"/>
      <c r="FGG100" s="46"/>
      <c r="FGH100" s="46"/>
      <c r="FGI100" s="46"/>
      <c r="FGJ100" s="46"/>
      <c r="FGK100" s="46"/>
      <c r="FGL100" s="46"/>
      <c r="FGM100" s="46"/>
      <c r="FGN100" s="46"/>
      <c r="FGO100" s="46"/>
      <c r="FGP100" s="46"/>
      <c r="FGQ100" s="46"/>
      <c r="FGR100" s="46"/>
      <c r="FGS100" s="46"/>
      <c r="FGT100" s="46"/>
      <c r="FGU100" s="46"/>
      <c r="FGV100" s="46"/>
      <c r="FGW100" s="46"/>
      <c r="FGX100" s="46"/>
      <c r="FGY100" s="46"/>
      <c r="FGZ100" s="46"/>
      <c r="FHA100" s="46"/>
      <c r="FHB100" s="46"/>
      <c r="FHC100" s="46"/>
      <c r="FHD100" s="46"/>
      <c r="FHE100" s="46"/>
      <c r="FHF100" s="46"/>
      <c r="FHG100" s="46"/>
      <c r="FHH100" s="46"/>
      <c r="FHI100" s="46"/>
      <c r="FHJ100" s="46"/>
      <c r="FHK100" s="46"/>
      <c r="FHL100" s="46"/>
      <c r="FHM100" s="46"/>
      <c r="FHN100" s="46"/>
      <c r="FHO100" s="46"/>
      <c r="FHP100" s="46"/>
      <c r="FHQ100" s="46"/>
      <c r="FHR100" s="46"/>
      <c r="FHS100" s="46"/>
      <c r="FHT100" s="46"/>
      <c r="FHU100" s="46"/>
      <c r="FHV100" s="46"/>
      <c r="FHW100" s="46"/>
      <c r="FHX100" s="46"/>
      <c r="FHY100" s="46"/>
      <c r="FHZ100" s="46"/>
      <c r="FIA100" s="46"/>
      <c r="FIB100" s="46"/>
      <c r="FIC100" s="46"/>
      <c r="FID100" s="46"/>
      <c r="FIE100" s="46"/>
      <c r="FIF100" s="46"/>
      <c r="FIG100" s="46"/>
      <c r="FIH100" s="46"/>
      <c r="FII100" s="46"/>
      <c r="FIJ100" s="46"/>
      <c r="FIK100" s="46"/>
      <c r="FIL100" s="46"/>
      <c r="FIM100" s="46"/>
      <c r="FIN100" s="46"/>
      <c r="FIO100" s="46"/>
      <c r="FIP100" s="46"/>
      <c r="FIQ100" s="46"/>
      <c r="FIR100" s="46"/>
      <c r="FIS100" s="46"/>
      <c r="FIT100" s="46"/>
      <c r="FIU100" s="46"/>
      <c r="FIV100" s="46"/>
      <c r="FIW100" s="46"/>
      <c r="FIX100" s="46"/>
      <c r="FIY100" s="46"/>
      <c r="FIZ100" s="46"/>
      <c r="FJA100" s="46"/>
      <c r="FJB100" s="46"/>
      <c r="FJC100" s="46"/>
      <c r="FJD100" s="46"/>
      <c r="FJE100" s="46"/>
      <c r="FJF100" s="46"/>
      <c r="FJG100" s="46"/>
      <c r="FJH100" s="46"/>
      <c r="FJI100" s="46"/>
      <c r="FJJ100" s="46"/>
      <c r="FJK100" s="46"/>
      <c r="FJL100" s="46"/>
      <c r="FJM100" s="46"/>
      <c r="FJN100" s="46"/>
      <c r="FJO100" s="46"/>
      <c r="FJP100" s="46"/>
      <c r="FJQ100" s="46"/>
      <c r="FJR100" s="46"/>
      <c r="FJS100" s="46"/>
      <c r="FJT100" s="46"/>
      <c r="FJU100" s="46"/>
      <c r="FJV100" s="46"/>
      <c r="FJW100" s="46"/>
      <c r="FJX100" s="46"/>
      <c r="FJY100" s="46"/>
      <c r="FJZ100" s="46"/>
      <c r="FKA100" s="46"/>
      <c r="FKB100" s="46"/>
      <c r="FKC100" s="46"/>
      <c r="FKD100" s="46"/>
      <c r="FKE100" s="46"/>
      <c r="FKF100" s="46"/>
      <c r="FKG100" s="46"/>
      <c r="FKH100" s="46"/>
      <c r="FKI100" s="46"/>
      <c r="FKJ100" s="46"/>
      <c r="FKK100" s="46"/>
      <c r="FKL100" s="46"/>
      <c r="FKM100" s="46"/>
      <c r="FKN100" s="46"/>
      <c r="FKO100" s="46"/>
      <c r="FKP100" s="46"/>
      <c r="FKQ100" s="46"/>
      <c r="FKR100" s="46"/>
      <c r="FKS100" s="46"/>
      <c r="FKT100" s="46"/>
      <c r="FKU100" s="46"/>
      <c r="FKV100" s="46"/>
      <c r="FKW100" s="46"/>
      <c r="FKX100" s="46"/>
      <c r="FKY100" s="46"/>
      <c r="FKZ100" s="46"/>
      <c r="FLA100" s="46"/>
      <c r="FLB100" s="46"/>
      <c r="FLC100" s="46"/>
      <c r="FLD100" s="46"/>
      <c r="FLE100" s="46"/>
      <c r="FLF100" s="46"/>
      <c r="FLG100" s="46"/>
      <c r="FLH100" s="46"/>
      <c r="FLI100" s="46"/>
      <c r="FLJ100" s="46"/>
      <c r="FLK100" s="46"/>
      <c r="FLL100" s="46"/>
      <c r="FLM100" s="46"/>
      <c r="FLN100" s="46"/>
      <c r="FLO100" s="46"/>
      <c r="FLP100" s="46"/>
      <c r="FLQ100" s="46"/>
      <c r="FLR100" s="46"/>
      <c r="FLS100" s="46"/>
      <c r="FLT100" s="46"/>
      <c r="FLU100" s="46"/>
      <c r="FLV100" s="46"/>
      <c r="FLW100" s="46"/>
      <c r="FLX100" s="46"/>
      <c r="FLY100" s="46"/>
      <c r="FLZ100" s="46"/>
      <c r="FMA100" s="46"/>
      <c r="FMB100" s="46"/>
      <c r="FMC100" s="46"/>
      <c r="FMD100" s="46"/>
      <c r="FME100" s="46"/>
      <c r="FMF100" s="46"/>
      <c r="FMG100" s="46"/>
      <c r="FMH100" s="46"/>
      <c r="FMI100" s="46"/>
      <c r="FMJ100" s="46"/>
      <c r="FMK100" s="46"/>
      <c r="FML100" s="46"/>
      <c r="FMM100" s="46"/>
      <c r="FMN100" s="46"/>
      <c r="FMO100" s="46"/>
      <c r="FMP100" s="46"/>
      <c r="FMQ100" s="46"/>
      <c r="FMR100" s="46"/>
      <c r="FMS100" s="46"/>
      <c r="FMT100" s="46"/>
      <c r="FMU100" s="46"/>
      <c r="FMV100" s="46"/>
      <c r="FMW100" s="46"/>
      <c r="FMX100" s="46"/>
      <c r="FMY100" s="46"/>
      <c r="FMZ100" s="46"/>
      <c r="FNA100" s="46"/>
      <c r="FNB100" s="46"/>
      <c r="FNC100" s="46"/>
      <c r="FND100" s="46"/>
      <c r="FNE100" s="46"/>
      <c r="FNF100" s="46"/>
      <c r="FNG100" s="46"/>
      <c r="FNH100" s="46"/>
      <c r="FNI100" s="46"/>
      <c r="FNJ100" s="46"/>
      <c r="FNK100" s="46"/>
      <c r="FNL100" s="46"/>
      <c r="FNM100" s="46"/>
      <c r="FNN100" s="46"/>
      <c r="FNO100" s="46"/>
      <c r="FNP100" s="46"/>
      <c r="FNQ100" s="46"/>
      <c r="FNR100" s="46"/>
      <c r="FNS100" s="46"/>
      <c r="FNT100" s="46"/>
      <c r="FNU100" s="46"/>
      <c r="FNV100" s="46"/>
      <c r="FNW100" s="46"/>
      <c r="FNX100" s="46"/>
      <c r="FNY100" s="46"/>
      <c r="FNZ100" s="46"/>
      <c r="FOA100" s="46"/>
      <c r="FOB100" s="46"/>
      <c r="FOC100" s="46"/>
      <c r="FOD100" s="46"/>
      <c r="FOE100" s="46"/>
      <c r="FOF100" s="46"/>
      <c r="FOG100" s="46"/>
      <c r="FOH100" s="46"/>
      <c r="FOI100" s="46"/>
      <c r="FOJ100" s="46"/>
      <c r="FOK100" s="46"/>
      <c r="FOL100" s="46"/>
      <c r="FOM100" s="46"/>
      <c r="FON100" s="46"/>
      <c r="FOO100" s="46"/>
      <c r="FOP100" s="46"/>
      <c r="FOQ100" s="46"/>
      <c r="FOR100" s="46"/>
      <c r="FOS100" s="46"/>
      <c r="FOT100" s="46"/>
      <c r="FOU100" s="46"/>
      <c r="FOV100" s="46"/>
      <c r="FOW100" s="46"/>
      <c r="FOX100" s="46"/>
      <c r="FOY100" s="46"/>
      <c r="FOZ100" s="46"/>
      <c r="FPA100" s="46"/>
      <c r="FPB100" s="46"/>
      <c r="FPC100" s="46"/>
      <c r="FPD100" s="46"/>
      <c r="FPE100" s="46"/>
      <c r="FPF100" s="46"/>
      <c r="FPG100" s="46"/>
      <c r="FPH100" s="46"/>
      <c r="FPI100" s="46"/>
      <c r="FPJ100" s="46"/>
      <c r="FPK100" s="46"/>
      <c r="FPL100" s="46"/>
      <c r="FPM100" s="46"/>
      <c r="FPN100" s="46"/>
      <c r="FPO100" s="46"/>
      <c r="FPP100" s="46"/>
      <c r="FPQ100" s="46"/>
      <c r="FPR100" s="46"/>
      <c r="FPS100" s="46"/>
      <c r="FPT100" s="46"/>
      <c r="FPU100" s="46"/>
      <c r="FPV100" s="46"/>
      <c r="FPW100" s="46"/>
      <c r="FPX100" s="46"/>
      <c r="FPY100" s="46"/>
      <c r="FPZ100" s="46"/>
      <c r="FQA100" s="46"/>
      <c r="FQB100" s="46"/>
      <c r="FQC100" s="46"/>
      <c r="FQD100" s="46"/>
      <c r="FQE100" s="46"/>
      <c r="FQF100" s="46"/>
      <c r="FQG100" s="46"/>
      <c r="FQH100" s="46"/>
      <c r="FQI100" s="46"/>
      <c r="FQJ100" s="46"/>
      <c r="FQK100" s="46"/>
      <c r="FQL100" s="46"/>
      <c r="FQM100" s="46"/>
      <c r="FQN100" s="46"/>
      <c r="FQO100" s="46"/>
      <c r="FQP100" s="46"/>
      <c r="FQQ100" s="46"/>
      <c r="FQR100" s="46"/>
      <c r="FQS100" s="46"/>
      <c r="FQT100" s="46"/>
      <c r="FQU100" s="46"/>
      <c r="FQV100" s="46"/>
      <c r="FQW100" s="46"/>
      <c r="FQX100" s="46"/>
      <c r="FQY100" s="46"/>
      <c r="FQZ100" s="46"/>
      <c r="FRA100" s="46"/>
      <c r="FRB100" s="46"/>
      <c r="FRC100" s="46"/>
      <c r="FRD100" s="46"/>
      <c r="FRE100" s="46"/>
      <c r="FRF100" s="46"/>
      <c r="FRG100" s="46"/>
      <c r="FRH100" s="46"/>
      <c r="FRI100" s="46"/>
      <c r="FRJ100" s="46"/>
      <c r="FRK100" s="46"/>
      <c r="FRL100" s="46"/>
      <c r="FRM100" s="46"/>
      <c r="FRN100" s="46"/>
      <c r="FRO100" s="46"/>
      <c r="FRP100" s="46"/>
      <c r="FRQ100" s="46"/>
      <c r="FRR100" s="46"/>
      <c r="FRS100" s="46"/>
      <c r="FRT100" s="46"/>
      <c r="FRU100" s="46"/>
      <c r="FRV100" s="46"/>
      <c r="FRW100" s="46"/>
      <c r="FRX100" s="46"/>
      <c r="FRY100" s="46"/>
      <c r="FRZ100" s="46"/>
      <c r="FSA100" s="46"/>
      <c r="FSB100" s="46"/>
      <c r="FSC100" s="46"/>
      <c r="FSD100" s="46"/>
      <c r="FSE100" s="46"/>
      <c r="FSF100" s="46"/>
      <c r="FSG100" s="46"/>
      <c r="FSH100" s="46"/>
      <c r="FSI100" s="46"/>
      <c r="FSJ100" s="46"/>
      <c r="FSK100" s="46"/>
      <c r="FSL100" s="46"/>
      <c r="FSM100" s="46"/>
      <c r="FSN100" s="46"/>
      <c r="FSO100" s="46"/>
      <c r="FSP100" s="46"/>
      <c r="FSQ100" s="46"/>
      <c r="FSR100" s="46"/>
      <c r="FSS100" s="46"/>
      <c r="FST100" s="46"/>
      <c r="FSU100" s="46"/>
      <c r="FSV100" s="46"/>
      <c r="FSW100" s="46"/>
      <c r="FSX100" s="46"/>
      <c r="FSY100" s="46"/>
      <c r="FSZ100" s="46"/>
      <c r="FTA100" s="46"/>
      <c r="FTB100" s="46"/>
      <c r="FTC100" s="46"/>
      <c r="FTD100" s="46"/>
      <c r="FTE100" s="46"/>
      <c r="FTF100" s="46"/>
      <c r="FTG100" s="46"/>
      <c r="FTH100" s="46"/>
      <c r="FTI100" s="46"/>
      <c r="FTJ100" s="46"/>
      <c r="FTK100" s="46"/>
      <c r="FTL100" s="46"/>
      <c r="FTM100" s="46"/>
      <c r="FTN100" s="46"/>
      <c r="FTO100" s="46"/>
      <c r="FTP100" s="46"/>
      <c r="FTQ100" s="46"/>
      <c r="FTR100" s="46"/>
      <c r="FTS100" s="46"/>
      <c r="FTT100" s="46"/>
      <c r="FTU100" s="46"/>
      <c r="FTV100" s="46"/>
      <c r="FTW100" s="46"/>
      <c r="FTX100" s="46"/>
      <c r="FTY100" s="46"/>
      <c r="FTZ100" s="46"/>
      <c r="FUA100" s="46"/>
      <c r="FUB100" s="46"/>
      <c r="FUC100" s="46"/>
      <c r="FUD100" s="46"/>
      <c r="FUE100" s="46"/>
      <c r="FUF100" s="46"/>
      <c r="FUG100" s="46"/>
      <c r="FUH100" s="46"/>
      <c r="FUI100" s="46"/>
      <c r="FUJ100" s="46"/>
      <c r="FUK100" s="46"/>
      <c r="FUL100" s="46"/>
      <c r="FUM100" s="46"/>
      <c r="FUN100" s="46"/>
      <c r="FUO100" s="46"/>
      <c r="FUP100" s="46"/>
      <c r="FUQ100" s="46"/>
      <c r="FUR100" s="46"/>
      <c r="FUS100" s="46"/>
      <c r="FUT100" s="46"/>
      <c r="FUU100" s="46"/>
      <c r="FUV100" s="46"/>
      <c r="FUW100" s="46"/>
      <c r="FUX100" s="46"/>
      <c r="FUY100" s="46"/>
      <c r="FUZ100" s="46"/>
      <c r="FVA100" s="46"/>
      <c r="FVB100" s="46"/>
      <c r="FVC100" s="46"/>
      <c r="FVD100" s="46"/>
      <c r="FVE100" s="46"/>
      <c r="FVF100" s="46"/>
      <c r="FVG100" s="46"/>
      <c r="FVH100" s="46"/>
      <c r="FVI100" s="46"/>
      <c r="FVJ100" s="46"/>
      <c r="FVK100" s="46"/>
      <c r="FVL100" s="46"/>
      <c r="FVM100" s="46"/>
      <c r="FVN100" s="46"/>
      <c r="FVO100" s="46"/>
      <c r="FVP100" s="46"/>
      <c r="FVQ100" s="46"/>
      <c r="FVR100" s="46"/>
      <c r="FVS100" s="46"/>
      <c r="FVT100" s="46"/>
      <c r="FVU100" s="46"/>
      <c r="FVV100" s="46"/>
      <c r="FVW100" s="46"/>
      <c r="FVX100" s="46"/>
      <c r="FVY100" s="46"/>
      <c r="FVZ100" s="46"/>
      <c r="FWA100" s="46"/>
      <c r="FWB100" s="46"/>
      <c r="FWC100" s="46"/>
      <c r="FWD100" s="46"/>
      <c r="FWE100" s="46"/>
      <c r="FWF100" s="46"/>
      <c r="FWG100" s="46"/>
      <c r="FWH100" s="46"/>
      <c r="FWI100" s="46"/>
      <c r="FWJ100" s="46"/>
      <c r="FWK100" s="46"/>
      <c r="FWL100" s="46"/>
      <c r="FWM100" s="46"/>
      <c r="FWN100" s="46"/>
      <c r="FWO100" s="46"/>
      <c r="FWP100" s="46"/>
      <c r="FWQ100" s="46"/>
      <c r="FWR100" s="46"/>
      <c r="FWS100" s="46"/>
      <c r="FWT100" s="46"/>
      <c r="FWU100" s="46"/>
      <c r="FWV100" s="46"/>
      <c r="FWW100" s="46"/>
      <c r="FWX100" s="46"/>
      <c r="FWY100" s="46"/>
      <c r="FWZ100" s="46"/>
      <c r="FXA100" s="46"/>
      <c r="FXB100" s="46"/>
      <c r="FXC100" s="46"/>
      <c r="FXD100" s="46"/>
      <c r="FXE100" s="46"/>
      <c r="FXF100" s="46"/>
      <c r="FXG100" s="46"/>
      <c r="FXH100" s="46"/>
      <c r="FXI100" s="46"/>
      <c r="FXJ100" s="46"/>
      <c r="FXK100" s="46"/>
      <c r="FXL100" s="46"/>
      <c r="FXM100" s="46"/>
      <c r="FXN100" s="46"/>
      <c r="FXO100" s="46"/>
      <c r="FXP100" s="46"/>
      <c r="FXQ100" s="46"/>
      <c r="FXR100" s="46"/>
      <c r="FXS100" s="46"/>
      <c r="FXT100" s="46"/>
      <c r="FXU100" s="46"/>
      <c r="FXV100" s="46"/>
      <c r="FXW100" s="46"/>
      <c r="FXX100" s="46"/>
      <c r="FXY100" s="46"/>
      <c r="FXZ100" s="46"/>
      <c r="FYA100" s="46"/>
      <c r="FYB100" s="46"/>
      <c r="FYC100" s="46"/>
      <c r="FYD100" s="46"/>
      <c r="FYE100" s="46"/>
      <c r="FYF100" s="46"/>
      <c r="FYG100" s="46"/>
      <c r="FYH100" s="46"/>
      <c r="FYI100" s="46"/>
      <c r="FYJ100" s="46"/>
      <c r="FYK100" s="46"/>
      <c r="FYL100" s="46"/>
      <c r="FYM100" s="46"/>
      <c r="FYN100" s="46"/>
      <c r="FYO100" s="46"/>
      <c r="FYP100" s="46"/>
      <c r="FYQ100" s="46"/>
      <c r="FYR100" s="46"/>
      <c r="FYS100" s="46"/>
      <c r="FYT100" s="46"/>
      <c r="FYU100" s="46"/>
      <c r="FYV100" s="46"/>
      <c r="FYW100" s="46"/>
      <c r="FYX100" s="46"/>
      <c r="FYY100" s="46"/>
      <c r="FYZ100" s="46"/>
      <c r="FZA100" s="46"/>
      <c r="FZB100" s="46"/>
      <c r="FZC100" s="46"/>
      <c r="FZD100" s="46"/>
      <c r="FZE100" s="46"/>
      <c r="FZF100" s="46"/>
      <c r="FZG100" s="46"/>
      <c r="FZH100" s="46"/>
      <c r="FZI100" s="46"/>
      <c r="FZJ100" s="46"/>
      <c r="FZK100" s="46"/>
      <c r="FZL100" s="46"/>
      <c r="FZM100" s="46"/>
      <c r="FZN100" s="46"/>
      <c r="FZO100" s="46"/>
      <c r="FZP100" s="46"/>
      <c r="FZQ100" s="46"/>
      <c r="FZR100" s="46"/>
      <c r="FZS100" s="46"/>
      <c r="FZT100" s="46"/>
      <c r="FZU100" s="46"/>
      <c r="FZV100" s="46"/>
      <c r="FZW100" s="46"/>
      <c r="FZX100" s="46"/>
      <c r="FZY100" s="46"/>
      <c r="FZZ100" s="46"/>
      <c r="GAA100" s="46"/>
      <c r="GAB100" s="46"/>
      <c r="GAC100" s="46"/>
      <c r="GAD100" s="46"/>
      <c r="GAE100" s="46"/>
      <c r="GAF100" s="46"/>
      <c r="GAG100" s="46"/>
      <c r="GAH100" s="46"/>
      <c r="GAI100" s="46"/>
      <c r="GAJ100" s="46"/>
      <c r="GAK100" s="46"/>
      <c r="GAL100" s="46"/>
      <c r="GAM100" s="46"/>
      <c r="GAN100" s="46"/>
      <c r="GAO100" s="46"/>
      <c r="GAP100" s="46"/>
      <c r="GAQ100" s="46"/>
      <c r="GAR100" s="46"/>
      <c r="GAS100" s="46"/>
      <c r="GAT100" s="46"/>
      <c r="GAU100" s="46"/>
      <c r="GAV100" s="46"/>
      <c r="GAW100" s="46"/>
      <c r="GAX100" s="46"/>
      <c r="GAY100" s="46"/>
      <c r="GAZ100" s="46"/>
      <c r="GBA100" s="46"/>
      <c r="GBB100" s="46"/>
      <c r="GBC100" s="46"/>
      <c r="GBD100" s="46"/>
      <c r="GBE100" s="46"/>
      <c r="GBF100" s="46"/>
      <c r="GBG100" s="46"/>
      <c r="GBH100" s="46"/>
      <c r="GBI100" s="46"/>
      <c r="GBJ100" s="46"/>
      <c r="GBK100" s="46"/>
      <c r="GBL100" s="46"/>
      <c r="GBM100" s="46"/>
      <c r="GBN100" s="46"/>
      <c r="GBO100" s="46"/>
      <c r="GBP100" s="46"/>
      <c r="GBQ100" s="46"/>
      <c r="GBR100" s="46"/>
      <c r="GBS100" s="46"/>
      <c r="GBT100" s="46"/>
      <c r="GBU100" s="46"/>
      <c r="GBV100" s="46"/>
      <c r="GBW100" s="46"/>
      <c r="GBX100" s="46"/>
      <c r="GBY100" s="46"/>
      <c r="GBZ100" s="46"/>
      <c r="GCA100" s="46"/>
      <c r="GCB100" s="46"/>
      <c r="GCC100" s="46"/>
      <c r="GCD100" s="46"/>
      <c r="GCE100" s="46"/>
      <c r="GCF100" s="46"/>
      <c r="GCG100" s="46"/>
      <c r="GCH100" s="46"/>
      <c r="GCI100" s="46"/>
      <c r="GCJ100" s="46"/>
      <c r="GCK100" s="46"/>
      <c r="GCL100" s="46"/>
      <c r="GCM100" s="46"/>
      <c r="GCN100" s="46"/>
      <c r="GCO100" s="46"/>
      <c r="GCP100" s="46"/>
      <c r="GCQ100" s="46"/>
      <c r="GCR100" s="46"/>
      <c r="GCS100" s="46"/>
      <c r="GCT100" s="46"/>
      <c r="GCU100" s="46"/>
      <c r="GCV100" s="46"/>
      <c r="GCW100" s="46"/>
      <c r="GCX100" s="46"/>
      <c r="GCY100" s="46"/>
      <c r="GCZ100" s="46"/>
      <c r="GDA100" s="46"/>
      <c r="GDB100" s="46"/>
      <c r="GDC100" s="46"/>
      <c r="GDD100" s="46"/>
      <c r="GDE100" s="46"/>
      <c r="GDF100" s="46"/>
      <c r="GDG100" s="46"/>
      <c r="GDH100" s="46"/>
      <c r="GDI100" s="46"/>
      <c r="GDJ100" s="46"/>
      <c r="GDK100" s="46"/>
      <c r="GDL100" s="46"/>
      <c r="GDM100" s="46"/>
      <c r="GDN100" s="46"/>
      <c r="GDO100" s="46"/>
      <c r="GDP100" s="46"/>
      <c r="GDQ100" s="46"/>
      <c r="GDR100" s="46"/>
      <c r="GDS100" s="46"/>
      <c r="GDT100" s="46"/>
      <c r="GDU100" s="46"/>
      <c r="GDV100" s="46"/>
      <c r="GDW100" s="46"/>
      <c r="GDX100" s="46"/>
      <c r="GDY100" s="46"/>
      <c r="GDZ100" s="46"/>
      <c r="GEA100" s="46"/>
      <c r="GEB100" s="46"/>
      <c r="GEC100" s="46"/>
      <c r="GED100" s="46"/>
      <c r="GEE100" s="46"/>
      <c r="GEF100" s="46"/>
      <c r="GEG100" s="46"/>
      <c r="GEH100" s="46"/>
      <c r="GEI100" s="46"/>
      <c r="GEJ100" s="46"/>
      <c r="GEK100" s="46"/>
      <c r="GEL100" s="46"/>
      <c r="GEM100" s="46"/>
      <c r="GEN100" s="46"/>
      <c r="GEO100" s="46"/>
      <c r="GEP100" s="46"/>
      <c r="GEQ100" s="46"/>
      <c r="GER100" s="46"/>
      <c r="GES100" s="46"/>
      <c r="GET100" s="46"/>
      <c r="GEU100" s="46"/>
      <c r="GEV100" s="46"/>
      <c r="GEW100" s="46"/>
      <c r="GEX100" s="46"/>
      <c r="GEY100" s="46"/>
      <c r="GEZ100" s="46"/>
      <c r="GFA100" s="46"/>
      <c r="GFB100" s="46"/>
      <c r="GFC100" s="46"/>
      <c r="GFD100" s="46"/>
      <c r="GFE100" s="46"/>
      <c r="GFF100" s="46"/>
      <c r="GFG100" s="46"/>
      <c r="GFH100" s="46"/>
      <c r="GFI100" s="46"/>
      <c r="GFJ100" s="46"/>
      <c r="GFK100" s="46"/>
      <c r="GFL100" s="46"/>
      <c r="GFM100" s="46"/>
      <c r="GFN100" s="46"/>
      <c r="GFO100" s="46"/>
      <c r="GFP100" s="46"/>
      <c r="GFQ100" s="46"/>
      <c r="GFR100" s="46"/>
      <c r="GFS100" s="46"/>
      <c r="GFT100" s="46"/>
      <c r="GFU100" s="46"/>
      <c r="GFV100" s="46"/>
      <c r="GFW100" s="46"/>
      <c r="GFX100" s="46"/>
      <c r="GFY100" s="46"/>
      <c r="GFZ100" s="46"/>
      <c r="GGA100" s="46"/>
      <c r="GGB100" s="46"/>
      <c r="GGC100" s="46"/>
      <c r="GGD100" s="46"/>
      <c r="GGE100" s="46"/>
      <c r="GGF100" s="46"/>
      <c r="GGG100" s="46"/>
      <c r="GGH100" s="46"/>
      <c r="GGI100" s="46"/>
      <c r="GGJ100" s="46"/>
      <c r="GGK100" s="46"/>
      <c r="GGL100" s="46"/>
      <c r="GGM100" s="46"/>
      <c r="GGN100" s="46"/>
      <c r="GGO100" s="46"/>
      <c r="GGP100" s="46"/>
      <c r="GGQ100" s="46"/>
      <c r="GGR100" s="46"/>
      <c r="GGS100" s="46"/>
      <c r="GGT100" s="46"/>
      <c r="GGU100" s="46"/>
      <c r="GGV100" s="46"/>
      <c r="GGW100" s="46"/>
      <c r="GGX100" s="46"/>
      <c r="GGY100" s="46"/>
      <c r="GGZ100" s="46"/>
      <c r="GHA100" s="46"/>
      <c r="GHB100" s="46"/>
      <c r="GHC100" s="46"/>
      <c r="GHD100" s="46"/>
      <c r="GHE100" s="46"/>
      <c r="GHF100" s="46"/>
      <c r="GHG100" s="46"/>
      <c r="GHH100" s="46"/>
      <c r="GHI100" s="46"/>
      <c r="GHJ100" s="46"/>
      <c r="GHK100" s="46"/>
      <c r="GHL100" s="46"/>
      <c r="GHM100" s="46"/>
      <c r="GHN100" s="46"/>
      <c r="GHO100" s="46"/>
      <c r="GHP100" s="46"/>
      <c r="GHQ100" s="46"/>
      <c r="GHR100" s="46"/>
      <c r="GHS100" s="46"/>
      <c r="GHT100" s="46"/>
      <c r="GHU100" s="46"/>
      <c r="GHV100" s="46"/>
      <c r="GHW100" s="46"/>
      <c r="GHX100" s="46"/>
      <c r="GHY100" s="46"/>
      <c r="GHZ100" s="46"/>
      <c r="GIA100" s="46"/>
      <c r="GIB100" s="46"/>
      <c r="GIC100" s="46"/>
      <c r="GID100" s="46"/>
      <c r="GIE100" s="46"/>
      <c r="GIF100" s="46"/>
      <c r="GIG100" s="46"/>
      <c r="GIH100" s="46"/>
      <c r="GII100" s="46"/>
      <c r="GIJ100" s="46"/>
      <c r="GIK100" s="46"/>
      <c r="GIL100" s="46"/>
      <c r="GIM100" s="46"/>
      <c r="GIN100" s="46"/>
      <c r="GIO100" s="46"/>
      <c r="GIP100" s="46"/>
      <c r="GIQ100" s="46"/>
      <c r="GIR100" s="46"/>
      <c r="GIS100" s="46"/>
      <c r="GIT100" s="46"/>
      <c r="GIU100" s="46"/>
      <c r="GIV100" s="46"/>
      <c r="GIW100" s="46"/>
      <c r="GIX100" s="46"/>
      <c r="GIY100" s="46"/>
      <c r="GIZ100" s="46"/>
      <c r="GJA100" s="46"/>
      <c r="GJB100" s="46"/>
      <c r="GJC100" s="46"/>
      <c r="GJD100" s="46"/>
      <c r="GJE100" s="46"/>
      <c r="GJF100" s="46"/>
      <c r="GJG100" s="46"/>
      <c r="GJH100" s="46"/>
      <c r="GJI100" s="46"/>
      <c r="GJJ100" s="46"/>
      <c r="GJK100" s="46"/>
      <c r="GJL100" s="46"/>
      <c r="GJM100" s="46"/>
      <c r="GJN100" s="46"/>
      <c r="GJO100" s="46"/>
      <c r="GJP100" s="46"/>
      <c r="GJQ100" s="46"/>
      <c r="GJR100" s="46"/>
      <c r="GJS100" s="46"/>
      <c r="GJT100" s="46"/>
      <c r="GJU100" s="46"/>
      <c r="GJV100" s="46"/>
      <c r="GJW100" s="46"/>
      <c r="GJX100" s="46"/>
      <c r="GJY100" s="46"/>
      <c r="GJZ100" s="46"/>
      <c r="GKA100" s="46"/>
      <c r="GKB100" s="46"/>
      <c r="GKC100" s="46"/>
      <c r="GKD100" s="46"/>
      <c r="GKE100" s="46"/>
      <c r="GKF100" s="46"/>
      <c r="GKG100" s="46"/>
      <c r="GKH100" s="46"/>
      <c r="GKI100" s="46"/>
      <c r="GKJ100" s="46"/>
      <c r="GKK100" s="46"/>
      <c r="GKL100" s="46"/>
      <c r="GKM100" s="46"/>
      <c r="GKN100" s="46"/>
      <c r="GKO100" s="46"/>
      <c r="GKP100" s="46"/>
      <c r="GKQ100" s="46"/>
      <c r="GKR100" s="46"/>
      <c r="GKS100" s="46"/>
      <c r="GKT100" s="46"/>
      <c r="GKU100" s="46"/>
      <c r="GKV100" s="46"/>
      <c r="GKW100" s="46"/>
      <c r="GKX100" s="46"/>
      <c r="GKY100" s="46"/>
      <c r="GKZ100" s="46"/>
      <c r="GLA100" s="46"/>
      <c r="GLB100" s="46"/>
      <c r="GLC100" s="46"/>
      <c r="GLD100" s="46"/>
      <c r="GLE100" s="46"/>
      <c r="GLF100" s="46"/>
      <c r="GLG100" s="46"/>
      <c r="GLH100" s="46"/>
      <c r="GLI100" s="46"/>
      <c r="GLJ100" s="46"/>
      <c r="GLK100" s="46"/>
      <c r="GLL100" s="46"/>
      <c r="GLM100" s="46"/>
      <c r="GLN100" s="46"/>
      <c r="GLO100" s="46"/>
      <c r="GLP100" s="46"/>
      <c r="GLQ100" s="46"/>
      <c r="GLR100" s="46"/>
      <c r="GLS100" s="46"/>
      <c r="GLT100" s="46"/>
      <c r="GLU100" s="46"/>
      <c r="GLV100" s="46"/>
      <c r="GLW100" s="46"/>
      <c r="GLX100" s="46"/>
      <c r="GLY100" s="46"/>
      <c r="GLZ100" s="46"/>
      <c r="GMA100" s="46"/>
      <c r="GMB100" s="46"/>
      <c r="GMC100" s="46"/>
      <c r="GMD100" s="46"/>
      <c r="GME100" s="46"/>
      <c r="GMF100" s="46"/>
      <c r="GMG100" s="46"/>
      <c r="GMH100" s="46"/>
      <c r="GMI100" s="46"/>
      <c r="GMJ100" s="46"/>
      <c r="GMK100" s="46"/>
      <c r="GML100" s="46"/>
      <c r="GMM100" s="46"/>
      <c r="GMN100" s="46"/>
      <c r="GMO100" s="46"/>
      <c r="GMP100" s="46"/>
      <c r="GMQ100" s="46"/>
      <c r="GMR100" s="46"/>
      <c r="GMS100" s="46"/>
      <c r="GMT100" s="46"/>
      <c r="GMU100" s="46"/>
      <c r="GMV100" s="46"/>
      <c r="GMW100" s="46"/>
      <c r="GMX100" s="46"/>
      <c r="GMY100" s="46"/>
      <c r="GMZ100" s="46"/>
      <c r="GNA100" s="46"/>
      <c r="GNB100" s="46"/>
      <c r="GNC100" s="46"/>
      <c r="GND100" s="46"/>
      <c r="GNE100" s="46"/>
      <c r="GNF100" s="46"/>
      <c r="GNG100" s="46"/>
      <c r="GNH100" s="46"/>
      <c r="GNI100" s="46"/>
      <c r="GNJ100" s="46"/>
      <c r="GNK100" s="46"/>
      <c r="GNL100" s="46"/>
      <c r="GNM100" s="46"/>
      <c r="GNN100" s="46"/>
      <c r="GNO100" s="46"/>
      <c r="GNP100" s="46"/>
      <c r="GNQ100" s="46"/>
      <c r="GNR100" s="46"/>
      <c r="GNS100" s="46"/>
      <c r="GNT100" s="46"/>
      <c r="GNU100" s="46"/>
      <c r="GNV100" s="46"/>
      <c r="GNW100" s="46"/>
      <c r="GNX100" s="46"/>
      <c r="GNY100" s="46"/>
      <c r="GNZ100" s="46"/>
      <c r="GOA100" s="46"/>
      <c r="GOB100" s="46"/>
      <c r="GOC100" s="46"/>
      <c r="GOD100" s="46"/>
      <c r="GOE100" s="46"/>
      <c r="GOF100" s="46"/>
      <c r="GOG100" s="46"/>
      <c r="GOH100" s="46"/>
      <c r="GOI100" s="46"/>
      <c r="GOJ100" s="46"/>
      <c r="GOK100" s="46"/>
      <c r="GOL100" s="46"/>
      <c r="GOM100" s="46"/>
      <c r="GON100" s="46"/>
      <c r="GOO100" s="46"/>
      <c r="GOP100" s="46"/>
      <c r="GOQ100" s="46"/>
      <c r="GOR100" s="46"/>
      <c r="GOS100" s="46"/>
      <c r="GOT100" s="46"/>
      <c r="GOU100" s="46"/>
      <c r="GOV100" s="46"/>
      <c r="GOW100" s="46"/>
      <c r="GOX100" s="46"/>
      <c r="GOY100" s="46"/>
      <c r="GOZ100" s="46"/>
      <c r="GPA100" s="46"/>
      <c r="GPB100" s="46"/>
      <c r="GPC100" s="46"/>
      <c r="GPD100" s="46"/>
      <c r="GPE100" s="46"/>
      <c r="GPF100" s="46"/>
      <c r="GPG100" s="46"/>
      <c r="GPH100" s="46"/>
      <c r="GPI100" s="46"/>
      <c r="GPJ100" s="46"/>
      <c r="GPK100" s="46"/>
      <c r="GPL100" s="46"/>
      <c r="GPM100" s="46"/>
      <c r="GPN100" s="46"/>
      <c r="GPO100" s="46"/>
      <c r="GPP100" s="46"/>
      <c r="GPQ100" s="46"/>
      <c r="GPR100" s="46"/>
      <c r="GPS100" s="46"/>
      <c r="GPT100" s="46"/>
      <c r="GPU100" s="46"/>
      <c r="GPV100" s="46"/>
      <c r="GPW100" s="46"/>
      <c r="GPX100" s="46"/>
      <c r="GPY100" s="46"/>
      <c r="GPZ100" s="46"/>
      <c r="GQA100" s="46"/>
      <c r="GQB100" s="46"/>
      <c r="GQC100" s="46"/>
      <c r="GQD100" s="46"/>
      <c r="GQE100" s="46"/>
      <c r="GQF100" s="46"/>
      <c r="GQG100" s="46"/>
      <c r="GQH100" s="46"/>
      <c r="GQI100" s="46"/>
      <c r="GQJ100" s="46"/>
      <c r="GQK100" s="46"/>
      <c r="GQL100" s="46"/>
      <c r="GQM100" s="46"/>
      <c r="GQN100" s="46"/>
      <c r="GQO100" s="46"/>
      <c r="GQP100" s="46"/>
      <c r="GQQ100" s="46"/>
      <c r="GQR100" s="46"/>
      <c r="GQS100" s="46"/>
      <c r="GQT100" s="46"/>
      <c r="GQU100" s="46"/>
      <c r="GQV100" s="46"/>
      <c r="GQW100" s="46"/>
      <c r="GQX100" s="46"/>
      <c r="GQY100" s="46"/>
      <c r="GQZ100" s="46"/>
      <c r="GRA100" s="46"/>
      <c r="GRB100" s="46"/>
      <c r="GRC100" s="46"/>
      <c r="GRD100" s="46"/>
      <c r="GRE100" s="46"/>
      <c r="GRF100" s="46"/>
      <c r="GRG100" s="46"/>
      <c r="GRH100" s="46"/>
      <c r="GRI100" s="46"/>
      <c r="GRJ100" s="46"/>
      <c r="GRK100" s="46"/>
      <c r="GRL100" s="46"/>
      <c r="GRM100" s="46"/>
      <c r="GRN100" s="46"/>
      <c r="GRO100" s="46"/>
      <c r="GRP100" s="46"/>
      <c r="GRQ100" s="46"/>
      <c r="GRR100" s="46"/>
      <c r="GRS100" s="46"/>
      <c r="GRT100" s="46"/>
      <c r="GRU100" s="46"/>
      <c r="GRV100" s="46"/>
      <c r="GRW100" s="46"/>
      <c r="GRX100" s="46"/>
      <c r="GRY100" s="46"/>
      <c r="GRZ100" s="46"/>
      <c r="GSA100" s="46"/>
      <c r="GSB100" s="46"/>
      <c r="GSC100" s="46"/>
      <c r="GSD100" s="46"/>
      <c r="GSE100" s="46"/>
      <c r="GSF100" s="46"/>
      <c r="GSG100" s="46"/>
      <c r="GSH100" s="46"/>
      <c r="GSI100" s="46"/>
      <c r="GSJ100" s="46"/>
      <c r="GSK100" s="46"/>
      <c r="GSL100" s="46"/>
      <c r="GSM100" s="46"/>
      <c r="GSN100" s="46"/>
      <c r="GSO100" s="46"/>
      <c r="GSP100" s="46"/>
      <c r="GSQ100" s="46"/>
      <c r="GSR100" s="46"/>
      <c r="GSS100" s="46"/>
      <c r="GST100" s="46"/>
      <c r="GSU100" s="46"/>
      <c r="GSV100" s="46"/>
      <c r="GSW100" s="46"/>
      <c r="GSX100" s="46"/>
      <c r="GSY100" s="46"/>
      <c r="GSZ100" s="46"/>
      <c r="GTA100" s="46"/>
      <c r="GTB100" s="46"/>
      <c r="GTC100" s="46"/>
      <c r="GTD100" s="46"/>
      <c r="GTE100" s="46"/>
      <c r="GTF100" s="46"/>
      <c r="GTG100" s="46"/>
      <c r="GTH100" s="46"/>
      <c r="GTI100" s="46"/>
      <c r="GTJ100" s="46"/>
      <c r="GTK100" s="46"/>
      <c r="GTL100" s="46"/>
      <c r="GTM100" s="46"/>
      <c r="GTN100" s="46"/>
      <c r="GTO100" s="46"/>
      <c r="GTP100" s="46"/>
      <c r="GTQ100" s="46"/>
      <c r="GTR100" s="46"/>
      <c r="GTS100" s="46"/>
      <c r="GTT100" s="46"/>
      <c r="GTU100" s="46"/>
      <c r="GTV100" s="46"/>
      <c r="GTW100" s="46"/>
      <c r="GTX100" s="46"/>
      <c r="GTY100" s="46"/>
      <c r="GTZ100" s="46"/>
      <c r="GUA100" s="46"/>
      <c r="GUB100" s="46"/>
      <c r="GUC100" s="46"/>
      <c r="GUD100" s="46"/>
      <c r="GUE100" s="46"/>
      <c r="GUF100" s="46"/>
      <c r="GUG100" s="46"/>
      <c r="GUH100" s="46"/>
      <c r="GUI100" s="46"/>
      <c r="GUJ100" s="46"/>
      <c r="GUK100" s="46"/>
      <c r="GUL100" s="46"/>
      <c r="GUM100" s="46"/>
      <c r="GUN100" s="46"/>
      <c r="GUO100" s="46"/>
      <c r="GUP100" s="46"/>
      <c r="GUQ100" s="46"/>
      <c r="GUR100" s="46"/>
      <c r="GUS100" s="46"/>
      <c r="GUT100" s="46"/>
      <c r="GUU100" s="46"/>
      <c r="GUV100" s="46"/>
      <c r="GUW100" s="46"/>
      <c r="GUX100" s="46"/>
      <c r="GUY100" s="46"/>
      <c r="GUZ100" s="46"/>
      <c r="GVA100" s="46"/>
      <c r="GVB100" s="46"/>
      <c r="GVC100" s="46"/>
      <c r="GVD100" s="46"/>
      <c r="GVE100" s="46"/>
      <c r="GVF100" s="46"/>
      <c r="GVG100" s="46"/>
      <c r="GVH100" s="46"/>
      <c r="GVI100" s="46"/>
      <c r="GVJ100" s="46"/>
      <c r="GVK100" s="46"/>
      <c r="GVL100" s="46"/>
      <c r="GVM100" s="46"/>
      <c r="GVN100" s="46"/>
      <c r="GVO100" s="46"/>
      <c r="GVP100" s="46"/>
      <c r="GVQ100" s="46"/>
      <c r="GVR100" s="46"/>
      <c r="GVS100" s="46"/>
      <c r="GVT100" s="46"/>
      <c r="GVU100" s="46"/>
      <c r="GVV100" s="46"/>
      <c r="GVW100" s="46"/>
      <c r="GVX100" s="46"/>
      <c r="GVY100" s="46"/>
      <c r="GVZ100" s="46"/>
      <c r="GWA100" s="46"/>
      <c r="GWB100" s="46"/>
      <c r="GWC100" s="46"/>
      <c r="GWD100" s="46"/>
      <c r="GWE100" s="46"/>
      <c r="GWF100" s="46"/>
      <c r="GWG100" s="46"/>
      <c r="GWH100" s="46"/>
      <c r="GWI100" s="46"/>
      <c r="GWJ100" s="46"/>
      <c r="GWK100" s="46"/>
      <c r="GWL100" s="46"/>
      <c r="GWM100" s="46"/>
      <c r="GWN100" s="46"/>
      <c r="GWO100" s="46"/>
      <c r="GWP100" s="46"/>
      <c r="GWQ100" s="46"/>
      <c r="GWR100" s="46"/>
      <c r="GWS100" s="46"/>
      <c r="GWT100" s="46"/>
      <c r="GWU100" s="46"/>
      <c r="GWV100" s="46"/>
      <c r="GWW100" s="46"/>
      <c r="GWX100" s="46"/>
      <c r="GWY100" s="46"/>
      <c r="GWZ100" s="46"/>
      <c r="GXA100" s="46"/>
      <c r="GXB100" s="46"/>
      <c r="GXC100" s="46"/>
      <c r="GXD100" s="46"/>
      <c r="GXE100" s="46"/>
      <c r="GXF100" s="46"/>
      <c r="GXG100" s="46"/>
      <c r="GXH100" s="46"/>
      <c r="GXI100" s="46"/>
      <c r="GXJ100" s="46"/>
      <c r="GXK100" s="46"/>
      <c r="GXL100" s="46"/>
      <c r="GXM100" s="46"/>
      <c r="GXN100" s="46"/>
      <c r="GXO100" s="46"/>
      <c r="GXP100" s="46"/>
      <c r="GXQ100" s="46"/>
      <c r="GXR100" s="46"/>
      <c r="GXS100" s="46"/>
      <c r="GXT100" s="46"/>
      <c r="GXU100" s="46"/>
      <c r="GXV100" s="46"/>
      <c r="GXW100" s="46"/>
      <c r="GXX100" s="46"/>
      <c r="GXY100" s="46"/>
      <c r="GXZ100" s="46"/>
      <c r="GYA100" s="46"/>
      <c r="GYB100" s="46"/>
      <c r="GYC100" s="46"/>
      <c r="GYD100" s="46"/>
      <c r="GYE100" s="46"/>
      <c r="GYF100" s="46"/>
      <c r="GYG100" s="46"/>
      <c r="GYH100" s="46"/>
      <c r="GYI100" s="46"/>
      <c r="GYJ100" s="46"/>
      <c r="GYK100" s="46"/>
      <c r="GYL100" s="46"/>
      <c r="GYM100" s="46"/>
      <c r="GYN100" s="46"/>
      <c r="GYO100" s="46"/>
      <c r="GYP100" s="46"/>
      <c r="GYQ100" s="46"/>
      <c r="GYR100" s="46"/>
      <c r="GYS100" s="46"/>
      <c r="GYT100" s="46"/>
      <c r="GYU100" s="46"/>
      <c r="GYV100" s="46"/>
      <c r="GYW100" s="46"/>
      <c r="GYX100" s="46"/>
      <c r="GYY100" s="46"/>
      <c r="GYZ100" s="46"/>
      <c r="GZA100" s="46"/>
      <c r="GZB100" s="46"/>
      <c r="GZC100" s="46"/>
      <c r="GZD100" s="46"/>
      <c r="GZE100" s="46"/>
      <c r="GZF100" s="46"/>
      <c r="GZG100" s="46"/>
      <c r="GZH100" s="46"/>
      <c r="GZI100" s="46"/>
      <c r="GZJ100" s="46"/>
      <c r="GZK100" s="46"/>
      <c r="GZL100" s="46"/>
      <c r="GZM100" s="46"/>
      <c r="GZN100" s="46"/>
      <c r="GZO100" s="46"/>
      <c r="GZP100" s="46"/>
      <c r="GZQ100" s="46"/>
      <c r="GZR100" s="46"/>
      <c r="GZS100" s="46"/>
      <c r="GZT100" s="46"/>
      <c r="GZU100" s="46"/>
      <c r="GZV100" s="46"/>
      <c r="GZW100" s="46"/>
      <c r="GZX100" s="46"/>
      <c r="GZY100" s="46"/>
      <c r="GZZ100" s="46"/>
      <c r="HAA100" s="46"/>
      <c r="HAB100" s="46"/>
      <c r="HAC100" s="46"/>
      <c r="HAD100" s="46"/>
      <c r="HAE100" s="46"/>
      <c r="HAF100" s="46"/>
      <c r="HAG100" s="46"/>
      <c r="HAH100" s="46"/>
      <c r="HAI100" s="46"/>
      <c r="HAJ100" s="46"/>
      <c r="HAK100" s="46"/>
      <c r="HAL100" s="46"/>
      <c r="HAM100" s="46"/>
      <c r="HAN100" s="46"/>
      <c r="HAO100" s="46"/>
      <c r="HAP100" s="46"/>
      <c r="HAQ100" s="46"/>
      <c r="HAR100" s="46"/>
      <c r="HAS100" s="46"/>
      <c r="HAT100" s="46"/>
      <c r="HAU100" s="46"/>
      <c r="HAV100" s="46"/>
      <c r="HAW100" s="46"/>
      <c r="HAX100" s="46"/>
      <c r="HAY100" s="46"/>
      <c r="HAZ100" s="46"/>
      <c r="HBA100" s="46"/>
      <c r="HBB100" s="46"/>
      <c r="HBC100" s="46"/>
      <c r="HBD100" s="46"/>
      <c r="HBE100" s="46"/>
      <c r="HBF100" s="46"/>
      <c r="HBG100" s="46"/>
      <c r="HBH100" s="46"/>
      <c r="HBI100" s="46"/>
      <c r="HBJ100" s="46"/>
      <c r="HBK100" s="46"/>
      <c r="HBL100" s="46"/>
      <c r="HBM100" s="46"/>
      <c r="HBN100" s="46"/>
      <c r="HBO100" s="46"/>
      <c r="HBP100" s="46"/>
      <c r="HBQ100" s="46"/>
      <c r="HBR100" s="46"/>
      <c r="HBS100" s="46"/>
      <c r="HBT100" s="46"/>
      <c r="HBU100" s="46"/>
      <c r="HBV100" s="46"/>
      <c r="HBW100" s="46"/>
      <c r="HBX100" s="46"/>
      <c r="HBY100" s="46"/>
      <c r="HBZ100" s="46"/>
      <c r="HCA100" s="46"/>
      <c r="HCB100" s="46"/>
      <c r="HCC100" s="46"/>
      <c r="HCD100" s="46"/>
      <c r="HCE100" s="46"/>
      <c r="HCF100" s="46"/>
      <c r="HCG100" s="46"/>
      <c r="HCH100" s="46"/>
      <c r="HCI100" s="46"/>
      <c r="HCJ100" s="46"/>
      <c r="HCK100" s="46"/>
      <c r="HCL100" s="46"/>
      <c r="HCM100" s="46"/>
      <c r="HCN100" s="46"/>
      <c r="HCO100" s="46"/>
      <c r="HCP100" s="46"/>
      <c r="HCQ100" s="46"/>
      <c r="HCR100" s="46"/>
      <c r="HCS100" s="46"/>
      <c r="HCT100" s="46"/>
      <c r="HCU100" s="46"/>
      <c r="HCV100" s="46"/>
      <c r="HCW100" s="46"/>
      <c r="HCX100" s="46"/>
      <c r="HCY100" s="46"/>
      <c r="HCZ100" s="46"/>
      <c r="HDA100" s="46"/>
      <c r="HDB100" s="46"/>
      <c r="HDC100" s="46"/>
      <c r="HDD100" s="46"/>
      <c r="HDE100" s="46"/>
      <c r="HDF100" s="46"/>
      <c r="HDG100" s="46"/>
      <c r="HDH100" s="46"/>
      <c r="HDI100" s="46"/>
      <c r="HDJ100" s="46"/>
      <c r="HDK100" s="46"/>
      <c r="HDL100" s="46"/>
      <c r="HDM100" s="46"/>
      <c r="HDN100" s="46"/>
      <c r="HDO100" s="46"/>
      <c r="HDP100" s="46"/>
      <c r="HDQ100" s="46"/>
      <c r="HDR100" s="46"/>
      <c r="HDS100" s="46"/>
      <c r="HDT100" s="46"/>
      <c r="HDU100" s="46"/>
      <c r="HDV100" s="46"/>
      <c r="HDW100" s="46"/>
      <c r="HDX100" s="46"/>
      <c r="HDY100" s="46"/>
      <c r="HDZ100" s="46"/>
      <c r="HEA100" s="46"/>
      <c r="HEB100" s="46"/>
      <c r="HEC100" s="46"/>
      <c r="HED100" s="46"/>
      <c r="HEE100" s="46"/>
      <c r="HEF100" s="46"/>
      <c r="HEG100" s="46"/>
      <c r="HEH100" s="46"/>
      <c r="HEI100" s="46"/>
      <c r="HEJ100" s="46"/>
      <c r="HEK100" s="46"/>
      <c r="HEL100" s="46"/>
      <c r="HEM100" s="46"/>
      <c r="HEN100" s="46"/>
      <c r="HEO100" s="46"/>
      <c r="HEP100" s="46"/>
      <c r="HEQ100" s="46"/>
      <c r="HER100" s="46"/>
      <c r="HES100" s="46"/>
      <c r="HET100" s="46"/>
      <c r="HEU100" s="46"/>
      <c r="HEV100" s="46"/>
      <c r="HEW100" s="46"/>
      <c r="HEX100" s="46"/>
      <c r="HEY100" s="46"/>
      <c r="HEZ100" s="46"/>
      <c r="HFA100" s="46"/>
      <c r="HFB100" s="46"/>
      <c r="HFC100" s="46"/>
      <c r="HFD100" s="46"/>
      <c r="HFE100" s="46"/>
      <c r="HFF100" s="46"/>
      <c r="HFG100" s="46"/>
      <c r="HFH100" s="46"/>
      <c r="HFI100" s="46"/>
      <c r="HFJ100" s="46"/>
      <c r="HFK100" s="46"/>
      <c r="HFL100" s="46"/>
      <c r="HFM100" s="46"/>
      <c r="HFN100" s="46"/>
      <c r="HFO100" s="46"/>
      <c r="HFP100" s="46"/>
      <c r="HFQ100" s="46"/>
      <c r="HFR100" s="46"/>
      <c r="HFS100" s="46"/>
      <c r="HFT100" s="46"/>
      <c r="HFU100" s="46"/>
      <c r="HFV100" s="46"/>
      <c r="HFW100" s="46"/>
      <c r="HFX100" s="46"/>
      <c r="HFY100" s="46"/>
      <c r="HFZ100" s="46"/>
      <c r="HGA100" s="46"/>
      <c r="HGB100" s="46"/>
      <c r="HGC100" s="46"/>
      <c r="HGD100" s="46"/>
      <c r="HGE100" s="46"/>
      <c r="HGF100" s="46"/>
      <c r="HGG100" s="46"/>
      <c r="HGH100" s="46"/>
      <c r="HGI100" s="46"/>
      <c r="HGJ100" s="46"/>
      <c r="HGK100" s="46"/>
      <c r="HGL100" s="46"/>
      <c r="HGM100" s="46"/>
      <c r="HGN100" s="46"/>
      <c r="HGO100" s="46"/>
      <c r="HGP100" s="46"/>
      <c r="HGQ100" s="46"/>
      <c r="HGR100" s="46"/>
      <c r="HGS100" s="46"/>
      <c r="HGT100" s="46"/>
      <c r="HGU100" s="46"/>
      <c r="HGV100" s="46"/>
      <c r="HGW100" s="46"/>
      <c r="HGX100" s="46"/>
      <c r="HGY100" s="46"/>
      <c r="HGZ100" s="46"/>
      <c r="HHA100" s="46"/>
      <c r="HHB100" s="46"/>
      <c r="HHC100" s="46"/>
      <c r="HHD100" s="46"/>
      <c r="HHE100" s="46"/>
      <c r="HHF100" s="46"/>
      <c r="HHG100" s="46"/>
      <c r="HHH100" s="46"/>
      <c r="HHI100" s="46"/>
      <c r="HHJ100" s="46"/>
      <c r="HHK100" s="46"/>
      <c r="HHL100" s="46"/>
      <c r="HHM100" s="46"/>
      <c r="HHN100" s="46"/>
      <c r="HHO100" s="46"/>
      <c r="HHP100" s="46"/>
      <c r="HHQ100" s="46"/>
      <c r="HHR100" s="46"/>
      <c r="HHS100" s="46"/>
      <c r="HHT100" s="46"/>
      <c r="HHU100" s="46"/>
      <c r="HHV100" s="46"/>
      <c r="HHW100" s="46"/>
      <c r="HHX100" s="46"/>
      <c r="HHY100" s="46"/>
      <c r="HHZ100" s="46"/>
      <c r="HIA100" s="46"/>
      <c r="HIB100" s="46"/>
      <c r="HIC100" s="46"/>
      <c r="HID100" s="46"/>
      <c r="HIE100" s="46"/>
      <c r="HIF100" s="46"/>
      <c r="HIG100" s="46"/>
      <c r="HIH100" s="46"/>
      <c r="HII100" s="46"/>
      <c r="HIJ100" s="46"/>
      <c r="HIK100" s="46"/>
      <c r="HIL100" s="46"/>
      <c r="HIM100" s="46"/>
      <c r="HIN100" s="46"/>
      <c r="HIO100" s="46"/>
      <c r="HIP100" s="46"/>
      <c r="HIQ100" s="46"/>
      <c r="HIR100" s="46"/>
      <c r="HIS100" s="46"/>
      <c r="HIT100" s="46"/>
      <c r="HIU100" s="46"/>
      <c r="HIV100" s="46"/>
      <c r="HIW100" s="46"/>
      <c r="HIX100" s="46"/>
      <c r="HIY100" s="46"/>
      <c r="HIZ100" s="46"/>
      <c r="HJA100" s="46"/>
      <c r="HJB100" s="46"/>
      <c r="HJC100" s="46"/>
      <c r="HJD100" s="46"/>
      <c r="HJE100" s="46"/>
      <c r="HJF100" s="46"/>
      <c r="HJG100" s="46"/>
      <c r="HJH100" s="46"/>
      <c r="HJI100" s="46"/>
      <c r="HJJ100" s="46"/>
      <c r="HJK100" s="46"/>
      <c r="HJL100" s="46"/>
      <c r="HJM100" s="46"/>
      <c r="HJN100" s="46"/>
      <c r="HJO100" s="46"/>
      <c r="HJP100" s="46"/>
      <c r="HJQ100" s="46"/>
      <c r="HJR100" s="46"/>
      <c r="HJS100" s="46"/>
      <c r="HJT100" s="46"/>
      <c r="HJU100" s="46"/>
      <c r="HJV100" s="46"/>
      <c r="HJW100" s="46"/>
      <c r="HJX100" s="46"/>
      <c r="HJY100" s="46"/>
      <c r="HJZ100" s="46"/>
      <c r="HKA100" s="46"/>
      <c r="HKB100" s="46"/>
      <c r="HKC100" s="46"/>
      <c r="HKD100" s="46"/>
      <c r="HKE100" s="46"/>
      <c r="HKF100" s="46"/>
      <c r="HKG100" s="46"/>
      <c r="HKH100" s="46"/>
      <c r="HKI100" s="46"/>
      <c r="HKJ100" s="46"/>
      <c r="HKK100" s="46"/>
      <c r="HKL100" s="46"/>
      <c r="HKM100" s="46"/>
      <c r="HKN100" s="46"/>
      <c r="HKO100" s="46"/>
      <c r="HKP100" s="46"/>
      <c r="HKQ100" s="46"/>
      <c r="HKR100" s="46"/>
      <c r="HKS100" s="46"/>
      <c r="HKT100" s="46"/>
      <c r="HKU100" s="46"/>
      <c r="HKV100" s="46"/>
      <c r="HKW100" s="46"/>
      <c r="HKX100" s="46"/>
      <c r="HKY100" s="46"/>
      <c r="HKZ100" s="46"/>
      <c r="HLA100" s="46"/>
      <c r="HLB100" s="46"/>
      <c r="HLC100" s="46"/>
      <c r="HLD100" s="46"/>
      <c r="HLE100" s="46"/>
      <c r="HLF100" s="46"/>
      <c r="HLG100" s="46"/>
      <c r="HLH100" s="46"/>
      <c r="HLI100" s="46"/>
      <c r="HLJ100" s="46"/>
      <c r="HLK100" s="46"/>
      <c r="HLL100" s="46"/>
      <c r="HLM100" s="46"/>
      <c r="HLN100" s="46"/>
      <c r="HLO100" s="46"/>
      <c r="HLP100" s="46"/>
      <c r="HLQ100" s="46"/>
      <c r="HLR100" s="46"/>
      <c r="HLS100" s="46"/>
      <c r="HLT100" s="46"/>
      <c r="HLU100" s="46"/>
      <c r="HLV100" s="46"/>
      <c r="HLW100" s="46"/>
      <c r="HLX100" s="46"/>
      <c r="HLY100" s="46"/>
      <c r="HLZ100" s="46"/>
      <c r="HMA100" s="46"/>
      <c r="HMB100" s="46"/>
      <c r="HMC100" s="46"/>
      <c r="HMD100" s="46"/>
      <c r="HME100" s="46"/>
      <c r="HMF100" s="46"/>
      <c r="HMG100" s="46"/>
      <c r="HMH100" s="46"/>
      <c r="HMI100" s="46"/>
      <c r="HMJ100" s="46"/>
      <c r="HMK100" s="46"/>
      <c r="HML100" s="46"/>
      <c r="HMM100" s="46"/>
      <c r="HMN100" s="46"/>
      <c r="HMO100" s="46"/>
      <c r="HMP100" s="46"/>
      <c r="HMQ100" s="46"/>
      <c r="HMR100" s="46"/>
      <c r="HMS100" s="46"/>
      <c r="HMT100" s="46"/>
      <c r="HMU100" s="46"/>
      <c r="HMV100" s="46"/>
      <c r="HMW100" s="46"/>
      <c r="HMX100" s="46"/>
      <c r="HMY100" s="46"/>
      <c r="HMZ100" s="46"/>
      <c r="HNA100" s="46"/>
      <c r="HNB100" s="46"/>
      <c r="HNC100" s="46"/>
      <c r="HND100" s="46"/>
      <c r="HNE100" s="46"/>
      <c r="HNF100" s="46"/>
      <c r="HNG100" s="46"/>
      <c r="HNH100" s="46"/>
      <c r="HNI100" s="46"/>
      <c r="HNJ100" s="46"/>
      <c r="HNK100" s="46"/>
      <c r="HNL100" s="46"/>
      <c r="HNM100" s="46"/>
      <c r="HNN100" s="46"/>
      <c r="HNO100" s="46"/>
      <c r="HNP100" s="46"/>
      <c r="HNQ100" s="46"/>
      <c r="HNR100" s="46"/>
      <c r="HNS100" s="46"/>
      <c r="HNT100" s="46"/>
      <c r="HNU100" s="46"/>
      <c r="HNV100" s="46"/>
      <c r="HNW100" s="46"/>
      <c r="HNX100" s="46"/>
      <c r="HNY100" s="46"/>
      <c r="HNZ100" s="46"/>
      <c r="HOA100" s="46"/>
      <c r="HOB100" s="46"/>
      <c r="HOC100" s="46"/>
      <c r="HOD100" s="46"/>
      <c r="HOE100" s="46"/>
      <c r="HOF100" s="46"/>
      <c r="HOG100" s="46"/>
      <c r="HOH100" s="46"/>
      <c r="HOI100" s="46"/>
      <c r="HOJ100" s="46"/>
      <c r="HOK100" s="46"/>
      <c r="HOL100" s="46"/>
      <c r="HOM100" s="46"/>
      <c r="HON100" s="46"/>
      <c r="HOO100" s="46"/>
      <c r="HOP100" s="46"/>
      <c r="HOQ100" s="46"/>
      <c r="HOR100" s="46"/>
      <c r="HOS100" s="46"/>
      <c r="HOT100" s="46"/>
      <c r="HOU100" s="46"/>
      <c r="HOV100" s="46"/>
      <c r="HOW100" s="46"/>
      <c r="HOX100" s="46"/>
      <c r="HOY100" s="46"/>
      <c r="HOZ100" s="46"/>
      <c r="HPA100" s="46"/>
      <c r="HPB100" s="46"/>
      <c r="HPC100" s="46"/>
      <c r="HPD100" s="46"/>
      <c r="HPE100" s="46"/>
      <c r="HPF100" s="46"/>
      <c r="HPG100" s="46"/>
      <c r="HPH100" s="46"/>
      <c r="HPI100" s="46"/>
      <c r="HPJ100" s="46"/>
      <c r="HPK100" s="46"/>
      <c r="HPL100" s="46"/>
      <c r="HPM100" s="46"/>
      <c r="HPN100" s="46"/>
      <c r="HPO100" s="46"/>
      <c r="HPP100" s="46"/>
      <c r="HPQ100" s="46"/>
      <c r="HPR100" s="46"/>
      <c r="HPS100" s="46"/>
      <c r="HPT100" s="46"/>
      <c r="HPU100" s="46"/>
      <c r="HPV100" s="46"/>
      <c r="HPW100" s="46"/>
      <c r="HPX100" s="46"/>
      <c r="HPY100" s="46"/>
      <c r="HPZ100" s="46"/>
      <c r="HQA100" s="46"/>
      <c r="HQB100" s="46"/>
      <c r="HQC100" s="46"/>
      <c r="HQD100" s="46"/>
      <c r="HQE100" s="46"/>
      <c r="HQF100" s="46"/>
      <c r="HQG100" s="46"/>
      <c r="HQH100" s="46"/>
      <c r="HQI100" s="46"/>
      <c r="HQJ100" s="46"/>
      <c r="HQK100" s="46"/>
      <c r="HQL100" s="46"/>
      <c r="HQM100" s="46"/>
      <c r="HQN100" s="46"/>
      <c r="HQO100" s="46"/>
      <c r="HQP100" s="46"/>
      <c r="HQQ100" s="46"/>
      <c r="HQR100" s="46"/>
      <c r="HQS100" s="46"/>
      <c r="HQT100" s="46"/>
      <c r="HQU100" s="46"/>
      <c r="HQV100" s="46"/>
      <c r="HQW100" s="46"/>
      <c r="HQX100" s="46"/>
      <c r="HQY100" s="46"/>
      <c r="HQZ100" s="46"/>
      <c r="HRA100" s="46"/>
      <c r="HRB100" s="46"/>
      <c r="HRC100" s="46"/>
      <c r="HRD100" s="46"/>
      <c r="HRE100" s="46"/>
      <c r="HRF100" s="46"/>
      <c r="HRG100" s="46"/>
      <c r="HRH100" s="46"/>
      <c r="HRI100" s="46"/>
      <c r="HRJ100" s="46"/>
      <c r="HRK100" s="46"/>
      <c r="HRL100" s="46"/>
      <c r="HRM100" s="46"/>
      <c r="HRN100" s="46"/>
      <c r="HRO100" s="46"/>
      <c r="HRP100" s="46"/>
      <c r="HRQ100" s="46"/>
      <c r="HRR100" s="46"/>
      <c r="HRS100" s="46"/>
      <c r="HRT100" s="46"/>
      <c r="HRU100" s="46"/>
      <c r="HRV100" s="46"/>
      <c r="HRW100" s="46"/>
      <c r="HRX100" s="46"/>
      <c r="HRY100" s="46"/>
      <c r="HRZ100" s="46"/>
      <c r="HSA100" s="46"/>
      <c r="HSB100" s="46"/>
      <c r="HSC100" s="46"/>
      <c r="HSD100" s="46"/>
      <c r="HSE100" s="46"/>
      <c r="HSF100" s="46"/>
      <c r="HSG100" s="46"/>
      <c r="HSH100" s="46"/>
      <c r="HSI100" s="46"/>
      <c r="HSJ100" s="46"/>
      <c r="HSK100" s="46"/>
      <c r="HSL100" s="46"/>
      <c r="HSM100" s="46"/>
      <c r="HSN100" s="46"/>
      <c r="HSO100" s="46"/>
      <c r="HSP100" s="46"/>
      <c r="HSQ100" s="46"/>
      <c r="HSR100" s="46"/>
      <c r="HSS100" s="46"/>
      <c r="HST100" s="46"/>
      <c r="HSU100" s="46"/>
      <c r="HSV100" s="46"/>
      <c r="HSW100" s="46"/>
      <c r="HSX100" s="46"/>
      <c r="HSY100" s="46"/>
      <c r="HSZ100" s="46"/>
      <c r="HTA100" s="46"/>
      <c r="HTB100" s="46"/>
      <c r="HTC100" s="46"/>
      <c r="HTD100" s="46"/>
      <c r="HTE100" s="46"/>
      <c r="HTF100" s="46"/>
      <c r="HTG100" s="46"/>
      <c r="HTH100" s="46"/>
      <c r="HTI100" s="46"/>
      <c r="HTJ100" s="46"/>
      <c r="HTK100" s="46"/>
      <c r="HTL100" s="46"/>
      <c r="HTM100" s="46"/>
      <c r="HTN100" s="46"/>
      <c r="HTO100" s="46"/>
      <c r="HTP100" s="46"/>
      <c r="HTQ100" s="46"/>
      <c r="HTR100" s="46"/>
      <c r="HTS100" s="46"/>
      <c r="HTT100" s="46"/>
      <c r="HTU100" s="46"/>
      <c r="HTV100" s="46"/>
      <c r="HTW100" s="46"/>
      <c r="HTX100" s="46"/>
      <c r="HTY100" s="46"/>
      <c r="HTZ100" s="46"/>
      <c r="HUA100" s="46"/>
      <c r="HUB100" s="46"/>
      <c r="HUC100" s="46"/>
      <c r="HUD100" s="46"/>
      <c r="HUE100" s="46"/>
      <c r="HUF100" s="46"/>
      <c r="HUG100" s="46"/>
      <c r="HUH100" s="46"/>
      <c r="HUI100" s="46"/>
      <c r="HUJ100" s="46"/>
      <c r="HUK100" s="46"/>
      <c r="HUL100" s="46"/>
      <c r="HUM100" s="46"/>
      <c r="HUN100" s="46"/>
      <c r="HUO100" s="46"/>
      <c r="HUP100" s="46"/>
      <c r="HUQ100" s="46"/>
      <c r="HUR100" s="46"/>
      <c r="HUS100" s="46"/>
      <c r="HUT100" s="46"/>
      <c r="HUU100" s="46"/>
      <c r="HUV100" s="46"/>
      <c r="HUW100" s="46"/>
      <c r="HUX100" s="46"/>
      <c r="HUY100" s="46"/>
      <c r="HUZ100" s="46"/>
      <c r="HVA100" s="46"/>
      <c r="HVB100" s="46"/>
      <c r="HVC100" s="46"/>
      <c r="HVD100" s="46"/>
      <c r="HVE100" s="46"/>
      <c r="HVF100" s="46"/>
      <c r="HVG100" s="46"/>
      <c r="HVH100" s="46"/>
      <c r="HVI100" s="46"/>
      <c r="HVJ100" s="46"/>
      <c r="HVK100" s="46"/>
      <c r="HVL100" s="46"/>
      <c r="HVM100" s="46"/>
      <c r="HVN100" s="46"/>
      <c r="HVO100" s="46"/>
      <c r="HVP100" s="46"/>
      <c r="HVQ100" s="46"/>
      <c r="HVR100" s="46"/>
      <c r="HVS100" s="46"/>
      <c r="HVT100" s="46"/>
      <c r="HVU100" s="46"/>
      <c r="HVV100" s="46"/>
      <c r="HVW100" s="46"/>
      <c r="HVX100" s="46"/>
      <c r="HVY100" s="46"/>
      <c r="HVZ100" s="46"/>
      <c r="HWA100" s="46"/>
      <c r="HWB100" s="46"/>
      <c r="HWC100" s="46"/>
      <c r="HWD100" s="46"/>
      <c r="HWE100" s="46"/>
      <c r="HWF100" s="46"/>
      <c r="HWG100" s="46"/>
      <c r="HWH100" s="46"/>
      <c r="HWI100" s="46"/>
      <c r="HWJ100" s="46"/>
      <c r="HWK100" s="46"/>
      <c r="HWL100" s="46"/>
      <c r="HWM100" s="46"/>
      <c r="HWN100" s="46"/>
      <c r="HWO100" s="46"/>
      <c r="HWP100" s="46"/>
      <c r="HWQ100" s="46"/>
      <c r="HWR100" s="46"/>
      <c r="HWS100" s="46"/>
      <c r="HWT100" s="46"/>
      <c r="HWU100" s="46"/>
      <c r="HWV100" s="46"/>
      <c r="HWW100" s="46"/>
      <c r="HWX100" s="46"/>
      <c r="HWY100" s="46"/>
      <c r="HWZ100" s="46"/>
      <c r="HXA100" s="46"/>
      <c r="HXB100" s="46"/>
      <c r="HXC100" s="46"/>
      <c r="HXD100" s="46"/>
      <c r="HXE100" s="46"/>
      <c r="HXF100" s="46"/>
      <c r="HXG100" s="46"/>
      <c r="HXH100" s="46"/>
      <c r="HXI100" s="46"/>
      <c r="HXJ100" s="46"/>
      <c r="HXK100" s="46"/>
      <c r="HXL100" s="46"/>
      <c r="HXM100" s="46"/>
      <c r="HXN100" s="46"/>
      <c r="HXO100" s="46"/>
      <c r="HXP100" s="46"/>
      <c r="HXQ100" s="46"/>
      <c r="HXR100" s="46"/>
      <c r="HXS100" s="46"/>
      <c r="HXT100" s="46"/>
      <c r="HXU100" s="46"/>
      <c r="HXV100" s="46"/>
      <c r="HXW100" s="46"/>
      <c r="HXX100" s="46"/>
      <c r="HXY100" s="46"/>
      <c r="HXZ100" s="46"/>
      <c r="HYA100" s="46"/>
      <c r="HYB100" s="46"/>
      <c r="HYC100" s="46"/>
      <c r="HYD100" s="46"/>
      <c r="HYE100" s="46"/>
      <c r="HYF100" s="46"/>
      <c r="HYG100" s="46"/>
      <c r="HYH100" s="46"/>
      <c r="HYI100" s="46"/>
      <c r="HYJ100" s="46"/>
      <c r="HYK100" s="46"/>
      <c r="HYL100" s="46"/>
      <c r="HYM100" s="46"/>
      <c r="HYN100" s="46"/>
      <c r="HYO100" s="46"/>
      <c r="HYP100" s="46"/>
      <c r="HYQ100" s="46"/>
      <c r="HYR100" s="46"/>
      <c r="HYS100" s="46"/>
      <c r="HYT100" s="46"/>
      <c r="HYU100" s="46"/>
      <c r="HYV100" s="46"/>
      <c r="HYW100" s="46"/>
      <c r="HYX100" s="46"/>
      <c r="HYY100" s="46"/>
      <c r="HYZ100" s="46"/>
      <c r="HZA100" s="46"/>
      <c r="HZB100" s="46"/>
      <c r="HZC100" s="46"/>
      <c r="HZD100" s="46"/>
      <c r="HZE100" s="46"/>
      <c r="HZF100" s="46"/>
      <c r="HZG100" s="46"/>
      <c r="HZH100" s="46"/>
      <c r="HZI100" s="46"/>
      <c r="HZJ100" s="46"/>
      <c r="HZK100" s="46"/>
      <c r="HZL100" s="46"/>
      <c r="HZM100" s="46"/>
      <c r="HZN100" s="46"/>
      <c r="HZO100" s="46"/>
      <c r="HZP100" s="46"/>
      <c r="HZQ100" s="46"/>
      <c r="HZR100" s="46"/>
      <c r="HZS100" s="46"/>
      <c r="HZT100" s="46"/>
      <c r="HZU100" s="46"/>
      <c r="HZV100" s="46"/>
      <c r="HZW100" s="46"/>
      <c r="HZX100" s="46"/>
      <c r="HZY100" s="46"/>
      <c r="HZZ100" s="46"/>
      <c r="IAA100" s="46"/>
      <c r="IAB100" s="46"/>
      <c r="IAC100" s="46"/>
      <c r="IAD100" s="46"/>
      <c r="IAE100" s="46"/>
      <c r="IAF100" s="46"/>
      <c r="IAG100" s="46"/>
      <c r="IAH100" s="46"/>
      <c r="IAI100" s="46"/>
      <c r="IAJ100" s="46"/>
      <c r="IAK100" s="46"/>
      <c r="IAL100" s="46"/>
      <c r="IAM100" s="46"/>
      <c r="IAN100" s="46"/>
      <c r="IAO100" s="46"/>
      <c r="IAP100" s="46"/>
      <c r="IAQ100" s="46"/>
      <c r="IAR100" s="46"/>
      <c r="IAS100" s="46"/>
      <c r="IAT100" s="46"/>
      <c r="IAU100" s="46"/>
      <c r="IAV100" s="46"/>
      <c r="IAW100" s="46"/>
      <c r="IAX100" s="46"/>
      <c r="IAY100" s="46"/>
      <c r="IAZ100" s="46"/>
      <c r="IBA100" s="46"/>
      <c r="IBB100" s="46"/>
      <c r="IBC100" s="46"/>
      <c r="IBD100" s="46"/>
      <c r="IBE100" s="46"/>
      <c r="IBF100" s="46"/>
      <c r="IBG100" s="46"/>
      <c r="IBH100" s="46"/>
      <c r="IBI100" s="46"/>
      <c r="IBJ100" s="46"/>
      <c r="IBK100" s="46"/>
      <c r="IBL100" s="46"/>
      <c r="IBM100" s="46"/>
      <c r="IBN100" s="46"/>
      <c r="IBO100" s="46"/>
      <c r="IBP100" s="46"/>
      <c r="IBQ100" s="46"/>
      <c r="IBR100" s="46"/>
      <c r="IBS100" s="46"/>
      <c r="IBT100" s="46"/>
      <c r="IBU100" s="46"/>
      <c r="IBV100" s="46"/>
      <c r="IBW100" s="46"/>
      <c r="IBX100" s="46"/>
      <c r="IBY100" s="46"/>
      <c r="IBZ100" s="46"/>
      <c r="ICA100" s="46"/>
      <c r="ICB100" s="46"/>
      <c r="ICC100" s="46"/>
      <c r="ICD100" s="46"/>
      <c r="ICE100" s="46"/>
      <c r="ICF100" s="46"/>
      <c r="ICG100" s="46"/>
      <c r="ICH100" s="46"/>
      <c r="ICI100" s="46"/>
      <c r="ICJ100" s="46"/>
      <c r="ICK100" s="46"/>
      <c r="ICL100" s="46"/>
      <c r="ICM100" s="46"/>
      <c r="ICN100" s="46"/>
      <c r="ICO100" s="46"/>
      <c r="ICP100" s="46"/>
      <c r="ICQ100" s="46"/>
      <c r="ICR100" s="46"/>
      <c r="ICS100" s="46"/>
      <c r="ICT100" s="46"/>
      <c r="ICU100" s="46"/>
      <c r="ICV100" s="46"/>
      <c r="ICW100" s="46"/>
      <c r="ICX100" s="46"/>
      <c r="ICY100" s="46"/>
      <c r="ICZ100" s="46"/>
      <c r="IDA100" s="46"/>
      <c r="IDB100" s="46"/>
      <c r="IDC100" s="46"/>
      <c r="IDD100" s="46"/>
      <c r="IDE100" s="46"/>
      <c r="IDF100" s="46"/>
      <c r="IDG100" s="46"/>
      <c r="IDH100" s="46"/>
      <c r="IDI100" s="46"/>
      <c r="IDJ100" s="46"/>
      <c r="IDK100" s="46"/>
      <c r="IDL100" s="46"/>
      <c r="IDM100" s="46"/>
      <c r="IDN100" s="46"/>
      <c r="IDO100" s="46"/>
      <c r="IDP100" s="46"/>
      <c r="IDQ100" s="46"/>
      <c r="IDR100" s="46"/>
      <c r="IDS100" s="46"/>
      <c r="IDT100" s="46"/>
      <c r="IDU100" s="46"/>
      <c r="IDV100" s="46"/>
      <c r="IDW100" s="46"/>
      <c r="IDX100" s="46"/>
      <c r="IDY100" s="46"/>
      <c r="IDZ100" s="46"/>
      <c r="IEA100" s="46"/>
      <c r="IEB100" s="46"/>
      <c r="IEC100" s="46"/>
      <c r="IED100" s="46"/>
      <c r="IEE100" s="46"/>
      <c r="IEF100" s="46"/>
      <c r="IEG100" s="46"/>
      <c r="IEH100" s="46"/>
      <c r="IEI100" s="46"/>
      <c r="IEJ100" s="46"/>
      <c r="IEK100" s="46"/>
      <c r="IEL100" s="46"/>
      <c r="IEM100" s="46"/>
      <c r="IEN100" s="46"/>
      <c r="IEO100" s="46"/>
      <c r="IEP100" s="46"/>
      <c r="IEQ100" s="46"/>
      <c r="IER100" s="46"/>
      <c r="IES100" s="46"/>
      <c r="IET100" s="46"/>
      <c r="IEU100" s="46"/>
      <c r="IEV100" s="46"/>
      <c r="IEW100" s="46"/>
      <c r="IEX100" s="46"/>
      <c r="IEY100" s="46"/>
      <c r="IEZ100" s="46"/>
      <c r="IFA100" s="46"/>
      <c r="IFB100" s="46"/>
      <c r="IFC100" s="46"/>
      <c r="IFD100" s="46"/>
      <c r="IFE100" s="46"/>
      <c r="IFF100" s="46"/>
      <c r="IFG100" s="46"/>
      <c r="IFH100" s="46"/>
      <c r="IFI100" s="46"/>
      <c r="IFJ100" s="46"/>
      <c r="IFK100" s="46"/>
      <c r="IFL100" s="46"/>
      <c r="IFM100" s="46"/>
      <c r="IFN100" s="46"/>
      <c r="IFO100" s="46"/>
      <c r="IFP100" s="46"/>
      <c r="IFQ100" s="46"/>
      <c r="IFR100" s="46"/>
      <c r="IFS100" s="46"/>
      <c r="IFT100" s="46"/>
      <c r="IFU100" s="46"/>
      <c r="IFV100" s="46"/>
      <c r="IFW100" s="46"/>
      <c r="IFX100" s="46"/>
      <c r="IFY100" s="46"/>
      <c r="IFZ100" s="46"/>
      <c r="IGA100" s="46"/>
      <c r="IGB100" s="46"/>
      <c r="IGC100" s="46"/>
      <c r="IGD100" s="46"/>
      <c r="IGE100" s="46"/>
      <c r="IGF100" s="46"/>
      <c r="IGG100" s="46"/>
      <c r="IGH100" s="46"/>
      <c r="IGI100" s="46"/>
      <c r="IGJ100" s="46"/>
      <c r="IGK100" s="46"/>
      <c r="IGL100" s="46"/>
      <c r="IGM100" s="46"/>
      <c r="IGN100" s="46"/>
      <c r="IGO100" s="46"/>
      <c r="IGP100" s="46"/>
      <c r="IGQ100" s="46"/>
      <c r="IGR100" s="46"/>
      <c r="IGS100" s="46"/>
      <c r="IGT100" s="46"/>
      <c r="IGU100" s="46"/>
      <c r="IGV100" s="46"/>
      <c r="IGW100" s="46"/>
      <c r="IGX100" s="46"/>
      <c r="IGY100" s="46"/>
      <c r="IGZ100" s="46"/>
      <c r="IHA100" s="46"/>
      <c r="IHB100" s="46"/>
      <c r="IHC100" s="46"/>
      <c r="IHD100" s="46"/>
      <c r="IHE100" s="46"/>
      <c r="IHF100" s="46"/>
      <c r="IHG100" s="46"/>
      <c r="IHH100" s="46"/>
      <c r="IHI100" s="46"/>
      <c r="IHJ100" s="46"/>
      <c r="IHK100" s="46"/>
      <c r="IHL100" s="46"/>
      <c r="IHM100" s="46"/>
      <c r="IHN100" s="46"/>
      <c r="IHO100" s="46"/>
      <c r="IHP100" s="46"/>
      <c r="IHQ100" s="46"/>
      <c r="IHR100" s="46"/>
      <c r="IHS100" s="46"/>
      <c r="IHT100" s="46"/>
      <c r="IHU100" s="46"/>
      <c r="IHV100" s="46"/>
      <c r="IHW100" s="46"/>
      <c r="IHX100" s="46"/>
      <c r="IHY100" s="46"/>
      <c r="IHZ100" s="46"/>
      <c r="IIA100" s="46"/>
      <c r="IIB100" s="46"/>
      <c r="IIC100" s="46"/>
      <c r="IID100" s="46"/>
      <c r="IIE100" s="46"/>
      <c r="IIF100" s="46"/>
      <c r="IIG100" s="46"/>
      <c r="IIH100" s="46"/>
      <c r="III100" s="46"/>
      <c r="IIJ100" s="46"/>
      <c r="IIK100" s="46"/>
      <c r="IIL100" s="46"/>
      <c r="IIM100" s="46"/>
      <c r="IIN100" s="46"/>
      <c r="IIO100" s="46"/>
      <c r="IIP100" s="46"/>
      <c r="IIQ100" s="46"/>
      <c r="IIR100" s="46"/>
      <c r="IIS100" s="46"/>
      <c r="IIT100" s="46"/>
      <c r="IIU100" s="46"/>
      <c r="IIV100" s="46"/>
      <c r="IIW100" s="46"/>
      <c r="IIX100" s="46"/>
      <c r="IIY100" s="46"/>
      <c r="IIZ100" s="46"/>
      <c r="IJA100" s="46"/>
      <c r="IJB100" s="46"/>
      <c r="IJC100" s="46"/>
      <c r="IJD100" s="46"/>
      <c r="IJE100" s="46"/>
      <c r="IJF100" s="46"/>
      <c r="IJG100" s="46"/>
      <c r="IJH100" s="46"/>
      <c r="IJI100" s="46"/>
      <c r="IJJ100" s="46"/>
      <c r="IJK100" s="46"/>
      <c r="IJL100" s="46"/>
      <c r="IJM100" s="46"/>
      <c r="IJN100" s="46"/>
      <c r="IJO100" s="46"/>
      <c r="IJP100" s="46"/>
      <c r="IJQ100" s="46"/>
      <c r="IJR100" s="46"/>
      <c r="IJS100" s="46"/>
      <c r="IJT100" s="46"/>
      <c r="IJU100" s="46"/>
      <c r="IJV100" s="46"/>
      <c r="IJW100" s="46"/>
      <c r="IJX100" s="46"/>
      <c r="IJY100" s="46"/>
      <c r="IJZ100" s="46"/>
      <c r="IKA100" s="46"/>
      <c r="IKB100" s="46"/>
      <c r="IKC100" s="46"/>
      <c r="IKD100" s="46"/>
      <c r="IKE100" s="46"/>
      <c r="IKF100" s="46"/>
      <c r="IKG100" s="46"/>
      <c r="IKH100" s="46"/>
      <c r="IKI100" s="46"/>
      <c r="IKJ100" s="46"/>
      <c r="IKK100" s="46"/>
      <c r="IKL100" s="46"/>
      <c r="IKM100" s="46"/>
      <c r="IKN100" s="46"/>
      <c r="IKO100" s="46"/>
      <c r="IKP100" s="46"/>
      <c r="IKQ100" s="46"/>
      <c r="IKR100" s="46"/>
      <c r="IKS100" s="46"/>
      <c r="IKT100" s="46"/>
      <c r="IKU100" s="46"/>
      <c r="IKV100" s="46"/>
      <c r="IKW100" s="46"/>
      <c r="IKX100" s="46"/>
      <c r="IKY100" s="46"/>
      <c r="IKZ100" s="46"/>
      <c r="ILA100" s="46"/>
      <c r="ILB100" s="46"/>
      <c r="ILC100" s="46"/>
      <c r="ILD100" s="46"/>
      <c r="ILE100" s="46"/>
      <c r="ILF100" s="46"/>
      <c r="ILG100" s="46"/>
      <c r="ILH100" s="46"/>
      <c r="ILI100" s="46"/>
      <c r="ILJ100" s="46"/>
      <c r="ILK100" s="46"/>
      <c r="ILL100" s="46"/>
      <c r="ILM100" s="46"/>
      <c r="ILN100" s="46"/>
      <c r="ILO100" s="46"/>
      <c r="ILP100" s="46"/>
      <c r="ILQ100" s="46"/>
      <c r="ILR100" s="46"/>
      <c r="ILS100" s="46"/>
      <c r="ILT100" s="46"/>
      <c r="ILU100" s="46"/>
      <c r="ILV100" s="46"/>
      <c r="ILW100" s="46"/>
      <c r="ILX100" s="46"/>
      <c r="ILY100" s="46"/>
      <c r="ILZ100" s="46"/>
      <c r="IMA100" s="46"/>
      <c r="IMB100" s="46"/>
      <c r="IMC100" s="46"/>
      <c r="IMD100" s="46"/>
      <c r="IME100" s="46"/>
      <c r="IMF100" s="46"/>
      <c r="IMG100" s="46"/>
      <c r="IMH100" s="46"/>
      <c r="IMI100" s="46"/>
      <c r="IMJ100" s="46"/>
      <c r="IMK100" s="46"/>
      <c r="IML100" s="46"/>
      <c r="IMM100" s="46"/>
      <c r="IMN100" s="46"/>
      <c r="IMO100" s="46"/>
      <c r="IMP100" s="46"/>
      <c r="IMQ100" s="46"/>
      <c r="IMR100" s="46"/>
      <c r="IMS100" s="46"/>
      <c r="IMT100" s="46"/>
      <c r="IMU100" s="46"/>
      <c r="IMV100" s="46"/>
      <c r="IMW100" s="46"/>
      <c r="IMX100" s="46"/>
      <c r="IMY100" s="46"/>
      <c r="IMZ100" s="46"/>
      <c r="INA100" s="46"/>
      <c r="INB100" s="46"/>
      <c r="INC100" s="46"/>
      <c r="IND100" s="46"/>
      <c r="INE100" s="46"/>
      <c r="INF100" s="46"/>
      <c r="ING100" s="46"/>
      <c r="INH100" s="46"/>
      <c r="INI100" s="46"/>
      <c r="INJ100" s="46"/>
      <c r="INK100" s="46"/>
      <c r="INL100" s="46"/>
      <c r="INM100" s="46"/>
      <c r="INN100" s="46"/>
      <c r="INO100" s="46"/>
      <c r="INP100" s="46"/>
      <c r="INQ100" s="46"/>
      <c r="INR100" s="46"/>
      <c r="INS100" s="46"/>
      <c r="INT100" s="46"/>
      <c r="INU100" s="46"/>
      <c r="INV100" s="46"/>
      <c r="INW100" s="46"/>
      <c r="INX100" s="46"/>
      <c r="INY100" s="46"/>
      <c r="INZ100" s="46"/>
      <c r="IOA100" s="46"/>
      <c r="IOB100" s="46"/>
      <c r="IOC100" s="46"/>
      <c r="IOD100" s="46"/>
      <c r="IOE100" s="46"/>
      <c r="IOF100" s="46"/>
      <c r="IOG100" s="46"/>
      <c r="IOH100" s="46"/>
      <c r="IOI100" s="46"/>
      <c r="IOJ100" s="46"/>
      <c r="IOK100" s="46"/>
      <c r="IOL100" s="46"/>
      <c r="IOM100" s="46"/>
      <c r="ION100" s="46"/>
      <c r="IOO100" s="46"/>
      <c r="IOP100" s="46"/>
      <c r="IOQ100" s="46"/>
      <c r="IOR100" s="46"/>
      <c r="IOS100" s="46"/>
      <c r="IOT100" s="46"/>
      <c r="IOU100" s="46"/>
      <c r="IOV100" s="46"/>
      <c r="IOW100" s="46"/>
      <c r="IOX100" s="46"/>
      <c r="IOY100" s="46"/>
      <c r="IOZ100" s="46"/>
      <c r="IPA100" s="46"/>
      <c r="IPB100" s="46"/>
      <c r="IPC100" s="46"/>
      <c r="IPD100" s="46"/>
      <c r="IPE100" s="46"/>
      <c r="IPF100" s="46"/>
      <c r="IPG100" s="46"/>
      <c r="IPH100" s="46"/>
      <c r="IPI100" s="46"/>
      <c r="IPJ100" s="46"/>
      <c r="IPK100" s="46"/>
      <c r="IPL100" s="46"/>
      <c r="IPM100" s="46"/>
      <c r="IPN100" s="46"/>
      <c r="IPO100" s="46"/>
      <c r="IPP100" s="46"/>
      <c r="IPQ100" s="46"/>
      <c r="IPR100" s="46"/>
      <c r="IPS100" s="46"/>
      <c r="IPT100" s="46"/>
      <c r="IPU100" s="46"/>
      <c r="IPV100" s="46"/>
      <c r="IPW100" s="46"/>
      <c r="IPX100" s="46"/>
      <c r="IPY100" s="46"/>
      <c r="IPZ100" s="46"/>
      <c r="IQA100" s="46"/>
      <c r="IQB100" s="46"/>
      <c r="IQC100" s="46"/>
      <c r="IQD100" s="46"/>
      <c r="IQE100" s="46"/>
      <c r="IQF100" s="46"/>
      <c r="IQG100" s="46"/>
      <c r="IQH100" s="46"/>
      <c r="IQI100" s="46"/>
      <c r="IQJ100" s="46"/>
      <c r="IQK100" s="46"/>
      <c r="IQL100" s="46"/>
      <c r="IQM100" s="46"/>
      <c r="IQN100" s="46"/>
      <c r="IQO100" s="46"/>
      <c r="IQP100" s="46"/>
      <c r="IQQ100" s="46"/>
      <c r="IQR100" s="46"/>
      <c r="IQS100" s="46"/>
      <c r="IQT100" s="46"/>
      <c r="IQU100" s="46"/>
      <c r="IQV100" s="46"/>
      <c r="IQW100" s="46"/>
      <c r="IQX100" s="46"/>
      <c r="IQY100" s="46"/>
      <c r="IQZ100" s="46"/>
      <c r="IRA100" s="46"/>
      <c r="IRB100" s="46"/>
      <c r="IRC100" s="46"/>
      <c r="IRD100" s="46"/>
      <c r="IRE100" s="46"/>
      <c r="IRF100" s="46"/>
      <c r="IRG100" s="46"/>
      <c r="IRH100" s="46"/>
      <c r="IRI100" s="46"/>
      <c r="IRJ100" s="46"/>
      <c r="IRK100" s="46"/>
      <c r="IRL100" s="46"/>
      <c r="IRM100" s="46"/>
      <c r="IRN100" s="46"/>
      <c r="IRO100" s="46"/>
      <c r="IRP100" s="46"/>
      <c r="IRQ100" s="46"/>
      <c r="IRR100" s="46"/>
      <c r="IRS100" s="46"/>
      <c r="IRT100" s="46"/>
      <c r="IRU100" s="46"/>
      <c r="IRV100" s="46"/>
      <c r="IRW100" s="46"/>
      <c r="IRX100" s="46"/>
      <c r="IRY100" s="46"/>
      <c r="IRZ100" s="46"/>
      <c r="ISA100" s="46"/>
      <c r="ISB100" s="46"/>
      <c r="ISC100" s="46"/>
      <c r="ISD100" s="46"/>
      <c r="ISE100" s="46"/>
      <c r="ISF100" s="46"/>
      <c r="ISG100" s="46"/>
      <c r="ISH100" s="46"/>
      <c r="ISI100" s="46"/>
      <c r="ISJ100" s="46"/>
      <c r="ISK100" s="46"/>
      <c r="ISL100" s="46"/>
      <c r="ISM100" s="46"/>
      <c r="ISN100" s="46"/>
      <c r="ISO100" s="46"/>
      <c r="ISP100" s="46"/>
      <c r="ISQ100" s="46"/>
      <c r="ISR100" s="46"/>
      <c r="ISS100" s="46"/>
      <c r="IST100" s="46"/>
      <c r="ISU100" s="46"/>
      <c r="ISV100" s="46"/>
      <c r="ISW100" s="46"/>
      <c r="ISX100" s="46"/>
      <c r="ISY100" s="46"/>
      <c r="ISZ100" s="46"/>
      <c r="ITA100" s="46"/>
      <c r="ITB100" s="46"/>
      <c r="ITC100" s="46"/>
      <c r="ITD100" s="46"/>
      <c r="ITE100" s="46"/>
      <c r="ITF100" s="46"/>
      <c r="ITG100" s="46"/>
      <c r="ITH100" s="46"/>
      <c r="ITI100" s="46"/>
      <c r="ITJ100" s="46"/>
      <c r="ITK100" s="46"/>
      <c r="ITL100" s="46"/>
      <c r="ITM100" s="46"/>
      <c r="ITN100" s="46"/>
      <c r="ITO100" s="46"/>
      <c r="ITP100" s="46"/>
      <c r="ITQ100" s="46"/>
      <c r="ITR100" s="46"/>
      <c r="ITS100" s="46"/>
      <c r="ITT100" s="46"/>
      <c r="ITU100" s="46"/>
      <c r="ITV100" s="46"/>
      <c r="ITW100" s="46"/>
      <c r="ITX100" s="46"/>
      <c r="ITY100" s="46"/>
      <c r="ITZ100" s="46"/>
      <c r="IUA100" s="46"/>
      <c r="IUB100" s="46"/>
      <c r="IUC100" s="46"/>
      <c r="IUD100" s="46"/>
      <c r="IUE100" s="46"/>
      <c r="IUF100" s="46"/>
      <c r="IUG100" s="46"/>
      <c r="IUH100" s="46"/>
      <c r="IUI100" s="46"/>
      <c r="IUJ100" s="46"/>
      <c r="IUK100" s="46"/>
      <c r="IUL100" s="46"/>
      <c r="IUM100" s="46"/>
      <c r="IUN100" s="46"/>
      <c r="IUO100" s="46"/>
      <c r="IUP100" s="46"/>
      <c r="IUQ100" s="46"/>
      <c r="IUR100" s="46"/>
      <c r="IUS100" s="46"/>
      <c r="IUT100" s="46"/>
      <c r="IUU100" s="46"/>
      <c r="IUV100" s="46"/>
      <c r="IUW100" s="46"/>
      <c r="IUX100" s="46"/>
      <c r="IUY100" s="46"/>
      <c r="IUZ100" s="46"/>
      <c r="IVA100" s="46"/>
      <c r="IVB100" s="46"/>
      <c r="IVC100" s="46"/>
      <c r="IVD100" s="46"/>
      <c r="IVE100" s="46"/>
      <c r="IVF100" s="46"/>
      <c r="IVG100" s="46"/>
      <c r="IVH100" s="46"/>
      <c r="IVI100" s="46"/>
      <c r="IVJ100" s="46"/>
      <c r="IVK100" s="46"/>
      <c r="IVL100" s="46"/>
      <c r="IVM100" s="46"/>
      <c r="IVN100" s="46"/>
      <c r="IVO100" s="46"/>
      <c r="IVP100" s="46"/>
      <c r="IVQ100" s="46"/>
      <c r="IVR100" s="46"/>
      <c r="IVS100" s="46"/>
      <c r="IVT100" s="46"/>
      <c r="IVU100" s="46"/>
      <c r="IVV100" s="46"/>
      <c r="IVW100" s="46"/>
      <c r="IVX100" s="46"/>
      <c r="IVY100" s="46"/>
      <c r="IVZ100" s="46"/>
      <c r="IWA100" s="46"/>
      <c r="IWB100" s="46"/>
      <c r="IWC100" s="46"/>
      <c r="IWD100" s="46"/>
      <c r="IWE100" s="46"/>
      <c r="IWF100" s="46"/>
      <c r="IWG100" s="46"/>
      <c r="IWH100" s="46"/>
      <c r="IWI100" s="46"/>
      <c r="IWJ100" s="46"/>
      <c r="IWK100" s="46"/>
      <c r="IWL100" s="46"/>
      <c r="IWM100" s="46"/>
      <c r="IWN100" s="46"/>
      <c r="IWO100" s="46"/>
      <c r="IWP100" s="46"/>
      <c r="IWQ100" s="46"/>
      <c r="IWR100" s="46"/>
      <c r="IWS100" s="46"/>
      <c r="IWT100" s="46"/>
      <c r="IWU100" s="46"/>
      <c r="IWV100" s="46"/>
      <c r="IWW100" s="46"/>
      <c r="IWX100" s="46"/>
      <c r="IWY100" s="46"/>
      <c r="IWZ100" s="46"/>
      <c r="IXA100" s="46"/>
      <c r="IXB100" s="46"/>
      <c r="IXC100" s="46"/>
      <c r="IXD100" s="46"/>
      <c r="IXE100" s="46"/>
      <c r="IXF100" s="46"/>
      <c r="IXG100" s="46"/>
      <c r="IXH100" s="46"/>
      <c r="IXI100" s="46"/>
      <c r="IXJ100" s="46"/>
      <c r="IXK100" s="46"/>
      <c r="IXL100" s="46"/>
      <c r="IXM100" s="46"/>
      <c r="IXN100" s="46"/>
      <c r="IXO100" s="46"/>
      <c r="IXP100" s="46"/>
      <c r="IXQ100" s="46"/>
      <c r="IXR100" s="46"/>
      <c r="IXS100" s="46"/>
      <c r="IXT100" s="46"/>
      <c r="IXU100" s="46"/>
      <c r="IXV100" s="46"/>
      <c r="IXW100" s="46"/>
      <c r="IXX100" s="46"/>
      <c r="IXY100" s="46"/>
      <c r="IXZ100" s="46"/>
      <c r="IYA100" s="46"/>
      <c r="IYB100" s="46"/>
      <c r="IYC100" s="46"/>
      <c r="IYD100" s="46"/>
      <c r="IYE100" s="46"/>
      <c r="IYF100" s="46"/>
      <c r="IYG100" s="46"/>
      <c r="IYH100" s="46"/>
      <c r="IYI100" s="46"/>
      <c r="IYJ100" s="46"/>
      <c r="IYK100" s="46"/>
      <c r="IYL100" s="46"/>
      <c r="IYM100" s="46"/>
      <c r="IYN100" s="46"/>
      <c r="IYO100" s="46"/>
      <c r="IYP100" s="46"/>
      <c r="IYQ100" s="46"/>
      <c r="IYR100" s="46"/>
      <c r="IYS100" s="46"/>
      <c r="IYT100" s="46"/>
      <c r="IYU100" s="46"/>
      <c r="IYV100" s="46"/>
      <c r="IYW100" s="46"/>
      <c r="IYX100" s="46"/>
      <c r="IYY100" s="46"/>
      <c r="IYZ100" s="46"/>
      <c r="IZA100" s="46"/>
      <c r="IZB100" s="46"/>
      <c r="IZC100" s="46"/>
      <c r="IZD100" s="46"/>
      <c r="IZE100" s="46"/>
      <c r="IZF100" s="46"/>
      <c r="IZG100" s="46"/>
      <c r="IZH100" s="46"/>
      <c r="IZI100" s="46"/>
      <c r="IZJ100" s="46"/>
      <c r="IZK100" s="46"/>
      <c r="IZL100" s="46"/>
      <c r="IZM100" s="46"/>
      <c r="IZN100" s="46"/>
      <c r="IZO100" s="46"/>
      <c r="IZP100" s="46"/>
      <c r="IZQ100" s="46"/>
      <c r="IZR100" s="46"/>
      <c r="IZS100" s="46"/>
      <c r="IZT100" s="46"/>
      <c r="IZU100" s="46"/>
      <c r="IZV100" s="46"/>
      <c r="IZW100" s="46"/>
      <c r="IZX100" s="46"/>
      <c r="IZY100" s="46"/>
      <c r="IZZ100" s="46"/>
      <c r="JAA100" s="46"/>
      <c r="JAB100" s="46"/>
      <c r="JAC100" s="46"/>
      <c r="JAD100" s="46"/>
      <c r="JAE100" s="46"/>
      <c r="JAF100" s="46"/>
      <c r="JAG100" s="46"/>
      <c r="JAH100" s="46"/>
      <c r="JAI100" s="46"/>
      <c r="JAJ100" s="46"/>
      <c r="JAK100" s="46"/>
      <c r="JAL100" s="46"/>
      <c r="JAM100" s="46"/>
      <c r="JAN100" s="46"/>
      <c r="JAO100" s="46"/>
      <c r="JAP100" s="46"/>
      <c r="JAQ100" s="46"/>
      <c r="JAR100" s="46"/>
      <c r="JAS100" s="46"/>
      <c r="JAT100" s="46"/>
      <c r="JAU100" s="46"/>
      <c r="JAV100" s="46"/>
      <c r="JAW100" s="46"/>
      <c r="JAX100" s="46"/>
      <c r="JAY100" s="46"/>
      <c r="JAZ100" s="46"/>
      <c r="JBA100" s="46"/>
      <c r="JBB100" s="46"/>
      <c r="JBC100" s="46"/>
      <c r="JBD100" s="46"/>
      <c r="JBE100" s="46"/>
      <c r="JBF100" s="46"/>
      <c r="JBG100" s="46"/>
      <c r="JBH100" s="46"/>
      <c r="JBI100" s="46"/>
      <c r="JBJ100" s="46"/>
      <c r="JBK100" s="46"/>
      <c r="JBL100" s="46"/>
      <c r="JBM100" s="46"/>
      <c r="JBN100" s="46"/>
      <c r="JBO100" s="46"/>
      <c r="JBP100" s="46"/>
      <c r="JBQ100" s="46"/>
      <c r="JBR100" s="46"/>
      <c r="JBS100" s="46"/>
      <c r="JBT100" s="46"/>
      <c r="JBU100" s="46"/>
      <c r="JBV100" s="46"/>
      <c r="JBW100" s="46"/>
      <c r="JBX100" s="46"/>
      <c r="JBY100" s="46"/>
      <c r="JBZ100" s="46"/>
      <c r="JCA100" s="46"/>
      <c r="JCB100" s="46"/>
      <c r="JCC100" s="46"/>
      <c r="JCD100" s="46"/>
      <c r="JCE100" s="46"/>
      <c r="JCF100" s="46"/>
      <c r="JCG100" s="46"/>
      <c r="JCH100" s="46"/>
      <c r="JCI100" s="46"/>
      <c r="JCJ100" s="46"/>
      <c r="JCK100" s="46"/>
      <c r="JCL100" s="46"/>
      <c r="JCM100" s="46"/>
      <c r="JCN100" s="46"/>
      <c r="JCO100" s="46"/>
      <c r="JCP100" s="46"/>
      <c r="JCQ100" s="46"/>
      <c r="JCR100" s="46"/>
      <c r="JCS100" s="46"/>
      <c r="JCT100" s="46"/>
      <c r="JCU100" s="46"/>
      <c r="JCV100" s="46"/>
      <c r="JCW100" s="46"/>
      <c r="JCX100" s="46"/>
      <c r="JCY100" s="46"/>
      <c r="JCZ100" s="46"/>
      <c r="JDA100" s="46"/>
      <c r="JDB100" s="46"/>
      <c r="JDC100" s="46"/>
      <c r="JDD100" s="46"/>
      <c r="JDE100" s="46"/>
      <c r="JDF100" s="46"/>
      <c r="JDG100" s="46"/>
      <c r="JDH100" s="46"/>
      <c r="JDI100" s="46"/>
      <c r="JDJ100" s="46"/>
      <c r="JDK100" s="46"/>
      <c r="JDL100" s="46"/>
      <c r="JDM100" s="46"/>
      <c r="JDN100" s="46"/>
      <c r="JDO100" s="46"/>
      <c r="JDP100" s="46"/>
      <c r="JDQ100" s="46"/>
      <c r="JDR100" s="46"/>
      <c r="JDS100" s="46"/>
      <c r="JDT100" s="46"/>
      <c r="JDU100" s="46"/>
      <c r="JDV100" s="46"/>
      <c r="JDW100" s="46"/>
      <c r="JDX100" s="46"/>
      <c r="JDY100" s="46"/>
      <c r="JDZ100" s="46"/>
      <c r="JEA100" s="46"/>
      <c r="JEB100" s="46"/>
      <c r="JEC100" s="46"/>
      <c r="JED100" s="46"/>
      <c r="JEE100" s="46"/>
      <c r="JEF100" s="46"/>
      <c r="JEG100" s="46"/>
      <c r="JEH100" s="46"/>
      <c r="JEI100" s="46"/>
      <c r="JEJ100" s="46"/>
      <c r="JEK100" s="46"/>
      <c r="JEL100" s="46"/>
      <c r="JEM100" s="46"/>
      <c r="JEN100" s="46"/>
      <c r="JEO100" s="46"/>
      <c r="JEP100" s="46"/>
      <c r="JEQ100" s="46"/>
      <c r="JER100" s="46"/>
      <c r="JES100" s="46"/>
      <c r="JET100" s="46"/>
      <c r="JEU100" s="46"/>
      <c r="JEV100" s="46"/>
      <c r="JEW100" s="46"/>
      <c r="JEX100" s="46"/>
      <c r="JEY100" s="46"/>
      <c r="JEZ100" s="46"/>
      <c r="JFA100" s="46"/>
      <c r="JFB100" s="46"/>
      <c r="JFC100" s="46"/>
      <c r="JFD100" s="46"/>
      <c r="JFE100" s="46"/>
      <c r="JFF100" s="46"/>
      <c r="JFG100" s="46"/>
      <c r="JFH100" s="46"/>
      <c r="JFI100" s="46"/>
      <c r="JFJ100" s="46"/>
      <c r="JFK100" s="46"/>
      <c r="JFL100" s="46"/>
      <c r="JFM100" s="46"/>
      <c r="JFN100" s="46"/>
      <c r="JFO100" s="46"/>
      <c r="JFP100" s="46"/>
      <c r="JFQ100" s="46"/>
      <c r="JFR100" s="46"/>
      <c r="JFS100" s="46"/>
      <c r="JFT100" s="46"/>
      <c r="JFU100" s="46"/>
      <c r="JFV100" s="46"/>
      <c r="JFW100" s="46"/>
      <c r="JFX100" s="46"/>
      <c r="JFY100" s="46"/>
      <c r="JFZ100" s="46"/>
      <c r="JGA100" s="46"/>
      <c r="JGB100" s="46"/>
      <c r="JGC100" s="46"/>
      <c r="JGD100" s="46"/>
      <c r="JGE100" s="46"/>
      <c r="JGF100" s="46"/>
      <c r="JGG100" s="46"/>
      <c r="JGH100" s="46"/>
      <c r="JGI100" s="46"/>
      <c r="JGJ100" s="46"/>
      <c r="JGK100" s="46"/>
      <c r="JGL100" s="46"/>
      <c r="JGM100" s="46"/>
      <c r="JGN100" s="46"/>
      <c r="JGO100" s="46"/>
      <c r="JGP100" s="46"/>
      <c r="JGQ100" s="46"/>
      <c r="JGR100" s="46"/>
      <c r="JGS100" s="46"/>
      <c r="JGT100" s="46"/>
      <c r="JGU100" s="46"/>
      <c r="JGV100" s="46"/>
      <c r="JGW100" s="46"/>
      <c r="JGX100" s="46"/>
      <c r="JGY100" s="46"/>
      <c r="JGZ100" s="46"/>
      <c r="JHA100" s="46"/>
      <c r="JHB100" s="46"/>
      <c r="JHC100" s="46"/>
      <c r="JHD100" s="46"/>
      <c r="JHE100" s="46"/>
      <c r="JHF100" s="46"/>
      <c r="JHG100" s="46"/>
      <c r="JHH100" s="46"/>
      <c r="JHI100" s="46"/>
      <c r="JHJ100" s="46"/>
      <c r="JHK100" s="46"/>
      <c r="JHL100" s="46"/>
      <c r="JHM100" s="46"/>
      <c r="JHN100" s="46"/>
      <c r="JHO100" s="46"/>
      <c r="JHP100" s="46"/>
      <c r="JHQ100" s="46"/>
      <c r="JHR100" s="46"/>
      <c r="JHS100" s="46"/>
      <c r="JHT100" s="46"/>
      <c r="JHU100" s="46"/>
      <c r="JHV100" s="46"/>
      <c r="JHW100" s="46"/>
      <c r="JHX100" s="46"/>
      <c r="JHY100" s="46"/>
      <c r="JHZ100" s="46"/>
      <c r="JIA100" s="46"/>
      <c r="JIB100" s="46"/>
      <c r="JIC100" s="46"/>
      <c r="JID100" s="46"/>
      <c r="JIE100" s="46"/>
      <c r="JIF100" s="46"/>
      <c r="JIG100" s="46"/>
      <c r="JIH100" s="46"/>
      <c r="JII100" s="46"/>
      <c r="JIJ100" s="46"/>
      <c r="JIK100" s="46"/>
      <c r="JIL100" s="46"/>
      <c r="JIM100" s="46"/>
      <c r="JIN100" s="46"/>
      <c r="JIO100" s="46"/>
      <c r="JIP100" s="46"/>
      <c r="JIQ100" s="46"/>
      <c r="JIR100" s="46"/>
      <c r="JIS100" s="46"/>
      <c r="JIT100" s="46"/>
      <c r="JIU100" s="46"/>
      <c r="JIV100" s="46"/>
      <c r="JIW100" s="46"/>
      <c r="JIX100" s="46"/>
      <c r="JIY100" s="46"/>
      <c r="JIZ100" s="46"/>
      <c r="JJA100" s="46"/>
      <c r="JJB100" s="46"/>
      <c r="JJC100" s="46"/>
      <c r="JJD100" s="46"/>
      <c r="JJE100" s="46"/>
      <c r="JJF100" s="46"/>
      <c r="JJG100" s="46"/>
      <c r="JJH100" s="46"/>
      <c r="JJI100" s="46"/>
      <c r="JJJ100" s="46"/>
      <c r="JJK100" s="46"/>
      <c r="JJL100" s="46"/>
      <c r="JJM100" s="46"/>
      <c r="JJN100" s="46"/>
      <c r="JJO100" s="46"/>
      <c r="JJP100" s="46"/>
      <c r="JJQ100" s="46"/>
      <c r="JJR100" s="46"/>
      <c r="JJS100" s="46"/>
      <c r="JJT100" s="46"/>
      <c r="JJU100" s="46"/>
      <c r="JJV100" s="46"/>
      <c r="JJW100" s="46"/>
      <c r="JJX100" s="46"/>
      <c r="JJY100" s="46"/>
      <c r="JJZ100" s="46"/>
      <c r="JKA100" s="46"/>
      <c r="JKB100" s="46"/>
      <c r="JKC100" s="46"/>
      <c r="JKD100" s="46"/>
      <c r="JKE100" s="46"/>
      <c r="JKF100" s="46"/>
      <c r="JKG100" s="46"/>
      <c r="JKH100" s="46"/>
      <c r="JKI100" s="46"/>
      <c r="JKJ100" s="46"/>
      <c r="JKK100" s="46"/>
      <c r="JKL100" s="46"/>
      <c r="JKM100" s="46"/>
      <c r="JKN100" s="46"/>
      <c r="JKO100" s="46"/>
      <c r="JKP100" s="46"/>
      <c r="JKQ100" s="46"/>
      <c r="JKR100" s="46"/>
      <c r="JKS100" s="46"/>
      <c r="JKT100" s="46"/>
      <c r="JKU100" s="46"/>
      <c r="JKV100" s="46"/>
      <c r="JKW100" s="46"/>
      <c r="JKX100" s="46"/>
      <c r="JKY100" s="46"/>
      <c r="JKZ100" s="46"/>
      <c r="JLA100" s="46"/>
      <c r="JLB100" s="46"/>
      <c r="JLC100" s="46"/>
      <c r="JLD100" s="46"/>
      <c r="JLE100" s="46"/>
      <c r="JLF100" s="46"/>
      <c r="JLG100" s="46"/>
      <c r="JLH100" s="46"/>
      <c r="JLI100" s="46"/>
      <c r="JLJ100" s="46"/>
      <c r="JLK100" s="46"/>
      <c r="JLL100" s="46"/>
      <c r="JLM100" s="46"/>
      <c r="JLN100" s="46"/>
      <c r="JLO100" s="46"/>
      <c r="JLP100" s="46"/>
      <c r="JLQ100" s="46"/>
      <c r="JLR100" s="46"/>
      <c r="JLS100" s="46"/>
      <c r="JLT100" s="46"/>
      <c r="JLU100" s="46"/>
      <c r="JLV100" s="46"/>
      <c r="JLW100" s="46"/>
      <c r="JLX100" s="46"/>
      <c r="JLY100" s="46"/>
      <c r="JLZ100" s="46"/>
      <c r="JMA100" s="46"/>
      <c r="JMB100" s="46"/>
      <c r="JMC100" s="46"/>
      <c r="JMD100" s="46"/>
      <c r="JME100" s="46"/>
      <c r="JMF100" s="46"/>
      <c r="JMG100" s="46"/>
      <c r="JMH100" s="46"/>
      <c r="JMI100" s="46"/>
      <c r="JMJ100" s="46"/>
      <c r="JMK100" s="46"/>
      <c r="JML100" s="46"/>
      <c r="JMM100" s="46"/>
      <c r="JMN100" s="46"/>
      <c r="JMO100" s="46"/>
      <c r="JMP100" s="46"/>
      <c r="JMQ100" s="46"/>
      <c r="JMR100" s="46"/>
      <c r="JMS100" s="46"/>
      <c r="JMT100" s="46"/>
      <c r="JMU100" s="46"/>
      <c r="JMV100" s="46"/>
      <c r="JMW100" s="46"/>
      <c r="JMX100" s="46"/>
      <c r="JMY100" s="46"/>
      <c r="JMZ100" s="46"/>
      <c r="JNA100" s="46"/>
      <c r="JNB100" s="46"/>
      <c r="JNC100" s="46"/>
      <c r="JND100" s="46"/>
      <c r="JNE100" s="46"/>
      <c r="JNF100" s="46"/>
      <c r="JNG100" s="46"/>
      <c r="JNH100" s="46"/>
      <c r="JNI100" s="46"/>
      <c r="JNJ100" s="46"/>
      <c r="JNK100" s="46"/>
      <c r="JNL100" s="46"/>
      <c r="JNM100" s="46"/>
      <c r="JNN100" s="46"/>
      <c r="JNO100" s="46"/>
      <c r="JNP100" s="46"/>
      <c r="JNQ100" s="46"/>
      <c r="JNR100" s="46"/>
      <c r="JNS100" s="46"/>
      <c r="JNT100" s="46"/>
      <c r="JNU100" s="46"/>
      <c r="JNV100" s="46"/>
      <c r="JNW100" s="46"/>
      <c r="JNX100" s="46"/>
      <c r="JNY100" s="46"/>
      <c r="JNZ100" s="46"/>
      <c r="JOA100" s="46"/>
      <c r="JOB100" s="46"/>
      <c r="JOC100" s="46"/>
      <c r="JOD100" s="46"/>
      <c r="JOE100" s="46"/>
      <c r="JOF100" s="46"/>
      <c r="JOG100" s="46"/>
      <c r="JOH100" s="46"/>
      <c r="JOI100" s="46"/>
      <c r="JOJ100" s="46"/>
      <c r="JOK100" s="46"/>
      <c r="JOL100" s="46"/>
      <c r="JOM100" s="46"/>
      <c r="JON100" s="46"/>
      <c r="JOO100" s="46"/>
      <c r="JOP100" s="46"/>
      <c r="JOQ100" s="46"/>
      <c r="JOR100" s="46"/>
      <c r="JOS100" s="46"/>
      <c r="JOT100" s="46"/>
      <c r="JOU100" s="46"/>
      <c r="JOV100" s="46"/>
      <c r="JOW100" s="46"/>
      <c r="JOX100" s="46"/>
      <c r="JOY100" s="46"/>
      <c r="JOZ100" s="46"/>
      <c r="JPA100" s="46"/>
      <c r="JPB100" s="46"/>
      <c r="JPC100" s="46"/>
      <c r="JPD100" s="46"/>
      <c r="JPE100" s="46"/>
      <c r="JPF100" s="46"/>
      <c r="JPG100" s="46"/>
      <c r="JPH100" s="46"/>
      <c r="JPI100" s="46"/>
      <c r="JPJ100" s="46"/>
      <c r="JPK100" s="46"/>
      <c r="JPL100" s="46"/>
      <c r="JPM100" s="46"/>
      <c r="JPN100" s="46"/>
      <c r="JPO100" s="46"/>
      <c r="JPP100" s="46"/>
      <c r="JPQ100" s="46"/>
      <c r="JPR100" s="46"/>
      <c r="JPS100" s="46"/>
      <c r="JPT100" s="46"/>
      <c r="JPU100" s="46"/>
      <c r="JPV100" s="46"/>
      <c r="JPW100" s="46"/>
      <c r="JPX100" s="46"/>
      <c r="JPY100" s="46"/>
      <c r="JPZ100" s="46"/>
      <c r="JQA100" s="46"/>
      <c r="JQB100" s="46"/>
      <c r="JQC100" s="46"/>
      <c r="JQD100" s="46"/>
      <c r="JQE100" s="46"/>
      <c r="JQF100" s="46"/>
      <c r="JQG100" s="46"/>
      <c r="JQH100" s="46"/>
      <c r="JQI100" s="46"/>
      <c r="JQJ100" s="46"/>
      <c r="JQK100" s="46"/>
      <c r="JQL100" s="46"/>
      <c r="JQM100" s="46"/>
      <c r="JQN100" s="46"/>
      <c r="JQO100" s="46"/>
      <c r="JQP100" s="46"/>
      <c r="JQQ100" s="46"/>
      <c r="JQR100" s="46"/>
      <c r="JQS100" s="46"/>
      <c r="JQT100" s="46"/>
      <c r="JQU100" s="46"/>
      <c r="JQV100" s="46"/>
      <c r="JQW100" s="46"/>
      <c r="JQX100" s="46"/>
      <c r="JQY100" s="46"/>
      <c r="JQZ100" s="46"/>
      <c r="JRA100" s="46"/>
      <c r="JRB100" s="46"/>
      <c r="JRC100" s="46"/>
      <c r="JRD100" s="46"/>
      <c r="JRE100" s="46"/>
      <c r="JRF100" s="46"/>
      <c r="JRG100" s="46"/>
      <c r="JRH100" s="46"/>
      <c r="JRI100" s="46"/>
      <c r="JRJ100" s="46"/>
      <c r="JRK100" s="46"/>
      <c r="JRL100" s="46"/>
      <c r="JRM100" s="46"/>
      <c r="JRN100" s="46"/>
      <c r="JRO100" s="46"/>
      <c r="JRP100" s="46"/>
      <c r="JRQ100" s="46"/>
      <c r="JRR100" s="46"/>
      <c r="JRS100" s="46"/>
      <c r="JRT100" s="46"/>
      <c r="JRU100" s="46"/>
      <c r="JRV100" s="46"/>
      <c r="JRW100" s="46"/>
      <c r="JRX100" s="46"/>
      <c r="JRY100" s="46"/>
      <c r="JRZ100" s="46"/>
      <c r="JSA100" s="46"/>
      <c r="JSB100" s="46"/>
      <c r="JSC100" s="46"/>
      <c r="JSD100" s="46"/>
      <c r="JSE100" s="46"/>
      <c r="JSF100" s="46"/>
      <c r="JSG100" s="46"/>
      <c r="JSH100" s="46"/>
      <c r="JSI100" s="46"/>
      <c r="JSJ100" s="46"/>
      <c r="JSK100" s="46"/>
      <c r="JSL100" s="46"/>
      <c r="JSM100" s="46"/>
      <c r="JSN100" s="46"/>
      <c r="JSO100" s="46"/>
      <c r="JSP100" s="46"/>
      <c r="JSQ100" s="46"/>
      <c r="JSR100" s="46"/>
      <c r="JSS100" s="46"/>
      <c r="JST100" s="46"/>
      <c r="JSU100" s="46"/>
      <c r="JSV100" s="46"/>
      <c r="JSW100" s="46"/>
      <c r="JSX100" s="46"/>
      <c r="JSY100" s="46"/>
      <c r="JSZ100" s="46"/>
      <c r="JTA100" s="46"/>
      <c r="JTB100" s="46"/>
      <c r="JTC100" s="46"/>
      <c r="JTD100" s="46"/>
      <c r="JTE100" s="46"/>
      <c r="JTF100" s="46"/>
      <c r="JTG100" s="46"/>
      <c r="JTH100" s="46"/>
      <c r="JTI100" s="46"/>
      <c r="JTJ100" s="46"/>
      <c r="JTK100" s="46"/>
      <c r="JTL100" s="46"/>
      <c r="JTM100" s="46"/>
      <c r="JTN100" s="46"/>
      <c r="JTO100" s="46"/>
      <c r="JTP100" s="46"/>
      <c r="JTQ100" s="46"/>
      <c r="JTR100" s="46"/>
      <c r="JTS100" s="46"/>
      <c r="JTT100" s="46"/>
      <c r="JTU100" s="46"/>
      <c r="JTV100" s="46"/>
      <c r="JTW100" s="46"/>
      <c r="JTX100" s="46"/>
      <c r="JTY100" s="46"/>
      <c r="JTZ100" s="46"/>
      <c r="JUA100" s="46"/>
      <c r="JUB100" s="46"/>
      <c r="JUC100" s="46"/>
      <c r="JUD100" s="46"/>
      <c r="JUE100" s="46"/>
      <c r="JUF100" s="46"/>
      <c r="JUG100" s="46"/>
      <c r="JUH100" s="46"/>
      <c r="JUI100" s="46"/>
      <c r="JUJ100" s="46"/>
      <c r="JUK100" s="46"/>
      <c r="JUL100" s="46"/>
      <c r="JUM100" s="46"/>
      <c r="JUN100" s="46"/>
      <c r="JUO100" s="46"/>
      <c r="JUP100" s="46"/>
      <c r="JUQ100" s="46"/>
      <c r="JUR100" s="46"/>
      <c r="JUS100" s="46"/>
      <c r="JUT100" s="46"/>
      <c r="JUU100" s="46"/>
      <c r="JUV100" s="46"/>
      <c r="JUW100" s="46"/>
      <c r="JUX100" s="46"/>
      <c r="JUY100" s="46"/>
      <c r="JUZ100" s="46"/>
      <c r="JVA100" s="46"/>
      <c r="JVB100" s="46"/>
      <c r="JVC100" s="46"/>
      <c r="JVD100" s="46"/>
      <c r="JVE100" s="46"/>
      <c r="JVF100" s="46"/>
      <c r="JVG100" s="46"/>
      <c r="JVH100" s="46"/>
      <c r="JVI100" s="46"/>
      <c r="JVJ100" s="46"/>
      <c r="JVK100" s="46"/>
      <c r="JVL100" s="46"/>
      <c r="JVM100" s="46"/>
      <c r="JVN100" s="46"/>
      <c r="JVO100" s="46"/>
      <c r="JVP100" s="46"/>
      <c r="JVQ100" s="46"/>
      <c r="JVR100" s="46"/>
      <c r="JVS100" s="46"/>
      <c r="JVT100" s="46"/>
      <c r="JVU100" s="46"/>
      <c r="JVV100" s="46"/>
      <c r="JVW100" s="46"/>
      <c r="JVX100" s="46"/>
      <c r="JVY100" s="46"/>
      <c r="JVZ100" s="46"/>
      <c r="JWA100" s="46"/>
      <c r="JWB100" s="46"/>
      <c r="JWC100" s="46"/>
      <c r="JWD100" s="46"/>
      <c r="JWE100" s="46"/>
      <c r="JWF100" s="46"/>
      <c r="JWG100" s="46"/>
      <c r="JWH100" s="46"/>
      <c r="JWI100" s="46"/>
      <c r="JWJ100" s="46"/>
      <c r="JWK100" s="46"/>
      <c r="JWL100" s="46"/>
      <c r="JWM100" s="46"/>
      <c r="JWN100" s="46"/>
      <c r="JWO100" s="46"/>
      <c r="JWP100" s="46"/>
      <c r="JWQ100" s="46"/>
      <c r="JWR100" s="46"/>
      <c r="JWS100" s="46"/>
      <c r="JWT100" s="46"/>
      <c r="JWU100" s="46"/>
      <c r="JWV100" s="46"/>
      <c r="JWW100" s="46"/>
      <c r="JWX100" s="46"/>
      <c r="JWY100" s="46"/>
      <c r="JWZ100" s="46"/>
      <c r="JXA100" s="46"/>
      <c r="JXB100" s="46"/>
      <c r="JXC100" s="46"/>
      <c r="JXD100" s="46"/>
      <c r="JXE100" s="46"/>
      <c r="JXF100" s="46"/>
      <c r="JXG100" s="46"/>
      <c r="JXH100" s="46"/>
      <c r="JXI100" s="46"/>
      <c r="JXJ100" s="46"/>
      <c r="JXK100" s="46"/>
      <c r="JXL100" s="46"/>
      <c r="JXM100" s="46"/>
      <c r="JXN100" s="46"/>
      <c r="JXO100" s="46"/>
      <c r="JXP100" s="46"/>
      <c r="JXQ100" s="46"/>
      <c r="JXR100" s="46"/>
      <c r="JXS100" s="46"/>
      <c r="JXT100" s="46"/>
      <c r="JXU100" s="46"/>
      <c r="JXV100" s="46"/>
      <c r="JXW100" s="46"/>
      <c r="JXX100" s="46"/>
      <c r="JXY100" s="46"/>
      <c r="JXZ100" s="46"/>
      <c r="JYA100" s="46"/>
      <c r="JYB100" s="46"/>
      <c r="JYC100" s="46"/>
      <c r="JYD100" s="46"/>
      <c r="JYE100" s="46"/>
      <c r="JYF100" s="46"/>
      <c r="JYG100" s="46"/>
      <c r="JYH100" s="46"/>
      <c r="JYI100" s="46"/>
      <c r="JYJ100" s="46"/>
      <c r="JYK100" s="46"/>
      <c r="JYL100" s="46"/>
      <c r="JYM100" s="46"/>
      <c r="JYN100" s="46"/>
      <c r="JYO100" s="46"/>
      <c r="JYP100" s="46"/>
      <c r="JYQ100" s="46"/>
      <c r="JYR100" s="46"/>
      <c r="JYS100" s="46"/>
      <c r="JYT100" s="46"/>
      <c r="JYU100" s="46"/>
      <c r="JYV100" s="46"/>
      <c r="JYW100" s="46"/>
      <c r="JYX100" s="46"/>
      <c r="JYY100" s="46"/>
      <c r="JYZ100" s="46"/>
      <c r="JZA100" s="46"/>
      <c r="JZB100" s="46"/>
      <c r="JZC100" s="46"/>
      <c r="JZD100" s="46"/>
      <c r="JZE100" s="46"/>
      <c r="JZF100" s="46"/>
      <c r="JZG100" s="46"/>
      <c r="JZH100" s="46"/>
      <c r="JZI100" s="46"/>
      <c r="JZJ100" s="46"/>
      <c r="JZK100" s="46"/>
      <c r="JZL100" s="46"/>
      <c r="JZM100" s="46"/>
      <c r="JZN100" s="46"/>
      <c r="JZO100" s="46"/>
      <c r="JZP100" s="46"/>
      <c r="JZQ100" s="46"/>
      <c r="JZR100" s="46"/>
      <c r="JZS100" s="46"/>
      <c r="JZT100" s="46"/>
      <c r="JZU100" s="46"/>
      <c r="JZV100" s="46"/>
      <c r="JZW100" s="46"/>
      <c r="JZX100" s="46"/>
      <c r="JZY100" s="46"/>
      <c r="JZZ100" s="46"/>
      <c r="KAA100" s="46"/>
      <c r="KAB100" s="46"/>
      <c r="KAC100" s="46"/>
      <c r="KAD100" s="46"/>
      <c r="KAE100" s="46"/>
      <c r="KAF100" s="46"/>
      <c r="KAG100" s="46"/>
      <c r="KAH100" s="46"/>
      <c r="KAI100" s="46"/>
      <c r="KAJ100" s="46"/>
      <c r="KAK100" s="46"/>
      <c r="KAL100" s="46"/>
      <c r="KAM100" s="46"/>
      <c r="KAN100" s="46"/>
      <c r="KAO100" s="46"/>
      <c r="KAP100" s="46"/>
      <c r="KAQ100" s="46"/>
      <c r="KAR100" s="46"/>
      <c r="KAS100" s="46"/>
      <c r="KAT100" s="46"/>
      <c r="KAU100" s="46"/>
      <c r="KAV100" s="46"/>
      <c r="KAW100" s="46"/>
      <c r="KAX100" s="46"/>
      <c r="KAY100" s="46"/>
      <c r="KAZ100" s="46"/>
      <c r="KBA100" s="46"/>
      <c r="KBB100" s="46"/>
      <c r="KBC100" s="46"/>
      <c r="KBD100" s="46"/>
      <c r="KBE100" s="46"/>
      <c r="KBF100" s="46"/>
      <c r="KBG100" s="46"/>
      <c r="KBH100" s="46"/>
      <c r="KBI100" s="46"/>
      <c r="KBJ100" s="46"/>
      <c r="KBK100" s="46"/>
      <c r="KBL100" s="46"/>
      <c r="KBM100" s="46"/>
      <c r="KBN100" s="46"/>
      <c r="KBO100" s="46"/>
      <c r="KBP100" s="46"/>
      <c r="KBQ100" s="46"/>
      <c r="KBR100" s="46"/>
      <c r="KBS100" s="46"/>
      <c r="KBT100" s="46"/>
      <c r="KBU100" s="46"/>
      <c r="KBV100" s="46"/>
      <c r="KBW100" s="46"/>
      <c r="KBX100" s="46"/>
      <c r="KBY100" s="46"/>
      <c r="KBZ100" s="46"/>
      <c r="KCA100" s="46"/>
      <c r="KCB100" s="46"/>
      <c r="KCC100" s="46"/>
      <c r="KCD100" s="46"/>
      <c r="KCE100" s="46"/>
      <c r="KCF100" s="46"/>
      <c r="KCG100" s="46"/>
      <c r="KCH100" s="46"/>
      <c r="KCI100" s="46"/>
      <c r="KCJ100" s="46"/>
      <c r="KCK100" s="46"/>
      <c r="KCL100" s="46"/>
      <c r="KCM100" s="46"/>
      <c r="KCN100" s="46"/>
      <c r="KCO100" s="46"/>
      <c r="KCP100" s="46"/>
      <c r="KCQ100" s="46"/>
      <c r="KCR100" s="46"/>
      <c r="KCS100" s="46"/>
      <c r="KCT100" s="46"/>
      <c r="KCU100" s="46"/>
      <c r="KCV100" s="46"/>
      <c r="KCW100" s="46"/>
      <c r="KCX100" s="46"/>
      <c r="KCY100" s="46"/>
      <c r="KCZ100" s="46"/>
      <c r="KDA100" s="46"/>
      <c r="KDB100" s="46"/>
      <c r="KDC100" s="46"/>
      <c r="KDD100" s="46"/>
      <c r="KDE100" s="46"/>
      <c r="KDF100" s="46"/>
      <c r="KDG100" s="46"/>
      <c r="KDH100" s="46"/>
      <c r="KDI100" s="46"/>
      <c r="KDJ100" s="46"/>
      <c r="KDK100" s="46"/>
      <c r="KDL100" s="46"/>
      <c r="KDM100" s="46"/>
      <c r="KDN100" s="46"/>
      <c r="KDO100" s="46"/>
      <c r="KDP100" s="46"/>
      <c r="KDQ100" s="46"/>
      <c r="KDR100" s="46"/>
      <c r="KDS100" s="46"/>
      <c r="KDT100" s="46"/>
      <c r="KDU100" s="46"/>
      <c r="KDV100" s="46"/>
      <c r="KDW100" s="46"/>
      <c r="KDX100" s="46"/>
      <c r="KDY100" s="46"/>
      <c r="KDZ100" s="46"/>
      <c r="KEA100" s="46"/>
      <c r="KEB100" s="46"/>
      <c r="KEC100" s="46"/>
      <c r="KED100" s="46"/>
      <c r="KEE100" s="46"/>
      <c r="KEF100" s="46"/>
      <c r="KEG100" s="46"/>
      <c r="KEH100" s="46"/>
      <c r="KEI100" s="46"/>
      <c r="KEJ100" s="46"/>
      <c r="KEK100" s="46"/>
      <c r="KEL100" s="46"/>
      <c r="KEM100" s="46"/>
      <c r="KEN100" s="46"/>
      <c r="KEO100" s="46"/>
      <c r="KEP100" s="46"/>
      <c r="KEQ100" s="46"/>
      <c r="KER100" s="46"/>
      <c r="KES100" s="46"/>
      <c r="KET100" s="46"/>
      <c r="KEU100" s="46"/>
      <c r="KEV100" s="46"/>
      <c r="KEW100" s="46"/>
      <c r="KEX100" s="46"/>
      <c r="KEY100" s="46"/>
      <c r="KEZ100" s="46"/>
      <c r="KFA100" s="46"/>
      <c r="KFB100" s="46"/>
      <c r="KFC100" s="46"/>
      <c r="KFD100" s="46"/>
      <c r="KFE100" s="46"/>
      <c r="KFF100" s="46"/>
      <c r="KFG100" s="46"/>
      <c r="KFH100" s="46"/>
      <c r="KFI100" s="46"/>
      <c r="KFJ100" s="46"/>
      <c r="KFK100" s="46"/>
      <c r="KFL100" s="46"/>
      <c r="KFM100" s="46"/>
      <c r="KFN100" s="46"/>
      <c r="KFO100" s="46"/>
      <c r="KFP100" s="46"/>
      <c r="KFQ100" s="46"/>
      <c r="KFR100" s="46"/>
      <c r="KFS100" s="46"/>
      <c r="KFT100" s="46"/>
      <c r="KFU100" s="46"/>
      <c r="KFV100" s="46"/>
      <c r="KFW100" s="46"/>
      <c r="KFX100" s="46"/>
      <c r="KFY100" s="46"/>
      <c r="KFZ100" s="46"/>
      <c r="KGA100" s="46"/>
      <c r="KGB100" s="46"/>
      <c r="KGC100" s="46"/>
      <c r="KGD100" s="46"/>
      <c r="KGE100" s="46"/>
      <c r="KGF100" s="46"/>
      <c r="KGG100" s="46"/>
      <c r="KGH100" s="46"/>
      <c r="KGI100" s="46"/>
      <c r="KGJ100" s="46"/>
      <c r="KGK100" s="46"/>
      <c r="KGL100" s="46"/>
      <c r="KGM100" s="46"/>
      <c r="KGN100" s="46"/>
      <c r="KGO100" s="46"/>
      <c r="KGP100" s="46"/>
      <c r="KGQ100" s="46"/>
      <c r="KGR100" s="46"/>
      <c r="KGS100" s="46"/>
      <c r="KGT100" s="46"/>
      <c r="KGU100" s="46"/>
      <c r="KGV100" s="46"/>
      <c r="KGW100" s="46"/>
      <c r="KGX100" s="46"/>
      <c r="KGY100" s="46"/>
      <c r="KGZ100" s="46"/>
      <c r="KHA100" s="46"/>
      <c r="KHB100" s="46"/>
      <c r="KHC100" s="46"/>
      <c r="KHD100" s="46"/>
      <c r="KHE100" s="46"/>
      <c r="KHF100" s="46"/>
      <c r="KHG100" s="46"/>
      <c r="KHH100" s="46"/>
      <c r="KHI100" s="46"/>
      <c r="KHJ100" s="46"/>
      <c r="KHK100" s="46"/>
      <c r="KHL100" s="46"/>
      <c r="KHM100" s="46"/>
      <c r="KHN100" s="46"/>
      <c r="KHO100" s="46"/>
      <c r="KHP100" s="46"/>
      <c r="KHQ100" s="46"/>
      <c r="KHR100" s="46"/>
      <c r="KHS100" s="46"/>
      <c r="KHT100" s="46"/>
      <c r="KHU100" s="46"/>
      <c r="KHV100" s="46"/>
      <c r="KHW100" s="46"/>
      <c r="KHX100" s="46"/>
      <c r="KHY100" s="46"/>
      <c r="KHZ100" s="46"/>
      <c r="KIA100" s="46"/>
      <c r="KIB100" s="46"/>
      <c r="KIC100" s="46"/>
      <c r="KID100" s="46"/>
      <c r="KIE100" s="46"/>
      <c r="KIF100" s="46"/>
      <c r="KIG100" s="46"/>
      <c r="KIH100" s="46"/>
      <c r="KII100" s="46"/>
      <c r="KIJ100" s="46"/>
      <c r="KIK100" s="46"/>
      <c r="KIL100" s="46"/>
      <c r="KIM100" s="46"/>
      <c r="KIN100" s="46"/>
      <c r="KIO100" s="46"/>
      <c r="KIP100" s="46"/>
      <c r="KIQ100" s="46"/>
      <c r="KIR100" s="46"/>
      <c r="KIS100" s="46"/>
      <c r="KIT100" s="46"/>
      <c r="KIU100" s="46"/>
      <c r="KIV100" s="46"/>
      <c r="KIW100" s="46"/>
      <c r="KIX100" s="46"/>
      <c r="KIY100" s="46"/>
      <c r="KIZ100" s="46"/>
      <c r="KJA100" s="46"/>
      <c r="KJB100" s="46"/>
      <c r="KJC100" s="46"/>
      <c r="KJD100" s="46"/>
      <c r="KJE100" s="46"/>
      <c r="KJF100" s="46"/>
      <c r="KJG100" s="46"/>
      <c r="KJH100" s="46"/>
      <c r="KJI100" s="46"/>
      <c r="KJJ100" s="46"/>
      <c r="KJK100" s="46"/>
      <c r="KJL100" s="46"/>
      <c r="KJM100" s="46"/>
      <c r="KJN100" s="46"/>
      <c r="KJO100" s="46"/>
      <c r="KJP100" s="46"/>
      <c r="KJQ100" s="46"/>
      <c r="KJR100" s="46"/>
      <c r="KJS100" s="46"/>
      <c r="KJT100" s="46"/>
      <c r="KJU100" s="46"/>
      <c r="KJV100" s="46"/>
      <c r="KJW100" s="46"/>
      <c r="KJX100" s="46"/>
      <c r="KJY100" s="46"/>
      <c r="KJZ100" s="46"/>
      <c r="KKA100" s="46"/>
      <c r="KKB100" s="46"/>
      <c r="KKC100" s="46"/>
      <c r="KKD100" s="46"/>
      <c r="KKE100" s="46"/>
      <c r="KKF100" s="46"/>
      <c r="KKG100" s="46"/>
      <c r="KKH100" s="46"/>
      <c r="KKI100" s="46"/>
      <c r="KKJ100" s="46"/>
      <c r="KKK100" s="46"/>
      <c r="KKL100" s="46"/>
      <c r="KKM100" s="46"/>
      <c r="KKN100" s="46"/>
      <c r="KKO100" s="46"/>
      <c r="KKP100" s="46"/>
      <c r="KKQ100" s="46"/>
      <c r="KKR100" s="46"/>
      <c r="KKS100" s="46"/>
      <c r="KKT100" s="46"/>
      <c r="KKU100" s="46"/>
      <c r="KKV100" s="46"/>
      <c r="KKW100" s="46"/>
      <c r="KKX100" s="46"/>
      <c r="KKY100" s="46"/>
      <c r="KKZ100" s="46"/>
      <c r="KLA100" s="46"/>
      <c r="KLB100" s="46"/>
      <c r="KLC100" s="46"/>
      <c r="KLD100" s="46"/>
      <c r="KLE100" s="46"/>
      <c r="KLF100" s="46"/>
      <c r="KLG100" s="46"/>
      <c r="KLH100" s="46"/>
      <c r="KLI100" s="46"/>
      <c r="KLJ100" s="46"/>
      <c r="KLK100" s="46"/>
      <c r="KLL100" s="46"/>
      <c r="KLM100" s="46"/>
      <c r="KLN100" s="46"/>
      <c r="KLO100" s="46"/>
      <c r="KLP100" s="46"/>
      <c r="KLQ100" s="46"/>
      <c r="KLR100" s="46"/>
      <c r="KLS100" s="46"/>
      <c r="KLT100" s="46"/>
      <c r="KLU100" s="46"/>
      <c r="KLV100" s="46"/>
      <c r="KLW100" s="46"/>
      <c r="KLX100" s="46"/>
      <c r="KLY100" s="46"/>
      <c r="KLZ100" s="46"/>
      <c r="KMA100" s="46"/>
      <c r="KMB100" s="46"/>
      <c r="KMC100" s="46"/>
      <c r="KMD100" s="46"/>
      <c r="KME100" s="46"/>
      <c r="KMF100" s="46"/>
      <c r="KMG100" s="46"/>
      <c r="KMH100" s="46"/>
      <c r="KMI100" s="46"/>
      <c r="KMJ100" s="46"/>
      <c r="KMK100" s="46"/>
      <c r="KML100" s="46"/>
      <c r="KMM100" s="46"/>
      <c r="KMN100" s="46"/>
      <c r="KMO100" s="46"/>
      <c r="KMP100" s="46"/>
      <c r="KMQ100" s="46"/>
      <c r="KMR100" s="46"/>
      <c r="KMS100" s="46"/>
      <c r="KMT100" s="46"/>
      <c r="KMU100" s="46"/>
      <c r="KMV100" s="46"/>
      <c r="KMW100" s="46"/>
      <c r="KMX100" s="46"/>
      <c r="KMY100" s="46"/>
      <c r="KMZ100" s="46"/>
      <c r="KNA100" s="46"/>
      <c r="KNB100" s="46"/>
      <c r="KNC100" s="46"/>
      <c r="KND100" s="46"/>
      <c r="KNE100" s="46"/>
      <c r="KNF100" s="46"/>
      <c r="KNG100" s="46"/>
      <c r="KNH100" s="46"/>
      <c r="KNI100" s="46"/>
      <c r="KNJ100" s="46"/>
      <c r="KNK100" s="46"/>
      <c r="KNL100" s="46"/>
      <c r="KNM100" s="46"/>
      <c r="KNN100" s="46"/>
      <c r="KNO100" s="46"/>
      <c r="KNP100" s="46"/>
      <c r="KNQ100" s="46"/>
      <c r="KNR100" s="46"/>
      <c r="KNS100" s="46"/>
      <c r="KNT100" s="46"/>
      <c r="KNU100" s="46"/>
      <c r="KNV100" s="46"/>
      <c r="KNW100" s="46"/>
      <c r="KNX100" s="46"/>
      <c r="KNY100" s="46"/>
      <c r="KNZ100" s="46"/>
      <c r="KOA100" s="46"/>
      <c r="KOB100" s="46"/>
      <c r="KOC100" s="46"/>
      <c r="KOD100" s="46"/>
      <c r="KOE100" s="46"/>
      <c r="KOF100" s="46"/>
      <c r="KOG100" s="46"/>
      <c r="KOH100" s="46"/>
      <c r="KOI100" s="46"/>
      <c r="KOJ100" s="46"/>
      <c r="KOK100" s="46"/>
      <c r="KOL100" s="46"/>
      <c r="KOM100" s="46"/>
      <c r="KON100" s="46"/>
      <c r="KOO100" s="46"/>
      <c r="KOP100" s="46"/>
      <c r="KOQ100" s="46"/>
      <c r="KOR100" s="46"/>
      <c r="KOS100" s="46"/>
      <c r="KOT100" s="46"/>
      <c r="KOU100" s="46"/>
      <c r="KOV100" s="46"/>
      <c r="KOW100" s="46"/>
      <c r="KOX100" s="46"/>
      <c r="KOY100" s="46"/>
      <c r="KOZ100" s="46"/>
      <c r="KPA100" s="46"/>
      <c r="KPB100" s="46"/>
      <c r="KPC100" s="46"/>
      <c r="KPD100" s="46"/>
      <c r="KPE100" s="46"/>
      <c r="KPF100" s="46"/>
      <c r="KPG100" s="46"/>
      <c r="KPH100" s="46"/>
      <c r="KPI100" s="46"/>
      <c r="KPJ100" s="46"/>
      <c r="KPK100" s="46"/>
      <c r="KPL100" s="46"/>
      <c r="KPM100" s="46"/>
      <c r="KPN100" s="46"/>
      <c r="KPO100" s="46"/>
      <c r="KPP100" s="46"/>
      <c r="KPQ100" s="46"/>
      <c r="KPR100" s="46"/>
      <c r="KPS100" s="46"/>
      <c r="KPT100" s="46"/>
      <c r="KPU100" s="46"/>
      <c r="KPV100" s="46"/>
      <c r="KPW100" s="46"/>
      <c r="KPX100" s="46"/>
      <c r="KPY100" s="46"/>
      <c r="KPZ100" s="46"/>
      <c r="KQA100" s="46"/>
      <c r="KQB100" s="46"/>
      <c r="KQC100" s="46"/>
      <c r="KQD100" s="46"/>
      <c r="KQE100" s="46"/>
      <c r="KQF100" s="46"/>
      <c r="KQG100" s="46"/>
      <c r="KQH100" s="46"/>
      <c r="KQI100" s="46"/>
      <c r="KQJ100" s="46"/>
      <c r="KQK100" s="46"/>
      <c r="KQL100" s="46"/>
      <c r="KQM100" s="46"/>
      <c r="KQN100" s="46"/>
      <c r="KQO100" s="46"/>
      <c r="KQP100" s="46"/>
      <c r="KQQ100" s="46"/>
      <c r="KQR100" s="46"/>
      <c r="KQS100" s="46"/>
      <c r="KQT100" s="46"/>
      <c r="KQU100" s="46"/>
      <c r="KQV100" s="46"/>
      <c r="KQW100" s="46"/>
      <c r="KQX100" s="46"/>
      <c r="KQY100" s="46"/>
      <c r="KQZ100" s="46"/>
      <c r="KRA100" s="46"/>
      <c r="KRB100" s="46"/>
      <c r="KRC100" s="46"/>
      <c r="KRD100" s="46"/>
      <c r="KRE100" s="46"/>
      <c r="KRF100" s="46"/>
      <c r="KRG100" s="46"/>
      <c r="KRH100" s="46"/>
      <c r="KRI100" s="46"/>
      <c r="KRJ100" s="46"/>
      <c r="KRK100" s="46"/>
      <c r="KRL100" s="46"/>
      <c r="KRM100" s="46"/>
      <c r="KRN100" s="46"/>
      <c r="KRO100" s="46"/>
      <c r="KRP100" s="46"/>
      <c r="KRQ100" s="46"/>
      <c r="KRR100" s="46"/>
      <c r="KRS100" s="46"/>
      <c r="KRT100" s="46"/>
      <c r="KRU100" s="46"/>
      <c r="KRV100" s="46"/>
      <c r="KRW100" s="46"/>
      <c r="KRX100" s="46"/>
      <c r="KRY100" s="46"/>
      <c r="KRZ100" s="46"/>
      <c r="KSA100" s="46"/>
      <c r="KSB100" s="46"/>
      <c r="KSC100" s="46"/>
      <c r="KSD100" s="46"/>
      <c r="KSE100" s="46"/>
      <c r="KSF100" s="46"/>
      <c r="KSG100" s="46"/>
      <c r="KSH100" s="46"/>
      <c r="KSI100" s="46"/>
      <c r="KSJ100" s="46"/>
      <c r="KSK100" s="46"/>
      <c r="KSL100" s="46"/>
      <c r="KSM100" s="46"/>
      <c r="KSN100" s="46"/>
      <c r="KSO100" s="46"/>
      <c r="KSP100" s="46"/>
      <c r="KSQ100" s="46"/>
      <c r="KSR100" s="46"/>
      <c r="KSS100" s="46"/>
      <c r="KST100" s="46"/>
      <c r="KSU100" s="46"/>
      <c r="KSV100" s="46"/>
      <c r="KSW100" s="46"/>
      <c r="KSX100" s="46"/>
      <c r="KSY100" s="46"/>
      <c r="KSZ100" s="46"/>
      <c r="KTA100" s="46"/>
      <c r="KTB100" s="46"/>
      <c r="KTC100" s="46"/>
      <c r="KTD100" s="46"/>
      <c r="KTE100" s="46"/>
      <c r="KTF100" s="46"/>
      <c r="KTG100" s="46"/>
      <c r="KTH100" s="46"/>
      <c r="KTI100" s="46"/>
      <c r="KTJ100" s="46"/>
      <c r="KTK100" s="46"/>
      <c r="KTL100" s="46"/>
      <c r="KTM100" s="46"/>
      <c r="KTN100" s="46"/>
      <c r="KTO100" s="46"/>
      <c r="KTP100" s="46"/>
      <c r="KTQ100" s="46"/>
      <c r="KTR100" s="46"/>
      <c r="KTS100" s="46"/>
      <c r="KTT100" s="46"/>
      <c r="KTU100" s="46"/>
      <c r="KTV100" s="46"/>
      <c r="KTW100" s="46"/>
      <c r="KTX100" s="46"/>
      <c r="KTY100" s="46"/>
      <c r="KTZ100" s="46"/>
      <c r="KUA100" s="46"/>
      <c r="KUB100" s="46"/>
      <c r="KUC100" s="46"/>
      <c r="KUD100" s="46"/>
      <c r="KUE100" s="46"/>
      <c r="KUF100" s="46"/>
      <c r="KUG100" s="46"/>
      <c r="KUH100" s="46"/>
      <c r="KUI100" s="46"/>
      <c r="KUJ100" s="46"/>
      <c r="KUK100" s="46"/>
      <c r="KUL100" s="46"/>
      <c r="KUM100" s="46"/>
      <c r="KUN100" s="46"/>
      <c r="KUO100" s="46"/>
      <c r="KUP100" s="46"/>
      <c r="KUQ100" s="46"/>
      <c r="KUR100" s="46"/>
      <c r="KUS100" s="46"/>
      <c r="KUT100" s="46"/>
      <c r="KUU100" s="46"/>
      <c r="KUV100" s="46"/>
      <c r="KUW100" s="46"/>
      <c r="KUX100" s="46"/>
      <c r="KUY100" s="46"/>
      <c r="KUZ100" s="46"/>
      <c r="KVA100" s="46"/>
      <c r="KVB100" s="46"/>
      <c r="KVC100" s="46"/>
      <c r="KVD100" s="46"/>
      <c r="KVE100" s="46"/>
      <c r="KVF100" s="46"/>
      <c r="KVG100" s="46"/>
      <c r="KVH100" s="46"/>
      <c r="KVI100" s="46"/>
      <c r="KVJ100" s="46"/>
      <c r="KVK100" s="46"/>
      <c r="KVL100" s="46"/>
      <c r="KVM100" s="46"/>
      <c r="KVN100" s="46"/>
      <c r="KVO100" s="46"/>
      <c r="KVP100" s="46"/>
      <c r="KVQ100" s="46"/>
      <c r="KVR100" s="46"/>
      <c r="KVS100" s="46"/>
      <c r="KVT100" s="46"/>
      <c r="KVU100" s="46"/>
      <c r="KVV100" s="46"/>
      <c r="KVW100" s="46"/>
      <c r="KVX100" s="46"/>
      <c r="KVY100" s="46"/>
      <c r="KVZ100" s="46"/>
      <c r="KWA100" s="46"/>
      <c r="KWB100" s="46"/>
      <c r="KWC100" s="46"/>
      <c r="KWD100" s="46"/>
      <c r="KWE100" s="46"/>
      <c r="KWF100" s="46"/>
      <c r="KWG100" s="46"/>
      <c r="KWH100" s="46"/>
      <c r="KWI100" s="46"/>
      <c r="KWJ100" s="46"/>
      <c r="KWK100" s="46"/>
      <c r="KWL100" s="46"/>
      <c r="KWM100" s="46"/>
      <c r="KWN100" s="46"/>
      <c r="KWO100" s="46"/>
      <c r="KWP100" s="46"/>
      <c r="KWQ100" s="46"/>
      <c r="KWR100" s="46"/>
      <c r="KWS100" s="46"/>
      <c r="KWT100" s="46"/>
      <c r="KWU100" s="46"/>
      <c r="KWV100" s="46"/>
      <c r="KWW100" s="46"/>
      <c r="KWX100" s="46"/>
      <c r="KWY100" s="46"/>
      <c r="KWZ100" s="46"/>
      <c r="KXA100" s="46"/>
      <c r="KXB100" s="46"/>
      <c r="KXC100" s="46"/>
      <c r="KXD100" s="46"/>
      <c r="KXE100" s="46"/>
      <c r="KXF100" s="46"/>
      <c r="KXG100" s="46"/>
      <c r="KXH100" s="46"/>
      <c r="KXI100" s="46"/>
      <c r="KXJ100" s="46"/>
      <c r="KXK100" s="46"/>
      <c r="KXL100" s="46"/>
      <c r="KXM100" s="46"/>
      <c r="KXN100" s="46"/>
      <c r="KXO100" s="46"/>
      <c r="KXP100" s="46"/>
      <c r="KXQ100" s="46"/>
      <c r="KXR100" s="46"/>
      <c r="KXS100" s="46"/>
      <c r="KXT100" s="46"/>
      <c r="KXU100" s="46"/>
      <c r="KXV100" s="46"/>
      <c r="KXW100" s="46"/>
      <c r="KXX100" s="46"/>
      <c r="KXY100" s="46"/>
      <c r="KXZ100" s="46"/>
      <c r="KYA100" s="46"/>
      <c r="KYB100" s="46"/>
      <c r="KYC100" s="46"/>
      <c r="KYD100" s="46"/>
      <c r="KYE100" s="46"/>
      <c r="KYF100" s="46"/>
      <c r="KYG100" s="46"/>
      <c r="KYH100" s="46"/>
      <c r="KYI100" s="46"/>
      <c r="KYJ100" s="46"/>
      <c r="KYK100" s="46"/>
      <c r="KYL100" s="46"/>
      <c r="KYM100" s="46"/>
      <c r="KYN100" s="46"/>
      <c r="KYO100" s="46"/>
      <c r="KYP100" s="46"/>
      <c r="KYQ100" s="46"/>
      <c r="KYR100" s="46"/>
      <c r="KYS100" s="46"/>
      <c r="KYT100" s="46"/>
      <c r="KYU100" s="46"/>
      <c r="KYV100" s="46"/>
      <c r="KYW100" s="46"/>
      <c r="KYX100" s="46"/>
      <c r="KYY100" s="46"/>
      <c r="KYZ100" s="46"/>
      <c r="KZA100" s="46"/>
      <c r="KZB100" s="46"/>
      <c r="KZC100" s="46"/>
      <c r="KZD100" s="46"/>
      <c r="KZE100" s="46"/>
      <c r="KZF100" s="46"/>
      <c r="KZG100" s="46"/>
      <c r="KZH100" s="46"/>
      <c r="KZI100" s="46"/>
      <c r="KZJ100" s="46"/>
      <c r="KZK100" s="46"/>
      <c r="KZL100" s="46"/>
      <c r="KZM100" s="46"/>
      <c r="KZN100" s="46"/>
      <c r="KZO100" s="46"/>
      <c r="KZP100" s="46"/>
      <c r="KZQ100" s="46"/>
      <c r="KZR100" s="46"/>
      <c r="KZS100" s="46"/>
      <c r="KZT100" s="46"/>
      <c r="KZU100" s="46"/>
      <c r="KZV100" s="46"/>
      <c r="KZW100" s="46"/>
      <c r="KZX100" s="46"/>
      <c r="KZY100" s="46"/>
      <c r="KZZ100" s="46"/>
      <c r="LAA100" s="46"/>
      <c r="LAB100" s="46"/>
      <c r="LAC100" s="46"/>
      <c r="LAD100" s="46"/>
      <c r="LAE100" s="46"/>
      <c r="LAF100" s="46"/>
      <c r="LAG100" s="46"/>
      <c r="LAH100" s="46"/>
      <c r="LAI100" s="46"/>
      <c r="LAJ100" s="46"/>
      <c r="LAK100" s="46"/>
      <c r="LAL100" s="46"/>
      <c r="LAM100" s="46"/>
      <c r="LAN100" s="46"/>
      <c r="LAO100" s="46"/>
      <c r="LAP100" s="46"/>
      <c r="LAQ100" s="46"/>
      <c r="LAR100" s="46"/>
      <c r="LAS100" s="46"/>
      <c r="LAT100" s="46"/>
      <c r="LAU100" s="46"/>
      <c r="LAV100" s="46"/>
      <c r="LAW100" s="46"/>
      <c r="LAX100" s="46"/>
      <c r="LAY100" s="46"/>
      <c r="LAZ100" s="46"/>
      <c r="LBA100" s="46"/>
      <c r="LBB100" s="46"/>
      <c r="LBC100" s="46"/>
      <c r="LBD100" s="46"/>
      <c r="LBE100" s="46"/>
      <c r="LBF100" s="46"/>
      <c r="LBG100" s="46"/>
      <c r="LBH100" s="46"/>
      <c r="LBI100" s="46"/>
      <c r="LBJ100" s="46"/>
      <c r="LBK100" s="46"/>
      <c r="LBL100" s="46"/>
      <c r="LBM100" s="46"/>
      <c r="LBN100" s="46"/>
      <c r="LBO100" s="46"/>
      <c r="LBP100" s="46"/>
      <c r="LBQ100" s="46"/>
      <c r="LBR100" s="46"/>
      <c r="LBS100" s="46"/>
      <c r="LBT100" s="46"/>
      <c r="LBU100" s="46"/>
      <c r="LBV100" s="46"/>
      <c r="LBW100" s="46"/>
      <c r="LBX100" s="46"/>
      <c r="LBY100" s="46"/>
      <c r="LBZ100" s="46"/>
      <c r="LCA100" s="46"/>
      <c r="LCB100" s="46"/>
      <c r="LCC100" s="46"/>
      <c r="LCD100" s="46"/>
      <c r="LCE100" s="46"/>
      <c r="LCF100" s="46"/>
      <c r="LCG100" s="46"/>
      <c r="LCH100" s="46"/>
      <c r="LCI100" s="46"/>
      <c r="LCJ100" s="46"/>
      <c r="LCK100" s="46"/>
      <c r="LCL100" s="46"/>
      <c r="LCM100" s="46"/>
      <c r="LCN100" s="46"/>
      <c r="LCO100" s="46"/>
      <c r="LCP100" s="46"/>
      <c r="LCQ100" s="46"/>
      <c r="LCR100" s="46"/>
      <c r="LCS100" s="46"/>
      <c r="LCT100" s="46"/>
      <c r="LCU100" s="46"/>
      <c r="LCV100" s="46"/>
      <c r="LCW100" s="46"/>
      <c r="LCX100" s="46"/>
      <c r="LCY100" s="46"/>
      <c r="LCZ100" s="46"/>
      <c r="LDA100" s="46"/>
      <c r="LDB100" s="46"/>
      <c r="LDC100" s="46"/>
      <c r="LDD100" s="46"/>
      <c r="LDE100" s="46"/>
      <c r="LDF100" s="46"/>
      <c r="LDG100" s="46"/>
      <c r="LDH100" s="46"/>
      <c r="LDI100" s="46"/>
      <c r="LDJ100" s="46"/>
      <c r="LDK100" s="46"/>
      <c r="LDL100" s="46"/>
      <c r="LDM100" s="46"/>
      <c r="LDN100" s="46"/>
      <c r="LDO100" s="46"/>
      <c r="LDP100" s="46"/>
      <c r="LDQ100" s="46"/>
      <c r="LDR100" s="46"/>
      <c r="LDS100" s="46"/>
      <c r="LDT100" s="46"/>
      <c r="LDU100" s="46"/>
      <c r="LDV100" s="46"/>
      <c r="LDW100" s="46"/>
      <c r="LDX100" s="46"/>
      <c r="LDY100" s="46"/>
      <c r="LDZ100" s="46"/>
      <c r="LEA100" s="46"/>
      <c r="LEB100" s="46"/>
      <c r="LEC100" s="46"/>
      <c r="LED100" s="46"/>
      <c r="LEE100" s="46"/>
      <c r="LEF100" s="46"/>
      <c r="LEG100" s="46"/>
      <c r="LEH100" s="46"/>
      <c r="LEI100" s="46"/>
      <c r="LEJ100" s="46"/>
      <c r="LEK100" s="46"/>
      <c r="LEL100" s="46"/>
      <c r="LEM100" s="46"/>
      <c r="LEN100" s="46"/>
      <c r="LEO100" s="46"/>
      <c r="LEP100" s="46"/>
      <c r="LEQ100" s="46"/>
      <c r="LER100" s="46"/>
      <c r="LES100" s="46"/>
      <c r="LET100" s="46"/>
      <c r="LEU100" s="46"/>
      <c r="LEV100" s="46"/>
      <c r="LEW100" s="46"/>
      <c r="LEX100" s="46"/>
      <c r="LEY100" s="46"/>
      <c r="LEZ100" s="46"/>
      <c r="LFA100" s="46"/>
      <c r="LFB100" s="46"/>
      <c r="LFC100" s="46"/>
      <c r="LFD100" s="46"/>
      <c r="LFE100" s="46"/>
      <c r="LFF100" s="46"/>
      <c r="LFG100" s="46"/>
      <c r="LFH100" s="46"/>
      <c r="LFI100" s="46"/>
      <c r="LFJ100" s="46"/>
      <c r="LFK100" s="46"/>
      <c r="LFL100" s="46"/>
      <c r="LFM100" s="46"/>
      <c r="LFN100" s="46"/>
      <c r="LFO100" s="46"/>
      <c r="LFP100" s="46"/>
      <c r="LFQ100" s="46"/>
      <c r="LFR100" s="46"/>
      <c r="LFS100" s="46"/>
      <c r="LFT100" s="46"/>
      <c r="LFU100" s="46"/>
      <c r="LFV100" s="46"/>
      <c r="LFW100" s="46"/>
      <c r="LFX100" s="46"/>
      <c r="LFY100" s="46"/>
      <c r="LFZ100" s="46"/>
      <c r="LGA100" s="46"/>
      <c r="LGB100" s="46"/>
      <c r="LGC100" s="46"/>
      <c r="LGD100" s="46"/>
      <c r="LGE100" s="46"/>
      <c r="LGF100" s="46"/>
      <c r="LGG100" s="46"/>
      <c r="LGH100" s="46"/>
      <c r="LGI100" s="46"/>
      <c r="LGJ100" s="46"/>
      <c r="LGK100" s="46"/>
      <c r="LGL100" s="46"/>
      <c r="LGM100" s="46"/>
      <c r="LGN100" s="46"/>
      <c r="LGO100" s="46"/>
      <c r="LGP100" s="46"/>
      <c r="LGQ100" s="46"/>
      <c r="LGR100" s="46"/>
      <c r="LGS100" s="46"/>
      <c r="LGT100" s="46"/>
      <c r="LGU100" s="46"/>
      <c r="LGV100" s="46"/>
      <c r="LGW100" s="46"/>
      <c r="LGX100" s="46"/>
      <c r="LGY100" s="46"/>
      <c r="LGZ100" s="46"/>
      <c r="LHA100" s="46"/>
      <c r="LHB100" s="46"/>
      <c r="LHC100" s="46"/>
      <c r="LHD100" s="46"/>
      <c r="LHE100" s="46"/>
      <c r="LHF100" s="46"/>
      <c r="LHG100" s="46"/>
      <c r="LHH100" s="46"/>
      <c r="LHI100" s="46"/>
      <c r="LHJ100" s="46"/>
      <c r="LHK100" s="46"/>
      <c r="LHL100" s="46"/>
      <c r="LHM100" s="46"/>
      <c r="LHN100" s="46"/>
      <c r="LHO100" s="46"/>
      <c r="LHP100" s="46"/>
      <c r="LHQ100" s="46"/>
      <c r="LHR100" s="46"/>
      <c r="LHS100" s="46"/>
      <c r="LHT100" s="46"/>
      <c r="LHU100" s="46"/>
      <c r="LHV100" s="46"/>
      <c r="LHW100" s="46"/>
      <c r="LHX100" s="46"/>
      <c r="LHY100" s="46"/>
      <c r="LHZ100" s="46"/>
      <c r="LIA100" s="46"/>
      <c r="LIB100" s="46"/>
      <c r="LIC100" s="46"/>
      <c r="LID100" s="46"/>
      <c r="LIE100" s="46"/>
      <c r="LIF100" s="46"/>
      <c r="LIG100" s="46"/>
      <c r="LIH100" s="46"/>
      <c r="LII100" s="46"/>
      <c r="LIJ100" s="46"/>
      <c r="LIK100" s="46"/>
      <c r="LIL100" s="46"/>
      <c r="LIM100" s="46"/>
      <c r="LIN100" s="46"/>
      <c r="LIO100" s="46"/>
      <c r="LIP100" s="46"/>
      <c r="LIQ100" s="46"/>
      <c r="LIR100" s="46"/>
      <c r="LIS100" s="46"/>
      <c r="LIT100" s="46"/>
      <c r="LIU100" s="46"/>
      <c r="LIV100" s="46"/>
      <c r="LIW100" s="46"/>
      <c r="LIX100" s="46"/>
      <c r="LIY100" s="46"/>
      <c r="LIZ100" s="46"/>
      <c r="LJA100" s="46"/>
      <c r="LJB100" s="46"/>
      <c r="LJC100" s="46"/>
      <c r="LJD100" s="46"/>
      <c r="LJE100" s="46"/>
      <c r="LJF100" s="46"/>
      <c r="LJG100" s="46"/>
      <c r="LJH100" s="46"/>
      <c r="LJI100" s="46"/>
      <c r="LJJ100" s="46"/>
      <c r="LJK100" s="46"/>
      <c r="LJL100" s="46"/>
      <c r="LJM100" s="46"/>
      <c r="LJN100" s="46"/>
      <c r="LJO100" s="46"/>
      <c r="LJP100" s="46"/>
      <c r="LJQ100" s="46"/>
      <c r="LJR100" s="46"/>
      <c r="LJS100" s="46"/>
      <c r="LJT100" s="46"/>
      <c r="LJU100" s="46"/>
      <c r="LJV100" s="46"/>
      <c r="LJW100" s="46"/>
      <c r="LJX100" s="46"/>
      <c r="LJY100" s="46"/>
      <c r="LJZ100" s="46"/>
      <c r="LKA100" s="46"/>
      <c r="LKB100" s="46"/>
      <c r="LKC100" s="46"/>
      <c r="LKD100" s="46"/>
      <c r="LKE100" s="46"/>
      <c r="LKF100" s="46"/>
      <c r="LKG100" s="46"/>
      <c r="LKH100" s="46"/>
      <c r="LKI100" s="46"/>
      <c r="LKJ100" s="46"/>
      <c r="LKK100" s="46"/>
      <c r="LKL100" s="46"/>
      <c r="LKM100" s="46"/>
      <c r="LKN100" s="46"/>
      <c r="LKO100" s="46"/>
      <c r="LKP100" s="46"/>
      <c r="LKQ100" s="46"/>
      <c r="LKR100" s="46"/>
      <c r="LKS100" s="46"/>
      <c r="LKT100" s="46"/>
      <c r="LKU100" s="46"/>
      <c r="LKV100" s="46"/>
      <c r="LKW100" s="46"/>
      <c r="LKX100" s="46"/>
      <c r="LKY100" s="46"/>
      <c r="LKZ100" s="46"/>
      <c r="LLA100" s="46"/>
      <c r="LLB100" s="46"/>
      <c r="LLC100" s="46"/>
      <c r="LLD100" s="46"/>
      <c r="LLE100" s="46"/>
      <c r="LLF100" s="46"/>
      <c r="LLG100" s="46"/>
      <c r="LLH100" s="46"/>
      <c r="LLI100" s="46"/>
      <c r="LLJ100" s="46"/>
      <c r="LLK100" s="46"/>
      <c r="LLL100" s="46"/>
      <c r="LLM100" s="46"/>
      <c r="LLN100" s="46"/>
      <c r="LLO100" s="46"/>
      <c r="LLP100" s="46"/>
      <c r="LLQ100" s="46"/>
      <c r="LLR100" s="46"/>
      <c r="LLS100" s="46"/>
      <c r="LLT100" s="46"/>
      <c r="LLU100" s="46"/>
      <c r="LLV100" s="46"/>
      <c r="LLW100" s="46"/>
      <c r="LLX100" s="46"/>
      <c r="LLY100" s="46"/>
      <c r="LLZ100" s="46"/>
      <c r="LMA100" s="46"/>
      <c r="LMB100" s="46"/>
      <c r="LMC100" s="46"/>
      <c r="LMD100" s="46"/>
      <c r="LME100" s="46"/>
      <c r="LMF100" s="46"/>
      <c r="LMG100" s="46"/>
      <c r="LMH100" s="46"/>
      <c r="LMI100" s="46"/>
      <c r="LMJ100" s="46"/>
      <c r="LMK100" s="46"/>
      <c r="LML100" s="46"/>
      <c r="LMM100" s="46"/>
      <c r="LMN100" s="46"/>
      <c r="LMO100" s="46"/>
      <c r="LMP100" s="46"/>
      <c r="LMQ100" s="46"/>
      <c r="LMR100" s="46"/>
      <c r="LMS100" s="46"/>
      <c r="LMT100" s="46"/>
      <c r="LMU100" s="46"/>
      <c r="LMV100" s="46"/>
      <c r="LMW100" s="46"/>
      <c r="LMX100" s="46"/>
      <c r="LMY100" s="46"/>
      <c r="LMZ100" s="46"/>
      <c r="LNA100" s="46"/>
      <c r="LNB100" s="46"/>
      <c r="LNC100" s="46"/>
      <c r="LND100" s="46"/>
      <c r="LNE100" s="46"/>
      <c r="LNF100" s="46"/>
      <c r="LNG100" s="46"/>
      <c r="LNH100" s="46"/>
      <c r="LNI100" s="46"/>
      <c r="LNJ100" s="46"/>
      <c r="LNK100" s="46"/>
      <c r="LNL100" s="46"/>
      <c r="LNM100" s="46"/>
      <c r="LNN100" s="46"/>
      <c r="LNO100" s="46"/>
      <c r="LNP100" s="46"/>
      <c r="LNQ100" s="46"/>
      <c r="LNR100" s="46"/>
      <c r="LNS100" s="46"/>
      <c r="LNT100" s="46"/>
      <c r="LNU100" s="46"/>
      <c r="LNV100" s="46"/>
      <c r="LNW100" s="46"/>
      <c r="LNX100" s="46"/>
      <c r="LNY100" s="46"/>
      <c r="LNZ100" s="46"/>
      <c r="LOA100" s="46"/>
      <c r="LOB100" s="46"/>
      <c r="LOC100" s="46"/>
      <c r="LOD100" s="46"/>
      <c r="LOE100" s="46"/>
      <c r="LOF100" s="46"/>
      <c r="LOG100" s="46"/>
      <c r="LOH100" s="46"/>
      <c r="LOI100" s="46"/>
      <c r="LOJ100" s="46"/>
      <c r="LOK100" s="46"/>
      <c r="LOL100" s="46"/>
      <c r="LOM100" s="46"/>
      <c r="LON100" s="46"/>
      <c r="LOO100" s="46"/>
      <c r="LOP100" s="46"/>
      <c r="LOQ100" s="46"/>
      <c r="LOR100" s="46"/>
      <c r="LOS100" s="46"/>
      <c r="LOT100" s="46"/>
      <c r="LOU100" s="46"/>
      <c r="LOV100" s="46"/>
      <c r="LOW100" s="46"/>
      <c r="LOX100" s="46"/>
      <c r="LOY100" s="46"/>
      <c r="LOZ100" s="46"/>
      <c r="LPA100" s="46"/>
      <c r="LPB100" s="46"/>
      <c r="LPC100" s="46"/>
      <c r="LPD100" s="46"/>
      <c r="LPE100" s="46"/>
      <c r="LPF100" s="46"/>
      <c r="LPG100" s="46"/>
      <c r="LPH100" s="46"/>
      <c r="LPI100" s="46"/>
      <c r="LPJ100" s="46"/>
      <c r="LPK100" s="46"/>
      <c r="LPL100" s="46"/>
      <c r="LPM100" s="46"/>
      <c r="LPN100" s="46"/>
      <c r="LPO100" s="46"/>
      <c r="LPP100" s="46"/>
      <c r="LPQ100" s="46"/>
      <c r="LPR100" s="46"/>
      <c r="LPS100" s="46"/>
      <c r="LPT100" s="46"/>
      <c r="LPU100" s="46"/>
      <c r="LPV100" s="46"/>
      <c r="LPW100" s="46"/>
      <c r="LPX100" s="46"/>
      <c r="LPY100" s="46"/>
      <c r="LPZ100" s="46"/>
      <c r="LQA100" s="46"/>
      <c r="LQB100" s="46"/>
      <c r="LQC100" s="46"/>
      <c r="LQD100" s="46"/>
      <c r="LQE100" s="46"/>
      <c r="LQF100" s="46"/>
      <c r="LQG100" s="46"/>
      <c r="LQH100" s="46"/>
      <c r="LQI100" s="46"/>
      <c r="LQJ100" s="46"/>
      <c r="LQK100" s="46"/>
      <c r="LQL100" s="46"/>
      <c r="LQM100" s="46"/>
      <c r="LQN100" s="46"/>
      <c r="LQO100" s="46"/>
      <c r="LQP100" s="46"/>
      <c r="LQQ100" s="46"/>
      <c r="LQR100" s="46"/>
      <c r="LQS100" s="46"/>
      <c r="LQT100" s="46"/>
      <c r="LQU100" s="46"/>
      <c r="LQV100" s="46"/>
      <c r="LQW100" s="46"/>
      <c r="LQX100" s="46"/>
      <c r="LQY100" s="46"/>
      <c r="LQZ100" s="46"/>
      <c r="LRA100" s="46"/>
      <c r="LRB100" s="46"/>
      <c r="LRC100" s="46"/>
      <c r="LRD100" s="46"/>
      <c r="LRE100" s="46"/>
      <c r="LRF100" s="46"/>
      <c r="LRG100" s="46"/>
      <c r="LRH100" s="46"/>
      <c r="LRI100" s="46"/>
      <c r="LRJ100" s="46"/>
      <c r="LRK100" s="46"/>
      <c r="LRL100" s="46"/>
      <c r="LRM100" s="46"/>
      <c r="LRN100" s="46"/>
      <c r="LRO100" s="46"/>
      <c r="LRP100" s="46"/>
      <c r="LRQ100" s="46"/>
      <c r="LRR100" s="46"/>
      <c r="LRS100" s="46"/>
      <c r="LRT100" s="46"/>
      <c r="LRU100" s="46"/>
      <c r="LRV100" s="46"/>
      <c r="LRW100" s="46"/>
      <c r="LRX100" s="46"/>
      <c r="LRY100" s="46"/>
      <c r="LRZ100" s="46"/>
      <c r="LSA100" s="46"/>
      <c r="LSB100" s="46"/>
      <c r="LSC100" s="46"/>
      <c r="LSD100" s="46"/>
      <c r="LSE100" s="46"/>
      <c r="LSF100" s="46"/>
      <c r="LSG100" s="46"/>
      <c r="LSH100" s="46"/>
      <c r="LSI100" s="46"/>
      <c r="LSJ100" s="46"/>
      <c r="LSK100" s="46"/>
      <c r="LSL100" s="46"/>
      <c r="LSM100" s="46"/>
      <c r="LSN100" s="46"/>
      <c r="LSO100" s="46"/>
      <c r="LSP100" s="46"/>
      <c r="LSQ100" s="46"/>
      <c r="LSR100" s="46"/>
      <c r="LSS100" s="46"/>
      <c r="LST100" s="46"/>
      <c r="LSU100" s="46"/>
      <c r="LSV100" s="46"/>
      <c r="LSW100" s="46"/>
      <c r="LSX100" s="46"/>
      <c r="LSY100" s="46"/>
      <c r="LSZ100" s="46"/>
      <c r="LTA100" s="46"/>
      <c r="LTB100" s="46"/>
      <c r="LTC100" s="46"/>
      <c r="LTD100" s="46"/>
      <c r="LTE100" s="46"/>
      <c r="LTF100" s="46"/>
      <c r="LTG100" s="46"/>
      <c r="LTH100" s="46"/>
      <c r="LTI100" s="46"/>
      <c r="LTJ100" s="46"/>
      <c r="LTK100" s="46"/>
      <c r="LTL100" s="46"/>
      <c r="LTM100" s="46"/>
      <c r="LTN100" s="46"/>
      <c r="LTO100" s="46"/>
      <c r="LTP100" s="46"/>
      <c r="LTQ100" s="46"/>
      <c r="LTR100" s="46"/>
      <c r="LTS100" s="46"/>
      <c r="LTT100" s="46"/>
      <c r="LTU100" s="46"/>
      <c r="LTV100" s="46"/>
      <c r="LTW100" s="46"/>
      <c r="LTX100" s="46"/>
      <c r="LTY100" s="46"/>
      <c r="LTZ100" s="46"/>
      <c r="LUA100" s="46"/>
      <c r="LUB100" s="46"/>
      <c r="LUC100" s="46"/>
      <c r="LUD100" s="46"/>
      <c r="LUE100" s="46"/>
      <c r="LUF100" s="46"/>
      <c r="LUG100" s="46"/>
      <c r="LUH100" s="46"/>
      <c r="LUI100" s="46"/>
      <c r="LUJ100" s="46"/>
      <c r="LUK100" s="46"/>
      <c r="LUL100" s="46"/>
      <c r="LUM100" s="46"/>
      <c r="LUN100" s="46"/>
      <c r="LUO100" s="46"/>
      <c r="LUP100" s="46"/>
      <c r="LUQ100" s="46"/>
      <c r="LUR100" s="46"/>
      <c r="LUS100" s="46"/>
      <c r="LUT100" s="46"/>
      <c r="LUU100" s="46"/>
      <c r="LUV100" s="46"/>
      <c r="LUW100" s="46"/>
      <c r="LUX100" s="46"/>
      <c r="LUY100" s="46"/>
      <c r="LUZ100" s="46"/>
      <c r="LVA100" s="46"/>
      <c r="LVB100" s="46"/>
      <c r="LVC100" s="46"/>
      <c r="LVD100" s="46"/>
      <c r="LVE100" s="46"/>
      <c r="LVF100" s="46"/>
      <c r="LVG100" s="46"/>
      <c r="LVH100" s="46"/>
      <c r="LVI100" s="46"/>
      <c r="LVJ100" s="46"/>
      <c r="LVK100" s="46"/>
      <c r="LVL100" s="46"/>
      <c r="LVM100" s="46"/>
      <c r="LVN100" s="46"/>
      <c r="LVO100" s="46"/>
      <c r="LVP100" s="46"/>
      <c r="LVQ100" s="46"/>
      <c r="LVR100" s="46"/>
      <c r="LVS100" s="46"/>
      <c r="LVT100" s="46"/>
      <c r="LVU100" s="46"/>
      <c r="LVV100" s="46"/>
      <c r="LVW100" s="46"/>
      <c r="LVX100" s="46"/>
      <c r="LVY100" s="46"/>
      <c r="LVZ100" s="46"/>
      <c r="LWA100" s="46"/>
      <c r="LWB100" s="46"/>
      <c r="LWC100" s="46"/>
      <c r="LWD100" s="46"/>
      <c r="LWE100" s="46"/>
      <c r="LWF100" s="46"/>
      <c r="LWG100" s="46"/>
      <c r="LWH100" s="46"/>
      <c r="LWI100" s="46"/>
      <c r="LWJ100" s="46"/>
      <c r="LWK100" s="46"/>
      <c r="LWL100" s="46"/>
      <c r="LWM100" s="46"/>
      <c r="LWN100" s="46"/>
      <c r="LWO100" s="46"/>
      <c r="LWP100" s="46"/>
      <c r="LWQ100" s="46"/>
      <c r="LWR100" s="46"/>
      <c r="LWS100" s="46"/>
      <c r="LWT100" s="46"/>
      <c r="LWU100" s="46"/>
      <c r="LWV100" s="46"/>
      <c r="LWW100" s="46"/>
      <c r="LWX100" s="46"/>
      <c r="LWY100" s="46"/>
      <c r="LWZ100" s="46"/>
      <c r="LXA100" s="46"/>
      <c r="LXB100" s="46"/>
      <c r="LXC100" s="46"/>
      <c r="LXD100" s="46"/>
      <c r="LXE100" s="46"/>
      <c r="LXF100" s="46"/>
      <c r="LXG100" s="46"/>
      <c r="LXH100" s="46"/>
      <c r="LXI100" s="46"/>
      <c r="LXJ100" s="46"/>
      <c r="LXK100" s="46"/>
      <c r="LXL100" s="46"/>
      <c r="LXM100" s="46"/>
      <c r="LXN100" s="46"/>
      <c r="LXO100" s="46"/>
      <c r="LXP100" s="46"/>
      <c r="LXQ100" s="46"/>
      <c r="LXR100" s="46"/>
      <c r="LXS100" s="46"/>
      <c r="LXT100" s="46"/>
      <c r="LXU100" s="46"/>
      <c r="LXV100" s="46"/>
      <c r="LXW100" s="46"/>
      <c r="LXX100" s="46"/>
      <c r="LXY100" s="46"/>
      <c r="LXZ100" s="46"/>
      <c r="LYA100" s="46"/>
      <c r="LYB100" s="46"/>
      <c r="LYC100" s="46"/>
      <c r="LYD100" s="46"/>
      <c r="LYE100" s="46"/>
      <c r="LYF100" s="46"/>
      <c r="LYG100" s="46"/>
      <c r="LYH100" s="46"/>
      <c r="LYI100" s="46"/>
      <c r="LYJ100" s="46"/>
      <c r="LYK100" s="46"/>
      <c r="LYL100" s="46"/>
      <c r="LYM100" s="46"/>
      <c r="LYN100" s="46"/>
      <c r="LYO100" s="46"/>
      <c r="LYP100" s="46"/>
      <c r="LYQ100" s="46"/>
      <c r="LYR100" s="46"/>
      <c r="LYS100" s="46"/>
      <c r="LYT100" s="46"/>
      <c r="LYU100" s="46"/>
      <c r="LYV100" s="46"/>
      <c r="LYW100" s="46"/>
      <c r="LYX100" s="46"/>
      <c r="LYY100" s="46"/>
      <c r="LYZ100" s="46"/>
      <c r="LZA100" s="46"/>
      <c r="LZB100" s="46"/>
      <c r="LZC100" s="46"/>
      <c r="LZD100" s="46"/>
      <c r="LZE100" s="46"/>
      <c r="LZF100" s="46"/>
      <c r="LZG100" s="46"/>
      <c r="LZH100" s="46"/>
      <c r="LZI100" s="46"/>
      <c r="LZJ100" s="46"/>
      <c r="LZK100" s="46"/>
      <c r="LZL100" s="46"/>
      <c r="LZM100" s="46"/>
      <c r="LZN100" s="46"/>
      <c r="LZO100" s="46"/>
      <c r="LZP100" s="46"/>
      <c r="LZQ100" s="46"/>
      <c r="LZR100" s="46"/>
      <c r="LZS100" s="46"/>
      <c r="LZT100" s="46"/>
      <c r="LZU100" s="46"/>
      <c r="LZV100" s="46"/>
      <c r="LZW100" s="46"/>
      <c r="LZX100" s="46"/>
      <c r="LZY100" s="46"/>
      <c r="LZZ100" s="46"/>
      <c r="MAA100" s="46"/>
      <c r="MAB100" s="46"/>
      <c r="MAC100" s="46"/>
      <c r="MAD100" s="46"/>
      <c r="MAE100" s="46"/>
      <c r="MAF100" s="46"/>
      <c r="MAG100" s="46"/>
      <c r="MAH100" s="46"/>
      <c r="MAI100" s="46"/>
      <c r="MAJ100" s="46"/>
      <c r="MAK100" s="46"/>
      <c r="MAL100" s="46"/>
      <c r="MAM100" s="46"/>
      <c r="MAN100" s="46"/>
      <c r="MAO100" s="46"/>
      <c r="MAP100" s="46"/>
      <c r="MAQ100" s="46"/>
      <c r="MAR100" s="46"/>
      <c r="MAS100" s="46"/>
      <c r="MAT100" s="46"/>
      <c r="MAU100" s="46"/>
      <c r="MAV100" s="46"/>
      <c r="MAW100" s="46"/>
      <c r="MAX100" s="46"/>
      <c r="MAY100" s="46"/>
      <c r="MAZ100" s="46"/>
      <c r="MBA100" s="46"/>
      <c r="MBB100" s="46"/>
      <c r="MBC100" s="46"/>
      <c r="MBD100" s="46"/>
      <c r="MBE100" s="46"/>
      <c r="MBF100" s="46"/>
      <c r="MBG100" s="46"/>
      <c r="MBH100" s="46"/>
      <c r="MBI100" s="46"/>
      <c r="MBJ100" s="46"/>
      <c r="MBK100" s="46"/>
      <c r="MBL100" s="46"/>
      <c r="MBM100" s="46"/>
      <c r="MBN100" s="46"/>
      <c r="MBO100" s="46"/>
      <c r="MBP100" s="46"/>
      <c r="MBQ100" s="46"/>
      <c r="MBR100" s="46"/>
      <c r="MBS100" s="46"/>
      <c r="MBT100" s="46"/>
      <c r="MBU100" s="46"/>
      <c r="MBV100" s="46"/>
      <c r="MBW100" s="46"/>
      <c r="MBX100" s="46"/>
      <c r="MBY100" s="46"/>
      <c r="MBZ100" s="46"/>
      <c r="MCA100" s="46"/>
      <c r="MCB100" s="46"/>
      <c r="MCC100" s="46"/>
      <c r="MCD100" s="46"/>
      <c r="MCE100" s="46"/>
      <c r="MCF100" s="46"/>
      <c r="MCG100" s="46"/>
      <c r="MCH100" s="46"/>
      <c r="MCI100" s="46"/>
      <c r="MCJ100" s="46"/>
      <c r="MCK100" s="46"/>
      <c r="MCL100" s="46"/>
      <c r="MCM100" s="46"/>
      <c r="MCN100" s="46"/>
      <c r="MCO100" s="46"/>
      <c r="MCP100" s="46"/>
      <c r="MCQ100" s="46"/>
      <c r="MCR100" s="46"/>
      <c r="MCS100" s="46"/>
      <c r="MCT100" s="46"/>
      <c r="MCU100" s="46"/>
      <c r="MCV100" s="46"/>
      <c r="MCW100" s="46"/>
      <c r="MCX100" s="46"/>
      <c r="MCY100" s="46"/>
      <c r="MCZ100" s="46"/>
      <c r="MDA100" s="46"/>
      <c r="MDB100" s="46"/>
      <c r="MDC100" s="46"/>
      <c r="MDD100" s="46"/>
      <c r="MDE100" s="46"/>
      <c r="MDF100" s="46"/>
      <c r="MDG100" s="46"/>
      <c r="MDH100" s="46"/>
      <c r="MDI100" s="46"/>
      <c r="MDJ100" s="46"/>
      <c r="MDK100" s="46"/>
      <c r="MDL100" s="46"/>
      <c r="MDM100" s="46"/>
      <c r="MDN100" s="46"/>
      <c r="MDO100" s="46"/>
      <c r="MDP100" s="46"/>
      <c r="MDQ100" s="46"/>
      <c r="MDR100" s="46"/>
      <c r="MDS100" s="46"/>
      <c r="MDT100" s="46"/>
      <c r="MDU100" s="46"/>
      <c r="MDV100" s="46"/>
      <c r="MDW100" s="46"/>
      <c r="MDX100" s="46"/>
      <c r="MDY100" s="46"/>
      <c r="MDZ100" s="46"/>
      <c r="MEA100" s="46"/>
      <c r="MEB100" s="46"/>
      <c r="MEC100" s="46"/>
      <c r="MED100" s="46"/>
      <c r="MEE100" s="46"/>
      <c r="MEF100" s="46"/>
      <c r="MEG100" s="46"/>
      <c r="MEH100" s="46"/>
      <c r="MEI100" s="46"/>
      <c r="MEJ100" s="46"/>
      <c r="MEK100" s="46"/>
      <c r="MEL100" s="46"/>
      <c r="MEM100" s="46"/>
      <c r="MEN100" s="46"/>
      <c r="MEO100" s="46"/>
      <c r="MEP100" s="46"/>
      <c r="MEQ100" s="46"/>
      <c r="MER100" s="46"/>
      <c r="MES100" s="46"/>
      <c r="MET100" s="46"/>
      <c r="MEU100" s="46"/>
      <c r="MEV100" s="46"/>
      <c r="MEW100" s="46"/>
      <c r="MEX100" s="46"/>
      <c r="MEY100" s="46"/>
      <c r="MEZ100" s="46"/>
      <c r="MFA100" s="46"/>
      <c r="MFB100" s="46"/>
      <c r="MFC100" s="46"/>
      <c r="MFD100" s="46"/>
      <c r="MFE100" s="46"/>
      <c r="MFF100" s="46"/>
      <c r="MFG100" s="46"/>
      <c r="MFH100" s="46"/>
      <c r="MFI100" s="46"/>
      <c r="MFJ100" s="46"/>
      <c r="MFK100" s="46"/>
      <c r="MFL100" s="46"/>
      <c r="MFM100" s="46"/>
      <c r="MFN100" s="46"/>
      <c r="MFO100" s="46"/>
      <c r="MFP100" s="46"/>
      <c r="MFQ100" s="46"/>
      <c r="MFR100" s="46"/>
      <c r="MFS100" s="46"/>
      <c r="MFT100" s="46"/>
      <c r="MFU100" s="46"/>
      <c r="MFV100" s="46"/>
      <c r="MFW100" s="46"/>
      <c r="MFX100" s="46"/>
      <c r="MFY100" s="46"/>
      <c r="MFZ100" s="46"/>
      <c r="MGA100" s="46"/>
      <c r="MGB100" s="46"/>
      <c r="MGC100" s="46"/>
      <c r="MGD100" s="46"/>
      <c r="MGE100" s="46"/>
      <c r="MGF100" s="46"/>
      <c r="MGG100" s="46"/>
      <c r="MGH100" s="46"/>
      <c r="MGI100" s="46"/>
      <c r="MGJ100" s="46"/>
      <c r="MGK100" s="46"/>
      <c r="MGL100" s="46"/>
      <c r="MGM100" s="46"/>
      <c r="MGN100" s="46"/>
      <c r="MGO100" s="46"/>
      <c r="MGP100" s="46"/>
      <c r="MGQ100" s="46"/>
      <c r="MGR100" s="46"/>
      <c r="MGS100" s="46"/>
      <c r="MGT100" s="46"/>
      <c r="MGU100" s="46"/>
      <c r="MGV100" s="46"/>
      <c r="MGW100" s="46"/>
      <c r="MGX100" s="46"/>
      <c r="MGY100" s="46"/>
      <c r="MGZ100" s="46"/>
      <c r="MHA100" s="46"/>
      <c r="MHB100" s="46"/>
      <c r="MHC100" s="46"/>
      <c r="MHD100" s="46"/>
      <c r="MHE100" s="46"/>
      <c r="MHF100" s="46"/>
      <c r="MHG100" s="46"/>
      <c r="MHH100" s="46"/>
      <c r="MHI100" s="46"/>
      <c r="MHJ100" s="46"/>
      <c r="MHK100" s="46"/>
      <c r="MHL100" s="46"/>
      <c r="MHM100" s="46"/>
      <c r="MHN100" s="46"/>
      <c r="MHO100" s="46"/>
      <c r="MHP100" s="46"/>
      <c r="MHQ100" s="46"/>
      <c r="MHR100" s="46"/>
      <c r="MHS100" s="46"/>
      <c r="MHT100" s="46"/>
      <c r="MHU100" s="46"/>
      <c r="MHV100" s="46"/>
      <c r="MHW100" s="46"/>
      <c r="MHX100" s="46"/>
      <c r="MHY100" s="46"/>
      <c r="MHZ100" s="46"/>
      <c r="MIA100" s="46"/>
      <c r="MIB100" s="46"/>
      <c r="MIC100" s="46"/>
      <c r="MID100" s="46"/>
      <c r="MIE100" s="46"/>
      <c r="MIF100" s="46"/>
      <c r="MIG100" s="46"/>
      <c r="MIH100" s="46"/>
      <c r="MII100" s="46"/>
      <c r="MIJ100" s="46"/>
      <c r="MIK100" s="46"/>
      <c r="MIL100" s="46"/>
      <c r="MIM100" s="46"/>
      <c r="MIN100" s="46"/>
      <c r="MIO100" s="46"/>
      <c r="MIP100" s="46"/>
      <c r="MIQ100" s="46"/>
      <c r="MIR100" s="46"/>
      <c r="MIS100" s="46"/>
      <c r="MIT100" s="46"/>
      <c r="MIU100" s="46"/>
      <c r="MIV100" s="46"/>
      <c r="MIW100" s="46"/>
      <c r="MIX100" s="46"/>
      <c r="MIY100" s="46"/>
      <c r="MIZ100" s="46"/>
      <c r="MJA100" s="46"/>
      <c r="MJB100" s="46"/>
      <c r="MJC100" s="46"/>
      <c r="MJD100" s="46"/>
      <c r="MJE100" s="46"/>
      <c r="MJF100" s="46"/>
      <c r="MJG100" s="46"/>
      <c r="MJH100" s="46"/>
      <c r="MJI100" s="46"/>
      <c r="MJJ100" s="46"/>
      <c r="MJK100" s="46"/>
      <c r="MJL100" s="46"/>
      <c r="MJM100" s="46"/>
      <c r="MJN100" s="46"/>
      <c r="MJO100" s="46"/>
      <c r="MJP100" s="46"/>
      <c r="MJQ100" s="46"/>
      <c r="MJR100" s="46"/>
      <c r="MJS100" s="46"/>
      <c r="MJT100" s="46"/>
      <c r="MJU100" s="46"/>
      <c r="MJV100" s="46"/>
      <c r="MJW100" s="46"/>
      <c r="MJX100" s="46"/>
      <c r="MJY100" s="46"/>
      <c r="MJZ100" s="46"/>
      <c r="MKA100" s="46"/>
      <c r="MKB100" s="46"/>
      <c r="MKC100" s="46"/>
      <c r="MKD100" s="46"/>
      <c r="MKE100" s="46"/>
      <c r="MKF100" s="46"/>
      <c r="MKG100" s="46"/>
      <c r="MKH100" s="46"/>
      <c r="MKI100" s="46"/>
      <c r="MKJ100" s="46"/>
      <c r="MKK100" s="46"/>
      <c r="MKL100" s="46"/>
      <c r="MKM100" s="46"/>
      <c r="MKN100" s="46"/>
      <c r="MKO100" s="46"/>
      <c r="MKP100" s="46"/>
      <c r="MKQ100" s="46"/>
      <c r="MKR100" s="46"/>
      <c r="MKS100" s="46"/>
      <c r="MKT100" s="46"/>
      <c r="MKU100" s="46"/>
      <c r="MKV100" s="46"/>
      <c r="MKW100" s="46"/>
      <c r="MKX100" s="46"/>
      <c r="MKY100" s="46"/>
      <c r="MKZ100" s="46"/>
      <c r="MLA100" s="46"/>
      <c r="MLB100" s="46"/>
      <c r="MLC100" s="46"/>
      <c r="MLD100" s="46"/>
      <c r="MLE100" s="46"/>
      <c r="MLF100" s="46"/>
      <c r="MLG100" s="46"/>
      <c r="MLH100" s="46"/>
      <c r="MLI100" s="46"/>
      <c r="MLJ100" s="46"/>
      <c r="MLK100" s="46"/>
      <c r="MLL100" s="46"/>
      <c r="MLM100" s="46"/>
      <c r="MLN100" s="46"/>
      <c r="MLO100" s="46"/>
      <c r="MLP100" s="46"/>
      <c r="MLQ100" s="46"/>
      <c r="MLR100" s="46"/>
      <c r="MLS100" s="46"/>
      <c r="MLT100" s="46"/>
      <c r="MLU100" s="46"/>
      <c r="MLV100" s="46"/>
      <c r="MLW100" s="46"/>
      <c r="MLX100" s="46"/>
      <c r="MLY100" s="46"/>
      <c r="MLZ100" s="46"/>
      <c r="MMA100" s="46"/>
      <c r="MMB100" s="46"/>
      <c r="MMC100" s="46"/>
      <c r="MMD100" s="46"/>
      <c r="MME100" s="46"/>
      <c r="MMF100" s="46"/>
      <c r="MMG100" s="46"/>
      <c r="MMH100" s="46"/>
      <c r="MMI100" s="46"/>
      <c r="MMJ100" s="46"/>
      <c r="MMK100" s="46"/>
      <c r="MML100" s="46"/>
      <c r="MMM100" s="46"/>
      <c r="MMN100" s="46"/>
      <c r="MMO100" s="46"/>
      <c r="MMP100" s="46"/>
      <c r="MMQ100" s="46"/>
      <c r="MMR100" s="46"/>
      <c r="MMS100" s="46"/>
      <c r="MMT100" s="46"/>
      <c r="MMU100" s="46"/>
      <c r="MMV100" s="46"/>
      <c r="MMW100" s="46"/>
      <c r="MMX100" s="46"/>
      <c r="MMY100" s="46"/>
      <c r="MMZ100" s="46"/>
      <c r="MNA100" s="46"/>
      <c r="MNB100" s="46"/>
      <c r="MNC100" s="46"/>
      <c r="MND100" s="46"/>
      <c r="MNE100" s="46"/>
      <c r="MNF100" s="46"/>
      <c r="MNG100" s="46"/>
      <c r="MNH100" s="46"/>
      <c r="MNI100" s="46"/>
      <c r="MNJ100" s="46"/>
      <c r="MNK100" s="46"/>
      <c r="MNL100" s="46"/>
      <c r="MNM100" s="46"/>
      <c r="MNN100" s="46"/>
      <c r="MNO100" s="46"/>
      <c r="MNP100" s="46"/>
      <c r="MNQ100" s="46"/>
      <c r="MNR100" s="46"/>
      <c r="MNS100" s="46"/>
      <c r="MNT100" s="46"/>
      <c r="MNU100" s="46"/>
      <c r="MNV100" s="46"/>
      <c r="MNW100" s="46"/>
      <c r="MNX100" s="46"/>
      <c r="MNY100" s="46"/>
      <c r="MNZ100" s="46"/>
      <c r="MOA100" s="46"/>
      <c r="MOB100" s="46"/>
      <c r="MOC100" s="46"/>
      <c r="MOD100" s="46"/>
      <c r="MOE100" s="46"/>
      <c r="MOF100" s="46"/>
      <c r="MOG100" s="46"/>
      <c r="MOH100" s="46"/>
      <c r="MOI100" s="46"/>
      <c r="MOJ100" s="46"/>
      <c r="MOK100" s="46"/>
      <c r="MOL100" s="46"/>
      <c r="MOM100" s="46"/>
      <c r="MON100" s="46"/>
      <c r="MOO100" s="46"/>
      <c r="MOP100" s="46"/>
      <c r="MOQ100" s="46"/>
      <c r="MOR100" s="46"/>
      <c r="MOS100" s="46"/>
      <c r="MOT100" s="46"/>
      <c r="MOU100" s="46"/>
      <c r="MOV100" s="46"/>
      <c r="MOW100" s="46"/>
      <c r="MOX100" s="46"/>
      <c r="MOY100" s="46"/>
      <c r="MOZ100" s="46"/>
      <c r="MPA100" s="46"/>
      <c r="MPB100" s="46"/>
      <c r="MPC100" s="46"/>
      <c r="MPD100" s="46"/>
      <c r="MPE100" s="46"/>
      <c r="MPF100" s="46"/>
      <c r="MPG100" s="46"/>
      <c r="MPH100" s="46"/>
      <c r="MPI100" s="46"/>
      <c r="MPJ100" s="46"/>
      <c r="MPK100" s="46"/>
      <c r="MPL100" s="46"/>
      <c r="MPM100" s="46"/>
      <c r="MPN100" s="46"/>
      <c r="MPO100" s="46"/>
      <c r="MPP100" s="46"/>
      <c r="MPQ100" s="46"/>
      <c r="MPR100" s="46"/>
      <c r="MPS100" s="46"/>
      <c r="MPT100" s="46"/>
      <c r="MPU100" s="46"/>
      <c r="MPV100" s="46"/>
      <c r="MPW100" s="46"/>
      <c r="MPX100" s="46"/>
      <c r="MPY100" s="46"/>
      <c r="MPZ100" s="46"/>
      <c r="MQA100" s="46"/>
      <c r="MQB100" s="46"/>
      <c r="MQC100" s="46"/>
      <c r="MQD100" s="46"/>
      <c r="MQE100" s="46"/>
      <c r="MQF100" s="46"/>
      <c r="MQG100" s="46"/>
      <c r="MQH100" s="46"/>
      <c r="MQI100" s="46"/>
      <c r="MQJ100" s="46"/>
      <c r="MQK100" s="46"/>
      <c r="MQL100" s="46"/>
      <c r="MQM100" s="46"/>
      <c r="MQN100" s="46"/>
      <c r="MQO100" s="46"/>
      <c r="MQP100" s="46"/>
      <c r="MQQ100" s="46"/>
      <c r="MQR100" s="46"/>
      <c r="MQS100" s="46"/>
      <c r="MQT100" s="46"/>
      <c r="MQU100" s="46"/>
      <c r="MQV100" s="46"/>
      <c r="MQW100" s="46"/>
      <c r="MQX100" s="46"/>
      <c r="MQY100" s="46"/>
      <c r="MQZ100" s="46"/>
      <c r="MRA100" s="46"/>
      <c r="MRB100" s="46"/>
      <c r="MRC100" s="46"/>
      <c r="MRD100" s="46"/>
      <c r="MRE100" s="46"/>
      <c r="MRF100" s="46"/>
      <c r="MRG100" s="46"/>
      <c r="MRH100" s="46"/>
      <c r="MRI100" s="46"/>
      <c r="MRJ100" s="46"/>
      <c r="MRK100" s="46"/>
      <c r="MRL100" s="46"/>
      <c r="MRM100" s="46"/>
      <c r="MRN100" s="46"/>
      <c r="MRO100" s="46"/>
      <c r="MRP100" s="46"/>
      <c r="MRQ100" s="46"/>
      <c r="MRR100" s="46"/>
      <c r="MRS100" s="46"/>
      <c r="MRT100" s="46"/>
      <c r="MRU100" s="46"/>
      <c r="MRV100" s="46"/>
      <c r="MRW100" s="46"/>
      <c r="MRX100" s="46"/>
      <c r="MRY100" s="46"/>
      <c r="MRZ100" s="46"/>
      <c r="MSA100" s="46"/>
      <c r="MSB100" s="46"/>
      <c r="MSC100" s="46"/>
      <c r="MSD100" s="46"/>
      <c r="MSE100" s="46"/>
      <c r="MSF100" s="46"/>
      <c r="MSG100" s="46"/>
      <c r="MSH100" s="46"/>
      <c r="MSI100" s="46"/>
      <c r="MSJ100" s="46"/>
      <c r="MSK100" s="46"/>
      <c r="MSL100" s="46"/>
      <c r="MSM100" s="46"/>
      <c r="MSN100" s="46"/>
      <c r="MSO100" s="46"/>
      <c r="MSP100" s="46"/>
      <c r="MSQ100" s="46"/>
      <c r="MSR100" s="46"/>
      <c r="MSS100" s="46"/>
      <c r="MST100" s="46"/>
      <c r="MSU100" s="46"/>
      <c r="MSV100" s="46"/>
      <c r="MSW100" s="46"/>
      <c r="MSX100" s="46"/>
      <c r="MSY100" s="46"/>
      <c r="MSZ100" s="46"/>
      <c r="MTA100" s="46"/>
      <c r="MTB100" s="46"/>
      <c r="MTC100" s="46"/>
      <c r="MTD100" s="46"/>
      <c r="MTE100" s="46"/>
      <c r="MTF100" s="46"/>
      <c r="MTG100" s="46"/>
      <c r="MTH100" s="46"/>
      <c r="MTI100" s="46"/>
      <c r="MTJ100" s="46"/>
      <c r="MTK100" s="46"/>
      <c r="MTL100" s="46"/>
      <c r="MTM100" s="46"/>
      <c r="MTN100" s="46"/>
      <c r="MTO100" s="46"/>
      <c r="MTP100" s="46"/>
      <c r="MTQ100" s="46"/>
      <c r="MTR100" s="46"/>
      <c r="MTS100" s="46"/>
      <c r="MTT100" s="46"/>
      <c r="MTU100" s="46"/>
      <c r="MTV100" s="46"/>
      <c r="MTW100" s="46"/>
      <c r="MTX100" s="46"/>
      <c r="MTY100" s="46"/>
      <c r="MTZ100" s="46"/>
      <c r="MUA100" s="46"/>
      <c r="MUB100" s="46"/>
      <c r="MUC100" s="46"/>
      <c r="MUD100" s="46"/>
      <c r="MUE100" s="46"/>
      <c r="MUF100" s="46"/>
      <c r="MUG100" s="46"/>
      <c r="MUH100" s="46"/>
      <c r="MUI100" s="46"/>
      <c r="MUJ100" s="46"/>
      <c r="MUK100" s="46"/>
      <c r="MUL100" s="46"/>
      <c r="MUM100" s="46"/>
      <c r="MUN100" s="46"/>
      <c r="MUO100" s="46"/>
      <c r="MUP100" s="46"/>
      <c r="MUQ100" s="46"/>
      <c r="MUR100" s="46"/>
      <c r="MUS100" s="46"/>
      <c r="MUT100" s="46"/>
      <c r="MUU100" s="46"/>
      <c r="MUV100" s="46"/>
      <c r="MUW100" s="46"/>
      <c r="MUX100" s="46"/>
      <c r="MUY100" s="46"/>
      <c r="MUZ100" s="46"/>
      <c r="MVA100" s="46"/>
      <c r="MVB100" s="46"/>
      <c r="MVC100" s="46"/>
      <c r="MVD100" s="46"/>
      <c r="MVE100" s="46"/>
      <c r="MVF100" s="46"/>
      <c r="MVG100" s="46"/>
      <c r="MVH100" s="46"/>
      <c r="MVI100" s="46"/>
      <c r="MVJ100" s="46"/>
      <c r="MVK100" s="46"/>
      <c r="MVL100" s="46"/>
      <c r="MVM100" s="46"/>
      <c r="MVN100" s="46"/>
      <c r="MVO100" s="46"/>
      <c r="MVP100" s="46"/>
      <c r="MVQ100" s="46"/>
      <c r="MVR100" s="46"/>
      <c r="MVS100" s="46"/>
      <c r="MVT100" s="46"/>
      <c r="MVU100" s="46"/>
      <c r="MVV100" s="46"/>
      <c r="MVW100" s="46"/>
      <c r="MVX100" s="46"/>
      <c r="MVY100" s="46"/>
      <c r="MVZ100" s="46"/>
      <c r="MWA100" s="46"/>
      <c r="MWB100" s="46"/>
      <c r="MWC100" s="46"/>
      <c r="MWD100" s="46"/>
      <c r="MWE100" s="46"/>
      <c r="MWF100" s="46"/>
      <c r="MWG100" s="46"/>
      <c r="MWH100" s="46"/>
      <c r="MWI100" s="46"/>
      <c r="MWJ100" s="46"/>
      <c r="MWK100" s="46"/>
      <c r="MWL100" s="46"/>
      <c r="MWM100" s="46"/>
      <c r="MWN100" s="46"/>
      <c r="MWO100" s="46"/>
      <c r="MWP100" s="46"/>
      <c r="MWQ100" s="46"/>
      <c r="MWR100" s="46"/>
      <c r="MWS100" s="46"/>
      <c r="MWT100" s="46"/>
      <c r="MWU100" s="46"/>
      <c r="MWV100" s="46"/>
      <c r="MWW100" s="46"/>
      <c r="MWX100" s="46"/>
      <c r="MWY100" s="46"/>
      <c r="MWZ100" s="46"/>
      <c r="MXA100" s="46"/>
      <c r="MXB100" s="46"/>
      <c r="MXC100" s="46"/>
      <c r="MXD100" s="46"/>
      <c r="MXE100" s="46"/>
      <c r="MXF100" s="46"/>
      <c r="MXG100" s="46"/>
      <c r="MXH100" s="46"/>
      <c r="MXI100" s="46"/>
      <c r="MXJ100" s="46"/>
      <c r="MXK100" s="46"/>
      <c r="MXL100" s="46"/>
      <c r="MXM100" s="46"/>
      <c r="MXN100" s="46"/>
      <c r="MXO100" s="46"/>
      <c r="MXP100" s="46"/>
      <c r="MXQ100" s="46"/>
      <c r="MXR100" s="46"/>
      <c r="MXS100" s="46"/>
      <c r="MXT100" s="46"/>
      <c r="MXU100" s="46"/>
      <c r="MXV100" s="46"/>
      <c r="MXW100" s="46"/>
      <c r="MXX100" s="46"/>
      <c r="MXY100" s="46"/>
      <c r="MXZ100" s="46"/>
      <c r="MYA100" s="46"/>
      <c r="MYB100" s="46"/>
      <c r="MYC100" s="46"/>
      <c r="MYD100" s="46"/>
      <c r="MYE100" s="46"/>
      <c r="MYF100" s="46"/>
      <c r="MYG100" s="46"/>
      <c r="MYH100" s="46"/>
      <c r="MYI100" s="46"/>
      <c r="MYJ100" s="46"/>
      <c r="MYK100" s="46"/>
      <c r="MYL100" s="46"/>
      <c r="MYM100" s="46"/>
      <c r="MYN100" s="46"/>
      <c r="MYO100" s="46"/>
      <c r="MYP100" s="46"/>
      <c r="MYQ100" s="46"/>
      <c r="MYR100" s="46"/>
      <c r="MYS100" s="46"/>
      <c r="MYT100" s="46"/>
      <c r="MYU100" s="46"/>
      <c r="MYV100" s="46"/>
      <c r="MYW100" s="46"/>
      <c r="MYX100" s="46"/>
      <c r="MYY100" s="46"/>
      <c r="MYZ100" s="46"/>
      <c r="MZA100" s="46"/>
      <c r="MZB100" s="46"/>
      <c r="MZC100" s="46"/>
      <c r="MZD100" s="46"/>
      <c r="MZE100" s="46"/>
      <c r="MZF100" s="46"/>
      <c r="MZG100" s="46"/>
      <c r="MZH100" s="46"/>
      <c r="MZI100" s="46"/>
      <c r="MZJ100" s="46"/>
      <c r="MZK100" s="46"/>
      <c r="MZL100" s="46"/>
      <c r="MZM100" s="46"/>
      <c r="MZN100" s="46"/>
      <c r="MZO100" s="46"/>
      <c r="MZP100" s="46"/>
      <c r="MZQ100" s="46"/>
      <c r="MZR100" s="46"/>
      <c r="MZS100" s="46"/>
      <c r="MZT100" s="46"/>
      <c r="MZU100" s="46"/>
      <c r="MZV100" s="46"/>
      <c r="MZW100" s="46"/>
      <c r="MZX100" s="46"/>
      <c r="MZY100" s="46"/>
      <c r="MZZ100" s="46"/>
      <c r="NAA100" s="46"/>
      <c r="NAB100" s="46"/>
      <c r="NAC100" s="46"/>
      <c r="NAD100" s="46"/>
      <c r="NAE100" s="46"/>
      <c r="NAF100" s="46"/>
      <c r="NAG100" s="46"/>
      <c r="NAH100" s="46"/>
      <c r="NAI100" s="46"/>
      <c r="NAJ100" s="46"/>
      <c r="NAK100" s="46"/>
      <c r="NAL100" s="46"/>
      <c r="NAM100" s="46"/>
      <c r="NAN100" s="46"/>
      <c r="NAO100" s="46"/>
      <c r="NAP100" s="46"/>
      <c r="NAQ100" s="46"/>
      <c r="NAR100" s="46"/>
      <c r="NAS100" s="46"/>
      <c r="NAT100" s="46"/>
      <c r="NAU100" s="46"/>
      <c r="NAV100" s="46"/>
      <c r="NAW100" s="46"/>
      <c r="NAX100" s="46"/>
      <c r="NAY100" s="46"/>
      <c r="NAZ100" s="46"/>
      <c r="NBA100" s="46"/>
      <c r="NBB100" s="46"/>
      <c r="NBC100" s="46"/>
      <c r="NBD100" s="46"/>
      <c r="NBE100" s="46"/>
      <c r="NBF100" s="46"/>
      <c r="NBG100" s="46"/>
      <c r="NBH100" s="46"/>
      <c r="NBI100" s="46"/>
      <c r="NBJ100" s="46"/>
      <c r="NBK100" s="46"/>
      <c r="NBL100" s="46"/>
      <c r="NBM100" s="46"/>
      <c r="NBN100" s="46"/>
      <c r="NBO100" s="46"/>
      <c r="NBP100" s="46"/>
      <c r="NBQ100" s="46"/>
      <c r="NBR100" s="46"/>
      <c r="NBS100" s="46"/>
      <c r="NBT100" s="46"/>
      <c r="NBU100" s="46"/>
      <c r="NBV100" s="46"/>
      <c r="NBW100" s="46"/>
      <c r="NBX100" s="46"/>
      <c r="NBY100" s="46"/>
      <c r="NBZ100" s="46"/>
      <c r="NCA100" s="46"/>
      <c r="NCB100" s="46"/>
      <c r="NCC100" s="46"/>
      <c r="NCD100" s="46"/>
      <c r="NCE100" s="46"/>
      <c r="NCF100" s="46"/>
      <c r="NCG100" s="46"/>
      <c r="NCH100" s="46"/>
      <c r="NCI100" s="46"/>
      <c r="NCJ100" s="46"/>
      <c r="NCK100" s="46"/>
      <c r="NCL100" s="46"/>
      <c r="NCM100" s="46"/>
      <c r="NCN100" s="46"/>
      <c r="NCO100" s="46"/>
      <c r="NCP100" s="46"/>
      <c r="NCQ100" s="46"/>
      <c r="NCR100" s="46"/>
      <c r="NCS100" s="46"/>
      <c r="NCT100" s="46"/>
      <c r="NCU100" s="46"/>
      <c r="NCV100" s="46"/>
      <c r="NCW100" s="46"/>
      <c r="NCX100" s="46"/>
      <c r="NCY100" s="46"/>
      <c r="NCZ100" s="46"/>
      <c r="NDA100" s="46"/>
      <c r="NDB100" s="46"/>
      <c r="NDC100" s="46"/>
      <c r="NDD100" s="46"/>
      <c r="NDE100" s="46"/>
      <c r="NDF100" s="46"/>
      <c r="NDG100" s="46"/>
      <c r="NDH100" s="46"/>
      <c r="NDI100" s="46"/>
      <c r="NDJ100" s="46"/>
      <c r="NDK100" s="46"/>
      <c r="NDL100" s="46"/>
      <c r="NDM100" s="46"/>
      <c r="NDN100" s="46"/>
      <c r="NDO100" s="46"/>
      <c r="NDP100" s="46"/>
      <c r="NDQ100" s="46"/>
      <c r="NDR100" s="46"/>
      <c r="NDS100" s="46"/>
      <c r="NDT100" s="46"/>
      <c r="NDU100" s="46"/>
      <c r="NDV100" s="46"/>
      <c r="NDW100" s="46"/>
      <c r="NDX100" s="46"/>
      <c r="NDY100" s="46"/>
      <c r="NDZ100" s="46"/>
      <c r="NEA100" s="46"/>
      <c r="NEB100" s="46"/>
      <c r="NEC100" s="46"/>
      <c r="NED100" s="46"/>
      <c r="NEE100" s="46"/>
      <c r="NEF100" s="46"/>
      <c r="NEG100" s="46"/>
      <c r="NEH100" s="46"/>
      <c r="NEI100" s="46"/>
      <c r="NEJ100" s="46"/>
      <c r="NEK100" s="46"/>
      <c r="NEL100" s="46"/>
      <c r="NEM100" s="46"/>
      <c r="NEN100" s="46"/>
      <c r="NEO100" s="46"/>
      <c r="NEP100" s="46"/>
      <c r="NEQ100" s="46"/>
      <c r="NER100" s="46"/>
      <c r="NES100" s="46"/>
      <c r="NET100" s="46"/>
      <c r="NEU100" s="46"/>
      <c r="NEV100" s="46"/>
      <c r="NEW100" s="46"/>
      <c r="NEX100" s="46"/>
      <c r="NEY100" s="46"/>
      <c r="NEZ100" s="46"/>
      <c r="NFA100" s="46"/>
      <c r="NFB100" s="46"/>
      <c r="NFC100" s="46"/>
      <c r="NFD100" s="46"/>
      <c r="NFE100" s="46"/>
      <c r="NFF100" s="46"/>
      <c r="NFG100" s="46"/>
      <c r="NFH100" s="46"/>
      <c r="NFI100" s="46"/>
      <c r="NFJ100" s="46"/>
      <c r="NFK100" s="46"/>
      <c r="NFL100" s="46"/>
      <c r="NFM100" s="46"/>
      <c r="NFN100" s="46"/>
      <c r="NFO100" s="46"/>
      <c r="NFP100" s="46"/>
      <c r="NFQ100" s="46"/>
      <c r="NFR100" s="46"/>
      <c r="NFS100" s="46"/>
      <c r="NFT100" s="46"/>
      <c r="NFU100" s="46"/>
      <c r="NFV100" s="46"/>
      <c r="NFW100" s="46"/>
      <c r="NFX100" s="46"/>
      <c r="NFY100" s="46"/>
      <c r="NFZ100" s="46"/>
      <c r="NGA100" s="46"/>
      <c r="NGB100" s="46"/>
      <c r="NGC100" s="46"/>
      <c r="NGD100" s="46"/>
      <c r="NGE100" s="46"/>
      <c r="NGF100" s="46"/>
      <c r="NGG100" s="46"/>
      <c r="NGH100" s="46"/>
      <c r="NGI100" s="46"/>
      <c r="NGJ100" s="46"/>
      <c r="NGK100" s="46"/>
      <c r="NGL100" s="46"/>
      <c r="NGM100" s="46"/>
      <c r="NGN100" s="46"/>
      <c r="NGO100" s="46"/>
      <c r="NGP100" s="46"/>
      <c r="NGQ100" s="46"/>
      <c r="NGR100" s="46"/>
      <c r="NGS100" s="46"/>
      <c r="NGT100" s="46"/>
      <c r="NGU100" s="46"/>
      <c r="NGV100" s="46"/>
      <c r="NGW100" s="46"/>
      <c r="NGX100" s="46"/>
      <c r="NGY100" s="46"/>
      <c r="NGZ100" s="46"/>
      <c r="NHA100" s="46"/>
      <c r="NHB100" s="46"/>
      <c r="NHC100" s="46"/>
      <c r="NHD100" s="46"/>
      <c r="NHE100" s="46"/>
      <c r="NHF100" s="46"/>
      <c r="NHG100" s="46"/>
      <c r="NHH100" s="46"/>
      <c r="NHI100" s="46"/>
      <c r="NHJ100" s="46"/>
      <c r="NHK100" s="46"/>
      <c r="NHL100" s="46"/>
      <c r="NHM100" s="46"/>
      <c r="NHN100" s="46"/>
      <c r="NHO100" s="46"/>
      <c r="NHP100" s="46"/>
      <c r="NHQ100" s="46"/>
      <c r="NHR100" s="46"/>
      <c r="NHS100" s="46"/>
      <c r="NHT100" s="46"/>
      <c r="NHU100" s="46"/>
      <c r="NHV100" s="46"/>
      <c r="NHW100" s="46"/>
      <c r="NHX100" s="46"/>
      <c r="NHY100" s="46"/>
      <c r="NHZ100" s="46"/>
      <c r="NIA100" s="46"/>
      <c r="NIB100" s="46"/>
      <c r="NIC100" s="46"/>
      <c r="NID100" s="46"/>
      <c r="NIE100" s="46"/>
      <c r="NIF100" s="46"/>
      <c r="NIG100" s="46"/>
      <c r="NIH100" s="46"/>
      <c r="NII100" s="46"/>
      <c r="NIJ100" s="46"/>
      <c r="NIK100" s="46"/>
      <c r="NIL100" s="46"/>
      <c r="NIM100" s="46"/>
      <c r="NIN100" s="46"/>
      <c r="NIO100" s="46"/>
      <c r="NIP100" s="46"/>
      <c r="NIQ100" s="46"/>
      <c r="NIR100" s="46"/>
      <c r="NIS100" s="46"/>
      <c r="NIT100" s="46"/>
      <c r="NIU100" s="46"/>
      <c r="NIV100" s="46"/>
      <c r="NIW100" s="46"/>
      <c r="NIX100" s="46"/>
      <c r="NIY100" s="46"/>
      <c r="NIZ100" s="46"/>
      <c r="NJA100" s="46"/>
      <c r="NJB100" s="46"/>
      <c r="NJC100" s="46"/>
      <c r="NJD100" s="46"/>
      <c r="NJE100" s="46"/>
      <c r="NJF100" s="46"/>
      <c r="NJG100" s="46"/>
      <c r="NJH100" s="46"/>
      <c r="NJI100" s="46"/>
      <c r="NJJ100" s="46"/>
      <c r="NJK100" s="46"/>
      <c r="NJL100" s="46"/>
      <c r="NJM100" s="46"/>
      <c r="NJN100" s="46"/>
      <c r="NJO100" s="46"/>
      <c r="NJP100" s="46"/>
      <c r="NJQ100" s="46"/>
      <c r="NJR100" s="46"/>
      <c r="NJS100" s="46"/>
      <c r="NJT100" s="46"/>
      <c r="NJU100" s="46"/>
      <c r="NJV100" s="46"/>
      <c r="NJW100" s="46"/>
      <c r="NJX100" s="46"/>
      <c r="NJY100" s="46"/>
      <c r="NJZ100" s="46"/>
      <c r="NKA100" s="46"/>
      <c r="NKB100" s="46"/>
      <c r="NKC100" s="46"/>
      <c r="NKD100" s="46"/>
      <c r="NKE100" s="46"/>
      <c r="NKF100" s="46"/>
      <c r="NKG100" s="46"/>
      <c r="NKH100" s="46"/>
      <c r="NKI100" s="46"/>
      <c r="NKJ100" s="46"/>
      <c r="NKK100" s="46"/>
      <c r="NKL100" s="46"/>
      <c r="NKM100" s="46"/>
      <c r="NKN100" s="46"/>
      <c r="NKO100" s="46"/>
      <c r="NKP100" s="46"/>
      <c r="NKQ100" s="46"/>
      <c r="NKR100" s="46"/>
      <c r="NKS100" s="46"/>
      <c r="NKT100" s="46"/>
      <c r="NKU100" s="46"/>
      <c r="NKV100" s="46"/>
      <c r="NKW100" s="46"/>
      <c r="NKX100" s="46"/>
      <c r="NKY100" s="46"/>
      <c r="NKZ100" s="46"/>
      <c r="NLA100" s="46"/>
      <c r="NLB100" s="46"/>
      <c r="NLC100" s="46"/>
      <c r="NLD100" s="46"/>
      <c r="NLE100" s="46"/>
      <c r="NLF100" s="46"/>
      <c r="NLG100" s="46"/>
      <c r="NLH100" s="46"/>
      <c r="NLI100" s="46"/>
      <c r="NLJ100" s="46"/>
      <c r="NLK100" s="46"/>
      <c r="NLL100" s="46"/>
      <c r="NLM100" s="46"/>
      <c r="NLN100" s="46"/>
      <c r="NLO100" s="46"/>
      <c r="NLP100" s="46"/>
      <c r="NLQ100" s="46"/>
      <c r="NLR100" s="46"/>
      <c r="NLS100" s="46"/>
      <c r="NLT100" s="46"/>
      <c r="NLU100" s="46"/>
      <c r="NLV100" s="46"/>
      <c r="NLW100" s="46"/>
      <c r="NLX100" s="46"/>
      <c r="NLY100" s="46"/>
      <c r="NLZ100" s="46"/>
      <c r="NMA100" s="46"/>
      <c r="NMB100" s="46"/>
      <c r="NMC100" s="46"/>
      <c r="NMD100" s="46"/>
      <c r="NME100" s="46"/>
      <c r="NMF100" s="46"/>
      <c r="NMG100" s="46"/>
      <c r="NMH100" s="46"/>
      <c r="NMI100" s="46"/>
      <c r="NMJ100" s="46"/>
      <c r="NMK100" s="46"/>
      <c r="NML100" s="46"/>
      <c r="NMM100" s="46"/>
      <c r="NMN100" s="46"/>
      <c r="NMO100" s="46"/>
      <c r="NMP100" s="46"/>
      <c r="NMQ100" s="46"/>
      <c r="NMR100" s="46"/>
      <c r="NMS100" s="46"/>
      <c r="NMT100" s="46"/>
      <c r="NMU100" s="46"/>
      <c r="NMV100" s="46"/>
      <c r="NMW100" s="46"/>
      <c r="NMX100" s="46"/>
      <c r="NMY100" s="46"/>
      <c r="NMZ100" s="46"/>
      <c r="NNA100" s="46"/>
      <c r="NNB100" s="46"/>
      <c r="NNC100" s="46"/>
      <c r="NND100" s="46"/>
      <c r="NNE100" s="46"/>
      <c r="NNF100" s="46"/>
      <c r="NNG100" s="46"/>
      <c r="NNH100" s="46"/>
      <c r="NNI100" s="46"/>
      <c r="NNJ100" s="46"/>
      <c r="NNK100" s="46"/>
      <c r="NNL100" s="46"/>
      <c r="NNM100" s="46"/>
      <c r="NNN100" s="46"/>
      <c r="NNO100" s="46"/>
      <c r="NNP100" s="46"/>
      <c r="NNQ100" s="46"/>
      <c r="NNR100" s="46"/>
      <c r="NNS100" s="46"/>
      <c r="NNT100" s="46"/>
      <c r="NNU100" s="46"/>
      <c r="NNV100" s="46"/>
      <c r="NNW100" s="46"/>
      <c r="NNX100" s="46"/>
      <c r="NNY100" s="46"/>
      <c r="NNZ100" s="46"/>
      <c r="NOA100" s="46"/>
      <c r="NOB100" s="46"/>
      <c r="NOC100" s="46"/>
      <c r="NOD100" s="46"/>
      <c r="NOE100" s="46"/>
      <c r="NOF100" s="46"/>
      <c r="NOG100" s="46"/>
      <c r="NOH100" s="46"/>
      <c r="NOI100" s="46"/>
      <c r="NOJ100" s="46"/>
      <c r="NOK100" s="46"/>
      <c r="NOL100" s="46"/>
      <c r="NOM100" s="46"/>
      <c r="NON100" s="46"/>
      <c r="NOO100" s="46"/>
      <c r="NOP100" s="46"/>
      <c r="NOQ100" s="46"/>
      <c r="NOR100" s="46"/>
      <c r="NOS100" s="46"/>
      <c r="NOT100" s="46"/>
      <c r="NOU100" s="46"/>
      <c r="NOV100" s="46"/>
      <c r="NOW100" s="46"/>
      <c r="NOX100" s="46"/>
      <c r="NOY100" s="46"/>
      <c r="NOZ100" s="46"/>
      <c r="NPA100" s="46"/>
      <c r="NPB100" s="46"/>
      <c r="NPC100" s="46"/>
      <c r="NPD100" s="46"/>
      <c r="NPE100" s="46"/>
      <c r="NPF100" s="46"/>
      <c r="NPG100" s="46"/>
      <c r="NPH100" s="46"/>
      <c r="NPI100" s="46"/>
      <c r="NPJ100" s="46"/>
      <c r="NPK100" s="46"/>
      <c r="NPL100" s="46"/>
      <c r="NPM100" s="46"/>
      <c r="NPN100" s="46"/>
      <c r="NPO100" s="46"/>
      <c r="NPP100" s="46"/>
      <c r="NPQ100" s="46"/>
      <c r="NPR100" s="46"/>
      <c r="NPS100" s="46"/>
      <c r="NPT100" s="46"/>
      <c r="NPU100" s="46"/>
      <c r="NPV100" s="46"/>
      <c r="NPW100" s="46"/>
      <c r="NPX100" s="46"/>
      <c r="NPY100" s="46"/>
      <c r="NPZ100" s="46"/>
      <c r="NQA100" s="46"/>
      <c r="NQB100" s="46"/>
      <c r="NQC100" s="46"/>
      <c r="NQD100" s="46"/>
      <c r="NQE100" s="46"/>
      <c r="NQF100" s="46"/>
      <c r="NQG100" s="46"/>
      <c r="NQH100" s="46"/>
      <c r="NQI100" s="46"/>
      <c r="NQJ100" s="46"/>
      <c r="NQK100" s="46"/>
      <c r="NQL100" s="46"/>
      <c r="NQM100" s="46"/>
      <c r="NQN100" s="46"/>
      <c r="NQO100" s="46"/>
      <c r="NQP100" s="46"/>
      <c r="NQQ100" s="46"/>
      <c r="NQR100" s="46"/>
      <c r="NQS100" s="46"/>
      <c r="NQT100" s="46"/>
      <c r="NQU100" s="46"/>
      <c r="NQV100" s="46"/>
      <c r="NQW100" s="46"/>
      <c r="NQX100" s="46"/>
      <c r="NQY100" s="46"/>
      <c r="NQZ100" s="46"/>
      <c r="NRA100" s="46"/>
      <c r="NRB100" s="46"/>
      <c r="NRC100" s="46"/>
      <c r="NRD100" s="46"/>
      <c r="NRE100" s="46"/>
      <c r="NRF100" s="46"/>
      <c r="NRG100" s="46"/>
      <c r="NRH100" s="46"/>
      <c r="NRI100" s="46"/>
      <c r="NRJ100" s="46"/>
      <c r="NRK100" s="46"/>
      <c r="NRL100" s="46"/>
      <c r="NRM100" s="46"/>
      <c r="NRN100" s="46"/>
      <c r="NRO100" s="46"/>
      <c r="NRP100" s="46"/>
      <c r="NRQ100" s="46"/>
      <c r="NRR100" s="46"/>
      <c r="NRS100" s="46"/>
      <c r="NRT100" s="46"/>
      <c r="NRU100" s="46"/>
      <c r="NRV100" s="46"/>
      <c r="NRW100" s="46"/>
      <c r="NRX100" s="46"/>
      <c r="NRY100" s="46"/>
      <c r="NRZ100" s="46"/>
      <c r="NSA100" s="46"/>
      <c r="NSB100" s="46"/>
      <c r="NSC100" s="46"/>
      <c r="NSD100" s="46"/>
      <c r="NSE100" s="46"/>
      <c r="NSF100" s="46"/>
      <c r="NSG100" s="46"/>
      <c r="NSH100" s="46"/>
      <c r="NSI100" s="46"/>
      <c r="NSJ100" s="46"/>
      <c r="NSK100" s="46"/>
      <c r="NSL100" s="46"/>
      <c r="NSM100" s="46"/>
      <c r="NSN100" s="46"/>
      <c r="NSO100" s="46"/>
      <c r="NSP100" s="46"/>
      <c r="NSQ100" s="46"/>
      <c r="NSR100" s="46"/>
      <c r="NSS100" s="46"/>
      <c r="NST100" s="46"/>
      <c r="NSU100" s="46"/>
      <c r="NSV100" s="46"/>
      <c r="NSW100" s="46"/>
      <c r="NSX100" s="46"/>
      <c r="NSY100" s="46"/>
      <c r="NSZ100" s="46"/>
      <c r="NTA100" s="46"/>
      <c r="NTB100" s="46"/>
      <c r="NTC100" s="46"/>
      <c r="NTD100" s="46"/>
      <c r="NTE100" s="46"/>
      <c r="NTF100" s="46"/>
      <c r="NTG100" s="46"/>
      <c r="NTH100" s="46"/>
      <c r="NTI100" s="46"/>
      <c r="NTJ100" s="46"/>
      <c r="NTK100" s="46"/>
      <c r="NTL100" s="46"/>
      <c r="NTM100" s="46"/>
      <c r="NTN100" s="46"/>
      <c r="NTO100" s="46"/>
      <c r="NTP100" s="46"/>
      <c r="NTQ100" s="46"/>
      <c r="NTR100" s="46"/>
      <c r="NTS100" s="46"/>
      <c r="NTT100" s="46"/>
      <c r="NTU100" s="46"/>
      <c r="NTV100" s="46"/>
      <c r="NTW100" s="46"/>
      <c r="NTX100" s="46"/>
      <c r="NTY100" s="46"/>
      <c r="NTZ100" s="46"/>
      <c r="NUA100" s="46"/>
      <c r="NUB100" s="46"/>
      <c r="NUC100" s="46"/>
      <c r="NUD100" s="46"/>
      <c r="NUE100" s="46"/>
      <c r="NUF100" s="46"/>
      <c r="NUG100" s="46"/>
      <c r="NUH100" s="46"/>
      <c r="NUI100" s="46"/>
      <c r="NUJ100" s="46"/>
      <c r="NUK100" s="46"/>
      <c r="NUL100" s="46"/>
      <c r="NUM100" s="46"/>
      <c r="NUN100" s="46"/>
      <c r="NUO100" s="46"/>
      <c r="NUP100" s="46"/>
      <c r="NUQ100" s="46"/>
      <c r="NUR100" s="46"/>
      <c r="NUS100" s="46"/>
      <c r="NUT100" s="46"/>
      <c r="NUU100" s="46"/>
      <c r="NUV100" s="46"/>
      <c r="NUW100" s="46"/>
      <c r="NUX100" s="46"/>
      <c r="NUY100" s="46"/>
      <c r="NUZ100" s="46"/>
      <c r="NVA100" s="46"/>
      <c r="NVB100" s="46"/>
      <c r="NVC100" s="46"/>
      <c r="NVD100" s="46"/>
      <c r="NVE100" s="46"/>
      <c r="NVF100" s="46"/>
      <c r="NVG100" s="46"/>
      <c r="NVH100" s="46"/>
      <c r="NVI100" s="46"/>
      <c r="NVJ100" s="46"/>
      <c r="NVK100" s="46"/>
      <c r="NVL100" s="46"/>
      <c r="NVM100" s="46"/>
      <c r="NVN100" s="46"/>
      <c r="NVO100" s="46"/>
      <c r="NVP100" s="46"/>
      <c r="NVQ100" s="46"/>
      <c r="NVR100" s="46"/>
      <c r="NVS100" s="46"/>
      <c r="NVT100" s="46"/>
      <c r="NVU100" s="46"/>
      <c r="NVV100" s="46"/>
      <c r="NVW100" s="46"/>
      <c r="NVX100" s="46"/>
      <c r="NVY100" s="46"/>
      <c r="NVZ100" s="46"/>
      <c r="NWA100" s="46"/>
      <c r="NWB100" s="46"/>
      <c r="NWC100" s="46"/>
      <c r="NWD100" s="46"/>
      <c r="NWE100" s="46"/>
      <c r="NWF100" s="46"/>
      <c r="NWG100" s="46"/>
      <c r="NWH100" s="46"/>
      <c r="NWI100" s="46"/>
      <c r="NWJ100" s="46"/>
      <c r="NWK100" s="46"/>
      <c r="NWL100" s="46"/>
      <c r="NWM100" s="46"/>
      <c r="NWN100" s="46"/>
      <c r="NWO100" s="46"/>
      <c r="NWP100" s="46"/>
      <c r="NWQ100" s="46"/>
      <c r="NWR100" s="46"/>
      <c r="NWS100" s="46"/>
      <c r="NWT100" s="46"/>
      <c r="NWU100" s="46"/>
      <c r="NWV100" s="46"/>
      <c r="NWW100" s="46"/>
      <c r="NWX100" s="46"/>
      <c r="NWY100" s="46"/>
      <c r="NWZ100" s="46"/>
      <c r="NXA100" s="46"/>
      <c r="NXB100" s="46"/>
      <c r="NXC100" s="46"/>
      <c r="NXD100" s="46"/>
      <c r="NXE100" s="46"/>
      <c r="NXF100" s="46"/>
      <c r="NXG100" s="46"/>
      <c r="NXH100" s="46"/>
      <c r="NXI100" s="46"/>
      <c r="NXJ100" s="46"/>
      <c r="NXK100" s="46"/>
      <c r="NXL100" s="46"/>
      <c r="NXM100" s="46"/>
      <c r="NXN100" s="46"/>
      <c r="NXO100" s="46"/>
      <c r="NXP100" s="46"/>
      <c r="NXQ100" s="46"/>
      <c r="NXR100" s="46"/>
      <c r="NXS100" s="46"/>
      <c r="NXT100" s="46"/>
      <c r="NXU100" s="46"/>
      <c r="NXV100" s="46"/>
      <c r="NXW100" s="46"/>
      <c r="NXX100" s="46"/>
      <c r="NXY100" s="46"/>
      <c r="NXZ100" s="46"/>
      <c r="NYA100" s="46"/>
      <c r="NYB100" s="46"/>
      <c r="NYC100" s="46"/>
      <c r="NYD100" s="46"/>
      <c r="NYE100" s="46"/>
      <c r="NYF100" s="46"/>
      <c r="NYG100" s="46"/>
      <c r="NYH100" s="46"/>
      <c r="NYI100" s="46"/>
      <c r="NYJ100" s="46"/>
      <c r="NYK100" s="46"/>
      <c r="NYL100" s="46"/>
      <c r="NYM100" s="46"/>
      <c r="NYN100" s="46"/>
      <c r="NYO100" s="46"/>
      <c r="NYP100" s="46"/>
      <c r="NYQ100" s="46"/>
      <c r="NYR100" s="46"/>
      <c r="NYS100" s="46"/>
      <c r="NYT100" s="46"/>
      <c r="NYU100" s="46"/>
      <c r="NYV100" s="46"/>
      <c r="NYW100" s="46"/>
      <c r="NYX100" s="46"/>
      <c r="NYY100" s="46"/>
      <c r="NYZ100" s="46"/>
      <c r="NZA100" s="46"/>
      <c r="NZB100" s="46"/>
      <c r="NZC100" s="46"/>
      <c r="NZD100" s="46"/>
      <c r="NZE100" s="46"/>
      <c r="NZF100" s="46"/>
      <c r="NZG100" s="46"/>
      <c r="NZH100" s="46"/>
      <c r="NZI100" s="46"/>
      <c r="NZJ100" s="46"/>
      <c r="NZK100" s="46"/>
      <c r="NZL100" s="46"/>
      <c r="NZM100" s="46"/>
      <c r="NZN100" s="46"/>
      <c r="NZO100" s="46"/>
      <c r="NZP100" s="46"/>
      <c r="NZQ100" s="46"/>
      <c r="NZR100" s="46"/>
      <c r="NZS100" s="46"/>
      <c r="NZT100" s="46"/>
      <c r="NZU100" s="46"/>
      <c r="NZV100" s="46"/>
      <c r="NZW100" s="46"/>
      <c r="NZX100" s="46"/>
      <c r="NZY100" s="46"/>
      <c r="NZZ100" s="46"/>
      <c r="OAA100" s="46"/>
      <c r="OAB100" s="46"/>
      <c r="OAC100" s="46"/>
      <c r="OAD100" s="46"/>
      <c r="OAE100" s="46"/>
      <c r="OAF100" s="46"/>
      <c r="OAG100" s="46"/>
      <c r="OAH100" s="46"/>
      <c r="OAI100" s="46"/>
      <c r="OAJ100" s="46"/>
      <c r="OAK100" s="46"/>
      <c r="OAL100" s="46"/>
      <c r="OAM100" s="46"/>
      <c r="OAN100" s="46"/>
      <c r="OAO100" s="46"/>
      <c r="OAP100" s="46"/>
      <c r="OAQ100" s="46"/>
      <c r="OAR100" s="46"/>
      <c r="OAS100" s="46"/>
      <c r="OAT100" s="46"/>
      <c r="OAU100" s="46"/>
      <c r="OAV100" s="46"/>
      <c r="OAW100" s="46"/>
      <c r="OAX100" s="46"/>
      <c r="OAY100" s="46"/>
      <c r="OAZ100" s="46"/>
      <c r="OBA100" s="46"/>
      <c r="OBB100" s="46"/>
      <c r="OBC100" s="46"/>
      <c r="OBD100" s="46"/>
      <c r="OBE100" s="46"/>
      <c r="OBF100" s="46"/>
      <c r="OBG100" s="46"/>
      <c r="OBH100" s="46"/>
      <c r="OBI100" s="46"/>
      <c r="OBJ100" s="46"/>
      <c r="OBK100" s="46"/>
      <c r="OBL100" s="46"/>
      <c r="OBM100" s="46"/>
      <c r="OBN100" s="46"/>
      <c r="OBO100" s="46"/>
      <c r="OBP100" s="46"/>
      <c r="OBQ100" s="46"/>
      <c r="OBR100" s="46"/>
      <c r="OBS100" s="46"/>
      <c r="OBT100" s="46"/>
      <c r="OBU100" s="46"/>
      <c r="OBV100" s="46"/>
      <c r="OBW100" s="46"/>
      <c r="OBX100" s="46"/>
      <c r="OBY100" s="46"/>
      <c r="OBZ100" s="46"/>
      <c r="OCA100" s="46"/>
      <c r="OCB100" s="46"/>
      <c r="OCC100" s="46"/>
      <c r="OCD100" s="46"/>
      <c r="OCE100" s="46"/>
      <c r="OCF100" s="46"/>
      <c r="OCG100" s="46"/>
      <c r="OCH100" s="46"/>
      <c r="OCI100" s="46"/>
      <c r="OCJ100" s="46"/>
      <c r="OCK100" s="46"/>
      <c r="OCL100" s="46"/>
      <c r="OCM100" s="46"/>
      <c r="OCN100" s="46"/>
      <c r="OCO100" s="46"/>
      <c r="OCP100" s="46"/>
      <c r="OCQ100" s="46"/>
      <c r="OCR100" s="46"/>
      <c r="OCS100" s="46"/>
      <c r="OCT100" s="46"/>
      <c r="OCU100" s="46"/>
      <c r="OCV100" s="46"/>
      <c r="OCW100" s="46"/>
      <c r="OCX100" s="46"/>
      <c r="OCY100" s="46"/>
      <c r="OCZ100" s="46"/>
      <c r="ODA100" s="46"/>
      <c r="ODB100" s="46"/>
      <c r="ODC100" s="46"/>
      <c r="ODD100" s="46"/>
      <c r="ODE100" s="46"/>
      <c r="ODF100" s="46"/>
      <c r="ODG100" s="46"/>
      <c r="ODH100" s="46"/>
      <c r="ODI100" s="46"/>
      <c r="ODJ100" s="46"/>
      <c r="ODK100" s="46"/>
      <c r="ODL100" s="46"/>
      <c r="ODM100" s="46"/>
      <c r="ODN100" s="46"/>
      <c r="ODO100" s="46"/>
      <c r="ODP100" s="46"/>
      <c r="ODQ100" s="46"/>
      <c r="ODR100" s="46"/>
      <c r="ODS100" s="46"/>
      <c r="ODT100" s="46"/>
      <c r="ODU100" s="46"/>
      <c r="ODV100" s="46"/>
      <c r="ODW100" s="46"/>
      <c r="ODX100" s="46"/>
      <c r="ODY100" s="46"/>
      <c r="ODZ100" s="46"/>
      <c r="OEA100" s="46"/>
      <c r="OEB100" s="46"/>
      <c r="OEC100" s="46"/>
      <c r="OED100" s="46"/>
      <c r="OEE100" s="46"/>
      <c r="OEF100" s="46"/>
      <c r="OEG100" s="46"/>
      <c r="OEH100" s="46"/>
      <c r="OEI100" s="46"/>
      <c r="OEJ100" s="46"/>
      <c r="OEK100" s="46"/>
      <c r="OEL100" s="46"/>
      <c r="OEM100" s="46"/>
      <c r="OEN100" s="46"/>
      <c r="OEO100" s="46"/>
      <c r="OEP100" s="46"/>
      <c r="OEQ100" s="46"/>
      <c r="OER100" s="46"/>
      <c r="OES100" s="46"/>
      <c r="OET100" s="46"/>
      <c r="OEU100" s="46"/>
      <c r="OEV100" s="46"/>
      <c r="OEW100" s="46"/>
      <c r="OEX100" s="46"/>
      <c r="OEY100" s="46"/>
      <c r="OEZ100" s="46"/>
      <c r="OFA100" s="46"/>
      <c r="OFB100" s="46"/>
      <c r="OFC100" s="46"/>
      <c r="OFD100" s="46"/>
      <c r="OFE100" s="46"/>
      <c r="OFF100" s="46"/>
      <c r="OFG100" s="46"/>
      <c r="OFH100" s="46"/>
      <c r="OFI100" s="46"/>
      <c r="OFJ100" s="46"/>
      <c r="OFK100" s="46"/>
      <c r="OFL100" s="46"/>
      <c r="OFM100" s="46"/>
      <c r="OFN100" s="46"/>
      <c r="OFO100" s="46"/>
      <c r="OFP100" s="46"/>
      <c r="OFQ100" s="46"/>
      <c r="OFR100" s="46"/>
      <c r="OFS100" s="46"/>
      <c r="OFT100" s="46"/>
      <c r="OFU100" s="46"/>
      <c r="OFV100" s="46"/>
      <c r="OFW100" s="46"/>
      <c r="OFX100" s="46"/>
      <c r="OFY100" s="46"/>
      <c r="OFZ100" s="46"/>
      <c r="OGA100" s="46"/>
      <c r="OGB100" s="46"/>
      <c r="OGC100" s="46"/>
      <c r="OGD100" s="46"/>
      <c r="OGE100" s="46"/>
      <c r="OGF100" s="46"/>
      <c r="OGG100" s="46"/>
      <c r="OGH100" s="46"/>
      <c r="OGI100" s="46"/>
      <c r="OGJ100" s="46"/>
      <c r="OGK100" s="46"/>
      <c r="OGL100" s="46"/>
      <c r="OGM100" s="46"/>
      <c r="OGN100" s="46"/>
      <c r="OGO100" s="46"/>
      <c r="OGP100" s="46"/>
      <c r="OGQ100" s="46"/>
      <c r="OGR100" s="46"/>
      <c r="OGS100" s="46"/>
      <c r="OGT100" s="46"/>
      <c r="OGU100" s="46"/>
      <c r="OGV100" s="46"/>
      <c r="OGW100" s="46"/>
      <c r="OGX100" s="46"/>
      <c r="OGY100" s="46"/>
      <c r="OGZ100" s="46"/>
      <c r="OHA100" s="46"/>
      <c r="OHB100" s="46"/>
      <c r="OHC100" s="46"/>
      <c r="OHD100" s="46"/>
      <c r="OHE100" s="46"/>
      <c r="OHF100" s="46"/>
      <c r="OHG100" s="46"/>
      <c r="OHH100" s="46"/>
      <c r="OHI100" s="46"/>
      <c r="OHJ100" s="46"/>
      <c r="OHK100" s="46"/>
      <c r="OHL100" s="46"/>
      <c r="OHM100" s="46"/>
      <c r="OHN100" s="46"/>
      <c r="OHO100" s="46"/>
      <c r="OHP100" s="46"/>
      <c r="OHQ100" s="46"/>
      <c r="OHR100" s="46"/>
      <c r="OHS100" s="46"/>
      <c r="OHT100" s="46"/>
      <c r="OHU100" s="46"/>
      <c r="OHV100" s="46"/>
      <c r="OHW100" s="46"/>
      <c r="OHX100" s="46"/>
      <c r="OHY100" s="46"/>
      <c r="OHZ100" s="46"/>
      <c r="OIA100" s="46"/>
      <c r="OIB100" s="46"/>
      <c r="OIC100" s="46"/>
      <c r="OID100" s="46"/>
      <c r="OIE100" s="46"/>
      <c r="OIF100" s="46"/>
      <c r="OIG100" s="46"/>
      <c r="OIH100" s="46"/>
      <c r="OII100" s="46"/>
      <c r="OIJ100" s="46"/>
      <c r="OIK100" s="46"/>
      <c r="OIL100" s="46"/>
      <c r="OIM100" s="46"/>
      <c r="OIN100" s="46"/>
      <c r="OIO100" s="46"/>
      <c r="OIP100" s="46"/>
      <c r="OIQ100" s="46"/>
      <c r="OIR100" s="46"/>
      <c r="OIS100" s="46"/>
      <c r="OIT100" s="46"/>
      <c r="OIU100" s="46"/>
      <c r="OIV100" s="46"/>
      <c r="OIW100" s="46"/>
      <c r="OIX100" s="46"/>
      <c r="OIY100" s="46"/>
      <c r="OIZ100" s="46"/>
      <c r="OJA100" s="46"/>
      <c r="OJB100" s="46"/>
      <c r="OJC100" s="46"/>
      <c r="OJD100" s="46"/>
      <c r="OJE100" s="46"/>
      <c r="OJF100" s="46"/>
      <c r="OJG100" s="46"/>
      <c r="OJH100" s="46"/>
      <c r="OJI100" s="46"/>
      <c r="OJJ100" s="46"/>
      <c r="OJK100" s="46"/>
      <c r="OJL100" s="46"/>
      <c r="OJM100" s="46"/>
      <c r="OJN100" s="46"/>
      <c r="OJO100" s="46"/>
      <c r="OJP100" s="46"/>
      <c r="OJQ100" s="46"/>
      <c r="OJR100" s="46"/>
      <c r="OJS100" s="46"/>
      <c r="OJT100" s="46"/>
      <c r="OJU100" s="46"/>
      <c r="OJV100" s="46"/>
      <c r="OJW100" s="46"/>
      <c r="OJX100" s="46"/>
      <c r="OJY100" s="46"/>
      <c r="OJZ100" s="46"/>
      <c r="OKA100" s="46"/>
      <c r="OKB100" s="46"/>
      <c r="OKC100" s="46"/>
      <c r="OKD100" s="46"/>
      <c r="OKE100" s="46"/>
      <c r="OKF100" s="46"/>
      <c r="OKG100" s="46"/>
      <c r="OKH100" s="46"/>
      <c r="OKI100" s="46"/>
      <c r="OKJ100" s="46"/>
      <c r="OKK100" s="46"/>
      <c r="OKL100" s="46"/>
      <c r="OKM100" s="46"/>
      <c r="OKN100" s="46"/>
      <c r="OKO100" s="46"/>
      <c r="OKP100" s="46"/>
      <c r="OKQ100" s="46"/>
      <c r="OKR100" s="46"/>
      <c r="OKS100" s="46"/>
      <c r="OKT100" s="46"/>
      <c r="OKU100" s="46"/>
      <c r="OKV100" s="46"/>
      <c r="OKW100" s="46"/>
      <c r="OKX100" s="46"/>
      <c r="OKY100" s="46"/>
      <c r="OKZ100" s="46"/>
      <c r="OLA100" s="46"/>
      <c r="OLB100" s="46"/>
      <c r="OLC100" s="46"/>
      <c r="OLD100" s="46"/>
      <c r="OLE100" s="46"/>
      <c r="OLF100" s="46"/>
      <c r="OLG100" s="46"/>
      <c r="OLH100" s="46"/>
      <c r="OLI100" s="46"/>
      <c r="OLJ100" s="46"/>
      <c r="OLK100" s="46"/>
      <c r="OLL100" s="46"/>
      <c r="OLM100" s="46"/>
      <c r="OLN100" s="46"/>
      <c r="OLO100" s="46"/>
      <c r="OLP100" s="46"/>
      <c r="OLQ100" s="46"/>
      <c r="OLR100" s="46"/>
      <c r="OLS100" s="46"/>
      <c r="OLT100" s="46"/>
      <c r="OLU100" s="46"/>
      <c r="OLV100" s="46"/>
      <c r="OLW100" s="46"/>
      <c r="OLX100" s="46"/>
      <c r="OLY100" s="46"/>
      <c r="OLZ100" s="46"/>
      <c r="OMA100" s="46"/>
      <c r="OMB100" s="46"/>
      <c r="OMC100" s="46"/>
      <c r="OMD100" s="46"/>
      <c r="OME100" s="46"/>
      <c r="OMF100" s="46"/>
      <c r="OMG100" s="46"/>
      <c r="OMH100" s="46"/>
      <c r="OMI100" s="46"/>
      <c r="OMJ100" s="46"/>
      <c r="OMK100" s="46"/>
      <c r="OML100" s="46"/>
      <c r="OMM100" s="46"/>
      <c r="OMN100" s="46"/>
      <c r="OMO100" s="46"/>
      <c r="OMP100" s="46"/>
      <c r="OMQ100" s="46"/>
      <c r="OMR100" s="46"/>
      <c r="OMS100" s="46"/>
      <c r="OMT100" s="46"/>
      <c r="OMU100" s="46"/>
      <c r="OMV100" s="46"/>
      <c r="OMW100" s="46"/>
      <c r="OMX100" s="46"/>
      <c r="OMY100" s="46"/>
      <c r="OMZ100" s="46"/>
      <c r="ONA100" s="46"/>
      <c r="ONB100" s="46"/>
      <c r="ONC100" s="46"/>
      <c r="OND100" s="46"/>
      <c r="ONE100" s="46"/>
      <c r="ONF100" s="46"/>
      <c r="ONG100" s="46"/>
      <c r="ONH100" s="46"/>
      <c r="ONI100" s="46"/>
      <c r="ONJ100" s="46"/>
      <c r="ONK100" s="46"/>
      <c r="ONL100" s="46"/>
      <c r="ONM100" s="46"/>
      <c r="ONN100" s="46"/>
      <c r="ONO100" s="46"/>
      <c r="ONP100" s="46"/>
      <c r="ONQ100" s="46"/>
      <c r="ONR100" s="46"/>
      <c r="ONS100" s="46"/>
      <c r="ONT100" s="46"/>
      <c r="ONU100" s="46"/>
      <c r="ONV100" s="46"/>
      <c r="ONW100" s="46"/>
      <c r="ONX100" s="46"/>
      <c r="ONY100" s="46"/>
      <c r="ONZ100" s="46"/>
      <c r="OOA100" s="46"/>
      <c r="OOB100" s="46"/>
      <c r="OOC100" s="46"/>
      <c r="OOD100" s="46"/>
      <c r="OOE100" s="46"/>
      <c r="OOF100" s="46"/>
      <c r="OOG100" s="46"/>
      <c r="OOH100" s="46"/>
      <c r="OOI100" s="46"/>
      <c r="OOJ100" s="46"/>
      <c r="OOK100" s="46"/>
      <c r="OOL100" s="46"/>
      <c r="OOM100" s="46"/>
      <c r="OON100" s="46"/>
      <c r="OOO100" s="46"/>
      <c r="OOP100" s="46"/>
      <c r="OOQ100" s="46"/>
      <c r="OOR100" s="46"/>
      <c r="OOS100" s="46"/>
      <c r="OOT100" s="46"/>
      <c r="OOU100" s="46"/>
      <c r="OOV100" s="46"/>
      <c r="OOW100" s="46"/>
      <c r="OOX100" s="46"/>
      <c r="OOY100" s="46"/>
      <c r="OOZ100" s="46"/>
      <c r="OPA100" s="46"/>
      <c r="OPB100" s="46"/>
      <c r="OPC100" s="46"/>
      <c r="OPD100" s="46"/>
      <c r="OPE100" s="46"/>
      <c r="OPF100" s="46"/>
      <c r="OPG100" s="46"/>
      <c r="OPH100" s="46"/>
      <c r="OPI100" s="46"/>
      <c r="OPJ100" s="46"/>
      <c r="OPK100" s="46"/>
      <c r="OPL100" s="46"/>
      <c r="OPM100" s="46"/>
      <c r="OPN100" s="46"/>
      <c r="OPO100" s="46"/>
      <c r="OPP100" s="46"/>
      <c r="OPQ100" s="46"/>
      <c r="OPR100" s="46"/>
      <c r="OPS100" s="46"/>
      <c r="OPT100" s="46"/>
      <c r="OPU100" s="46"/>
      <c r="OPV100" s="46"/>
      <c r="OPW100" s="46"/>
      <c r="OPX100" s="46"/>
      <c r="OPY100" s="46"/>
      <c r="OPZ100" s="46"/>
      <c r="OQA100" s="46"/>
      <c r="OQB100" s="46"/>
      <c r="OQC100" s="46"/>
      <c r="OQD100" s="46"/>
      <c r="OQE100" s="46"/>
      <c r="OQF100" s="46"/>
      <c r="OQG100" s="46"/>
      <c r="OQH100" s="46"/>
      <c r="OQI100" s="46"/>
      <c r="OQJ100" s="46"/>
      <c r="OQK100" s="46"/>
      <c r="OQL100" s="46"/>
      <c r="OQM100" s="46"/>
      <c r="OQN100" s="46"/>
      <c r="OQO100" s="46"/>
      <c r="OQP100" s="46"/>
      <c r="OQQ100" s="46"/>
      <c r="OQR100" s="46"/>
      <c r="OQS100" s="46"/>
      <c r="OQT100" s="46"/>
      <c r="OQU100" s="46"/>
      <c r="OQV100" s="46"/>
      <c r="OQW100" s="46"/>
      <c r="OQX100" s="46"/>
      <c r="OQY100" s="46"/>
      <c r="OQZ100" s="46"/>
      <c r="ORA100" s="46"/>
      <c r="ORB100" s="46"/>
      <c r="ORC100" s="46"/>
      <c r="ORD100" s="46"/>
      <c r="ORE100" s="46"/>
      <c r="ORF100" s="46"/>
      <c r="ORG100" s="46"/>
      <c r="ORH100" s="46"/>
      <c r="ORI100" s="46"/>
      <c r="ORJ100" s="46"/>
      <c r="ORK100" s="46"/>
      <c r="ORL100" s="46"/>
      <c r="ORM100" s="46"/>
      <c r="ORN100" s="46"/>
      <c r="ORO100" s="46"/>
      <c r="ORP100" s="46"/>
      <c r="ORQ100" s="46"/>
      <c r="ORR100" s="46"/>
      <c r="ORS100" s="46"/>
      <c r="ORT100" s="46"/>
      <c r="ORU100" s="46"/>
      <c r="ORV100" s="46"/>
      <c r="ORW100" s="46"/>
      <c r="ORX100" s="46"/>
      <c r="ORY100" s="46"/>
      <c r="ORZ100" s="46"/>
      <c r="OSA100" s="46"/>
      <c r="OSB100" s="46"/>
      <c r="OSC100" s="46"/>
      <c r="OSD100" s="46"/>
      <c r="OSE100" s="46"/>
      <c r="OSF100" s="46"/>
      <c r="OSG100" s="46"/>
      <c r="OSH100" s="46"/>
      <c r="OSI100" s="46"/>
      <c r="OSJ100" s="46"/>
      <c r="OSK100" s="46"/>
      <c r="OSL100" s="46"/>
      <c r="OSM100" s="46"/>
      <c r="OSN100" s="46"/>
      <c r="OSO100" s="46"/>
      <c r="OSP100" s="46"/>
      <c r="OSQ100" s="46"/>
      <c r="OSR100" s="46"/>
      <c r="OSS100" s="46"/>
      <c r="OST100" s="46"/>
      <c r="OSU100" s="46"/>
      <c r="OSV100" s="46"/>
      <c r="OSW100" s="46"/>
      <c r="OSX100" s="46"/>
      <c r="OSY100" s="46"/>
      <c r="OSZ100" s="46"/>
      <c r="OTA100" s="46"/>
      <c r="OTB100" s="46"/>
      <c r="OTC100" s="46"/>
      <c r="OTD100" s="46"/>
      <c r="OTE100" s="46"/>
      <c r="OTF100" s="46"/>
      <c r="OTG100" s="46"/>
      <c r="OTH100" s="46"/>
      <c r="OTI100" s="46"/>
      <c r="OTJ100" s="46"/>
      <c r="OTK100" s="46"/>
      <c r="OTL100" s="46"/>
      <c r="OTM100" s="46"/>
      <c r="OTN100" s="46"/>
      <c r="OTO100" s="46"/>
      <c r="OTP100" s="46"/>
      <c r="OTQ100" s="46"/>
      <c r="OTR100" s="46"/>
      <c r="OTS100" s="46"/>
      <c r="OTT100" s="46"/>
      <c r="OTU100" s="46"/>
      <c r="OTV100" s="46"/>
      <c r="OTW100" s="46"/>
      <c r="OTX100" s="46"/>
      <c r="OTY100" s="46"/>
      <c r="OTZ100" s="46"/>
      <c r="OUA100" s="46"/>
      <c r="OUB100" s="46"/>
      <c r="OUC100" s="46"/>
      <c r="OUD100" s="46"/>
      <c r="OUE100" s="46"/>
      <c r="OUF100" s="46"/>
      <c r="OUG100" s="46"/>
      <c r="OUH100" s="46"/>
      <c r="OUI100" s="46"/>
      <c r="OUJ100" s="46"/>
      <c r="OUK100" s="46"/>
      <c r="OUL100" s="46"/>
      <c r="OUM100" s="46"/>
      <c r="OUN100" s="46"/>
      <c r="OUO100" s="46"/>
      <c r="OUP100" s="46"/>
      <c r="OUQ100" s="46"/>
      <c r="OUR100" s="46"/>
      <c r="OUS100" s="46"/>
      <c r="OUT100" s="46"/>
      <c r="OUU100" s="46"/>
      <c r="OUV100" s="46"/>
      <c r="OUW100" s="46"/>
      <c r="OUX100" s="46"/>
      <c r="OUY100" s="46"/>
      <c r="OUZ100" s="46"/>
      <c r="OVA100" s="46"/>
      <c r="OVB100" s="46"/>
      <c r="OVC100" s="46"/>
      <c r="OVD100" s="46"/>
      <c r="OVE100" s="46"/>
      <c r="OVF100" s="46"/>
      <c r="OVG100" s="46"/>
      <c r="OVH100" s="46"/>
      <c r="OVI100" s="46"/>
      <c r="OVJ100" s="46"/>
      <c r="OVK100" s="46"/>
      <c r="OVL100" s="46"/>
      <c r="OVM100" s="46"/>
      <c r="OVN100" s="46"/>
      <c r="OVO100" s="46"/>
      <c r="OVP100" s="46"/>
      <c r="OVQ100" s="46"/>
      <c r="OVR100" s="46"/>
      <c r="OVS100" s="46"/>
      <c r="OVT100" s="46"/>
      <c r="OVU100" s="46"/>
      <c r="OVV100" s="46"/>
      <c r="OVW100" s="46"/>
      <c r="OVX100" s="46"/>
      <c r="OVY100" s="46"/>
      <c r="OVZ100" s="46"/>
      <c r="OWA100" s="46"/>
      <c r="OWB100" s="46"/>
      <c r="OWC100" s="46"/>
      <c r="OWD100" s="46"/>
      <c r="OWE100" s="46"/>
      <c r="OWF100" s="46"/>
      <c r="OWG100" s="46"/>
      <c r="OWH100" s="46"/>
      <c r="OWI100" s="46"/>
      <c r="OWJ100" s="46"/>
      <c r="OWK100" s="46"/>
      <c r="OWL100" s="46"/>
      <c r="OWM100" s="46"/>
      <c r="OWN100" s="46"/>
      <c r="OWO100" s="46"/>
      <c r="OWP100" s="46"/>
      <c r="OWQ100" s="46"/>
      <c r="OWR100" s="46"/>
      <c r="OWS100" s="46"/>
      <c r="OWT100" s="46"/>
      <c r="OWU100" s="46"/>
      <c r="OWV100" s="46"/>
      <c r="OWW100" s="46"/>
      <c r="OWX100" s="46"/>
      <c r="OWY100" s="46"/>
      <c r="OWZ100" s="46"/>
      <c r="OXA100" s="46"/>
      <c r="OXB100" s="46"/>
      <c r="OXC100" s="46"/>
      <c r="OXD100" s="46"/>
      <c r="OXE100" s="46"/>
      <c r="OXF100" s="46"/>
      <c r="OXG100" s="46"/>
      <c r="OXH100" s="46"/>
      <c r="OXI100" s="46"/>
      <c r="OXJ100" s="46"/>
      <c r="OXK100" s="46"/>
      <c r="OXL100" s="46"/>
      <c r="OXM100" s="46"/>
      <c r="OXN100" s="46"/>
      <c r="OXO100" s="46"/>
      <c r="OXP100" s="46"/>
      <c r="OXQ100" s="46"/>
      <c r="OXR100" s="46"/>
      <c r="OXS100" s="46"/>
      <c r="OXT100" s="46"/>
      <c r="OXU100" s="46"/>
      <c r="OXV100" s="46"/>
      <c r="OXW100" s="46"/>
      <c r="OXX100" s="46"/>
      <c r="OXY100" s="46"/>
      <c r="OXZ100" s="46"/>
      <c r="OYA100" s="46"/>
      <c r="OYB100" s="46"/>
      <c r="OYC100" s="46"/>
      <c r="OYD100" s="46"/>
      <c r="OYE100" s="46"/>
      <c r="OYF100" s="46"/>
      <c r="OYG100" s="46"/>
      <c r="OYH100" s="46"/>
      <c r="OYI100" s="46"/>
      <c r="OYJ100" s="46"/>
      <c r="OYK100" s="46"/>
      <c r="OYL100" s="46"/>
      <c r="OYM100" s="46"/>
      <c r="OYN100" s="46"/>
      <c r="OYO100" s="46"/>
      <c r="OYP100" s="46"/>
      <c r="OYQ100" s="46"/>
      <c r="OYR100" s="46"/>
      <c r="OYS100" s="46"/>
      <c r="OYT100" s="46"/>
      <c r="OYU100" s="46"/>
      <c r="OYV100" s="46"/>
      <c r="OYW100" s="46"/>
      <c r="OYX100" s="46"/>
      <c r="OYY100" s="46"/>
      <c r="OYZ100" s="46"/>
      <c r="OZA100" s="46"/>
      <c r="OZB100" s="46"/>
      <c r="OZC100" s="46"/>
      <c r="OZD100" s="46"/>
      <c r="OZE100" s="46"/>
      <c r="OZF100" s="46"/>
      <c r="OZG100" s="46"/>
      <c r="OZH100" s="46"/>
      <c r="OZI100" s="46"/>
      <c r="OZJ100" s="46"/>
      <c r="OZK100" s="46"/>
      <c r="OZL100" s="46"/>
      <c r="OZM100" s="46"/>
      <c r="OZN100" s="46"/>
      <c r="OZO100" s="46"/>
      <c r="OZP100" s="46"/>
      <c r="OZQ100" s="46"/>
      <c r="OZR100" s="46"/>
      <c r="OZS100" s="46"/>
      <c r="OZT100" s="46"/>
      <c r="OZU100" s="46"/>
      <c r="OZV100" s="46"/>
      <c r="OZW100" s="46"/>
      <c r="OZX100" s="46"/>
      <c r="OZY100" s="46"/>
      <c r="OZZ100" s="46"/>
      <c r="PAA100" s="46"/>
      <c r="PAB100" s="46"/>
      <c r="PAC100" s="46"/>
      <c r="PAD100" s="46"/>
      <c r="PAE100" s="46"/>
      <c r="PAF100" s="46"/>
      <c r="PAG100" s="46"/>
      <c r="PAH100" s="46"/>
      <c r="PAI100" s="46"/>
      <c r="PAJ100" s="46"/>
      <c r="PAK100" s="46"/>
      <c r="PAL100" s="46"/>
      <c r="PAM100" s="46"/>
      <c r="PAN100" s="46"/>
      <c r="PAO100" s="46"/>
      <c r="PAP100" s="46"/>
      <c r="PAQ100" s="46"/>
      <c r="PAR100" s="46"/>
      <c r="PAS100" s="46"/>
      <c r="PAT100" s="46"/>
      <c r="PAU100" s="46"/>
      <c r="PAV100" s="46"/>
      <c r="PAW100" s="46"/>
      <c r="PAX100" s="46"/>
      <c r="PAY100" s="46"/>
      <c r="PAZ100" s="46"/>
      <c r="PBA100" s="46"/>
      <c r="PBB100" s="46"/>
      <c r="PBC100" s="46"/>
      <c r="PBD100" s="46"/>
      <c r="PBE100" s="46"/>
      <c r="PBF100" s="46"/>
      <c r="PBG100" s="46"/>
      <c r="PBH100" s="46"/>
      <c r="PBI100" s="46"/>
      <c r="PBJ100" s="46"/>
      <c r="PBK100" s="46"/>
      <c r="PBL100" s="46"/>
      <c r="PBM100" s="46"/>
      <c r="PBN100" s="46"/>
      <c r="PBO100" s="46"/>
      <c r="PBP100" s="46"/>
      <c r="PBQ100" s="46"/>
      <c r="PBR100" s="46"/>
      <c r="PBS100" s="46"/>
      <c r="PBT100" s="46"/>
      <c r="PBU100" s="46"/>
      <c r="PBV100" s="46"/>
      <c r="PBW100" s="46"/>
      <c r="PBX100" s="46"/>
      <c r="PBY100" s="46"/>
      <c r="PBZ100" s="46"/>
      <c r="PCA100" s="46"/>
      <c r="PCB100" s="46"/>
      <c r="PCC100" s="46"/>
      <c r="PCD100" s="46"/>
      <c r="PCE100" s="46"/>
      <c r="PCF100" s="46"/>
      <c r="PCG100" s="46"/>
      <c r="PCH100" s="46"/>
      <c r="PCI100" s="46"/>
      <c r="PCJ100" s="46"/>
      <c r="PCK100" s="46"/>
      <c r="PCL100" s="46"/>
      <c r="PCM100" s="46"/>
      <c r="PCN100" s="46"/>
      <c r="PCO100" s="46"/>
      <c r="PCP100" s="46"/>
      <c r="PCQ100" s="46"/>
      <c r="PCR100" s="46"/>
      <c r="PCS100" s="46"/>
      <c r="PCT100" s="46"/>
      <c r="PCU100" s="46"/>
      <c r="PCV100" s="46"/>
      <c r="PCW100" s="46"/>
      <c r="PCX100" s="46"/>
      <c r="PCY100" s="46"/>
      <c r="PCZ100" s="46"/>
      <c r="PDA100" s="46"/>
      <c r="PDB100" s="46"/>
      <c r="PDC100" s="46"/>
      <c r="PDD100" s="46"/>
      <c r="PDE100" s="46"/>
      <c r="PDF100" s="46"/>
      <c r="PDG100" s="46"/>
      <c r="PDH100" s="46"/>
      <c r="PDI100" s="46"/>
      <c r="PDJ100" s="46"/>
      <c r="PDK100" s="46"/>
      <c r="PDL100" s="46"/>
      <c r="PDM100" s="46"/>
      <c r="PDN100" s="46"/>
      <c r="PDO100" s="46"/>
      <c r="PDP100" s="46"/>
      <c r="PDQ100" s="46"/>
      <c r="PDR100" s="46"/>
      <c r="PDS100" s="46"/>
      <c r="PDT100" s="46"/>
      <c r="PDU100" s="46"/>
      <c r="PDV100" s="46"/>
      <c r="PDW100" s="46"/>
      <c r="PDX100" s="46"/>
      <c r="PDY100" s="46"/>
      <c r="PDZ100" s="46"/>
      <c r="PEA100" s="46"/>
      <c r="PEB100" s="46"/>
      <c r="PEC100" s="46"/>
      <c r="PED100" s="46"/>
      <c r="PEE100" s="46"/>
      <c r="PEF100" s="46"/>
      <c r="PEG100" s="46"/>
      <c r="PEH100" s="46"/>
      <c r="PEI100" s="46"/>
      <c r="PEJ100" s="46"/>
      <c r="PEK100" s="46"/>
      <c r="PEL100" s="46"/>
      <c r="PEM100" s="46"/>
      <c r="PEN100" s="46"/>
      <c r="PEO100" s="46"/>
      <c r="PEP100" s="46"/>
      <c r="PEQ100" s="46"/>
      <c r="PER100" s="46"/>
      <c r="PES100" s="46"/>
      <c r="PET100" s="46"/>
      <c r="PEU100" s="46"/>
      <c r="PEV100" s="46"/>
      <c r="PEW100" s="46"/>
      <c r="PEX100" s="46"/>
      <c r="PEY100" s="46"/>
      <c r="PEZ100" s="46"/>
      <c r="PFA100" s="46"/>
      <c r="PFB100" s="46"/>
      <c r="PFC100" s="46"/>
      <c r="PFD100" s="46"/>
      <c r="PFE100" s="46"/>
      <c r="PFF100" s="46"/>
      <c r="PFG100" s="46"/>
      <c r="PFH100" s="46"/>
      <c r="PFI100" s="46"/>
      <c r="PFJ100" s="46"/>
      <c r="PFK100" s="46"/>
      <c r="PFL100" s="46"/>
      <c r="PFM100" s="46"/>
      <c r="PFN100" s="46"/>
      <c r="PFO100" s="46"/>
      <c r="PFP100" s="46"/>
      <c r="PFQ100" s="46"/>
      <c r="PFR100" s="46"/>
      <c r="PFS100" s="46"/>
      <c r="PFT100" s="46"/>
      <c r="PFU100" s="46"/>
      <c r="PFV100" s="46"/>
      <c r="PFW100" s="46"/>
      <c r="PFX100" s="46"/>
      <c r="PFY100" s="46"/>
      <c r="PFZ100" s="46"/>
      <c r="PGA100" s="46"/>
      <c r="PGB100" s="46"/>
      <c r="PGC100" s="46"/>
      <c r="PGD100" s="46"/>
      <c r="PGE100" s="46"/>
      <c r="PGF100" s="46"/>
      <c r="PGG100" s="46"/>
      <c r="PGH100" s="46"/>
      <c r="PGI100" s="46"/>
      <c r="PGJ100" s="46"/>
      <c r="PGK100" s="46"/>
      <c r="PGL100" s="46"/>
      <c r="PGM100" s="46"/>
      <c r="PGN100" s="46"/>
      <c r="PGO100" s="46"/>
      <c r="PGP100" s="46"/>
      <c r="PGQ100" s="46"/>
      <c r="PGR100" s="46"/>
      <c r="PGS100" s="46"/>
      <c r="PGT100" s="46"/>
      <c r="PGU100" s="46"/>
      <c r="PGV100" s="46"/>
      <c r="PGW100" s="46"/>
      <c r="PGX100" s="46"/>
      <c r="PGY100" s="46"/>
      <c r="PGZ100" s="46"/>
      <c r="PHA100" s="46"/>
      <c r="PHB100" s="46"/>
      <c r="PHC100" s="46"/>
      <c r="PHD100" s="46"/>
      <c r="PHE100" s="46"/>
      <c r="PHF100" s="46"/>
      <c r="PHG100" s="46"/>
      <c r="PHH100" s="46"/>
      <c r="PHI100" s="46"/>
      <c r="PHJ100" s="46"/>
      <c r="PHK100" s="46"/>
      <c r="PHL100" s="46"/>
      <c r="PHM100" s="46"/>
      <c r="PHN100" s="46"/>
      <c r="PHO100" s="46"/>
      <c r="PHP100" s="46"/>
      <c r="PHQ100" s="46"/>
      <c r="PHR100" s="46"/>
      <c r="PHS100" s="46"/>
      <c r="PHT100" s="46"/>
      <c r="PHU100" s="46"/>
      <c r="PHV100" s="46"/>
      <c r="PHW100" s="46"/>
      <c r="PHX100" s="46"/>
      <c r="PHY100" s="46"/>
      <c r="PHZ100" s="46"/>
      <c r="PIA100" s="46"/>
      <c r="PIB100" s="46"/>
      <c r="PIC100" s="46"/>
      <c r="PID100" s="46"/>
      <c r="PIE100" s="46"/>
      <c r="PIF100" s="46"/>
      <c r="PIG100" s="46"/>
      <c r="PIH100" s="46"/>
      <c r="PII100" s="46"/>
      <c r="PIJ100" s="46"/>
      <c r="PIK100" s="46"/>
      <c r="PIL100" s="46"/>
      <c r="PIM100" s="46"/>
      <c r="PIN100" s="46"/>
      <c r="PIO100" s="46"/>
      <c r="PIP100" s="46"/>
      <c r="PIQ100" s="46"/>
      <c r="PIR100" s="46"/>
      <c r="PIS100" s="46"/>
      <c r="PIT100" s="46"/>
      <c r="PIU100" s="46"/>
      <c r="PIV100" s="46"/>
      <c r="PIW100" s="46"/>
      <c r="PIX100" s="46"/>
      <c r="PIY100" s="46"/>
      <c r="PIZ100" s="46"/>
      <c r="PJA100" s="46"/>
      <c r="PJB100" s="46"/>
      <c r="PJC100" s="46"/>
      <c r="PJD100" s="46"/>
      <c r="PJE100" s="46"/>
      <c r="PJF100" s="46"/>
      <c r="PJG100" s="46"/>
      <c r="PJH100" s="46"/>
      <c r="PJI100" s="46"/>
      <c r="PJJ100" s="46"/>
      <c r="PJK100" s="46"/>
      <c r="PJL100" s="46"/>
      <c r="PJM100" s="46"/>
      <c r="PJN100" s="46"/>
      <c r="PJO100" s="46"/>
      <c r="PJP100" s="46"/>
      <c r="PJQ100" s="46"/>
      <c r="PJR100" s="46"/>
      <c r="PJS100" s="46"/>
      <c r="PJT100" s="46"/>
      <c r="PJU100" s="46"/>
      <c r="PJV100" s="46"/>
      <c r="PJW100" s="46"/>
      <c r="PJX100" s="46"/>
      <c r="PJY100" s="46"/>
      <c r="PJZ100" s="46"/>
      <c r="PKA100" s="46"/>
      <c r="PKB100" s="46"/>
      <c r="PKC100" s="46"/>
      <c r="PKD100" s="46"/>
      <c r="PKE100" s="46"/>
      <c r="PKF100" s="46"/>
      <c r="PKG100" s="46"/>
      <c r="PKH100" s="46"/>
      <c r="PKI100" s="46"/>
      <c r="PKJ100" s="46"/>
      <c r="PKK100" s="46"/>
      <c r="PKL100" s="46"/>
      <c r="PKM100" s="46"/>
      <c r="PKN100" s="46"/>
      <c r="PKO100" s="46"/>
      <c r="PKP100" s="46"/>
      <c r="PKQ100" s="46"/>
      <c r="PKR100" s="46"/>
      <c r="PKS100" s="46"/>
      <c r="PKT100" s="46"/>
      <c r="PKU100" s="46"/>
      <c r="PKV100" s="46"/>
      <c r="PKW100" s="46"/>
      <c r="PKX100" s="46"/>
      <c r="PKY100" s="46"/>
      <c r="PKZ100" s="46"/>
      <c r="PLA100" s="46"/>
      <c r="PLB100" s="46"/>
      <c r="PLC100" s="46"/>
      <c r="PLD100" s="46"/>
      <c r="PLE100" s="46"/>
      <c r="PLF100" s="46"/>
      <c r="PLG100" s="46"/>
      <c r="PLH100" s="46"/>
      <c r="PLI100" s="46"/>
      <c r="PLJ100" s="46"/>
      <c r="PLK100" s="46"/>
      <c r="PLL100" s="46"/>
      <c r="PLM100" s="46"/>
      <c r="PLN100" s="46"/>
      <c r="PLO100" s="46"/>
      <c r="PLP100" s="46"/>
      <c r="PLQ100" s="46"/>
      <c r="PLR100" s="46"/>
      <c r="PLS100" s="46"/>
      <c r="PLT100" s="46"/>
      <c r="PLU100" s="46"/>
      <c r="PLV100" s="46"/>
      <c r="PLW100" s="46"/>
      <c r="PLX100" s="46"/>
      <c r="PLY100" s="46"/>
      <c r="PLZ100" s="46"/>
      <c r="PMA100" s="46"/>
      <c r="PMB100" s="46"/>
      <c r="PMC100" s="46"/>
      <c r="PMD100" s="46"/>
      <c r="PME100" s="46"/>
      <c r="PMF100" s="46"/>
      <c r="PMG100" s="46"/>
      <c r="PMH100" s="46"/>
      <c r="PMI100" s="46"/>
      <c r="PMJ100" s="46"/>
      <c r="PMK100" s="46"/>
      <c r="PML100" s="46"/>
      <c r="PMM100" s="46"/>
      <c r="PMN100" s="46"/>
      <c r="PMO100" s="46"/>
      <c r="PMP100" s="46"/>
      <c r="PMQ100" s="46"/>
      <c r="PMR100" s="46"/>
      <c r="PMS100" s="46"/>
      <c r="PMT100" s="46"/>
      <c r="PMU100" s="46"/>
      <c r="PMV100" s="46"/>
      <c r="PMW100" s="46"/>
      <c r="PMX100" s="46"/>
      <c r="PMY100" s="46"/>
      <c r="PMZ100" s="46"/>
      <c r="PNA100" s="46"/>
      <c r="PNB100" s="46"/>
      <c r="PNC100" s="46"/>
      <c r="PND100" s="46"/>
      <c r="PNE100" s="46"/>
      <c r="PNF100" s="46"/>
      <c r="PNG100" s="46"/>
      <c r="PNH100" s="46"/>
      <c r="PNI100" s="46"/>
      <c r="PNJ100" s="46"/>
      <c r="PNK100" s="46"/>
      <c r="PNL100" s="46"/>
      <c r="PNM100" s="46"/>
      <c r="PNN100" s="46"/>
      <c r="PNO100" s="46"/>
      <c r="PNP100" s="46"/>
      <c r="PNQ100" s="46"/>
      <c r="PNR100" s="46"/>
      <c r="PNS100" s="46"/>
      <c r="PNT100" s="46"/>
      <c r="PNU100" s="46"/>
      <c r="PNV100" s="46"/>
      <c r="PNW100" s="46"/>
      <c r="PNX100" s="46"/>
      <c r="PNY100" s="46"/>
      <c r="PNZ100" s="46"/>
      <c r="POA100" s="46"/>
      <c r="POB100" s="46"/>
      <c r="POC100" s="46"/>
      <c r="POD100" s="46"/>
      <c r="POE100" s="46"/>
      <c r="POF100" s="46"/>
      <c r="POG100" s="46"/>
      <c r="POH100" s="46"/>
      <c r="POI100" s="46"/>
      <c r="POJ100" s="46"/>
      <c r="POK100" s="46"/>
      <c r="POL100" s="46"/>
      <c r="POM100" s="46"/>
      <c r="PON100" s="46"/>
      <c r="POO100" s="46"/>
      <c r="POP100" s="46"/>
      <c r="POQ100" s="46"/>
      <c r="POR100" s="46"/>
      <c r="POS100" s="46"/>
      <c r="POT100" s="46"/>
      <c r="POU100" s="46"/>
      <c r="POV100" s="46"/>
      <c r="POW100" s="46"/>
      <c r="POX100" s="46"/>
      <c r="POY100" s="46"/>
      <c r="POZ100" s="46"/>
      <c r="PPA100" s="46"/>
      <c r="PPB100" s="46"/>
      <c r="PPC100" s="46"/>
      <c r="PPD100" s="46"/>
      <c r="PPE100" s="46"/>
      <c r="PPF100" s="46"/>
      <c r="PPG100" s="46"/>
      <c r="PPH100" s="46"/>
      <c r="PPI100" s="46"/>
      <c r="PPJ100" s="46"/>
      <c r="PPK100" s="46"/>
      <c r="PPL100" s="46"/>
      <c r="PPM100" s="46"/>
      <c r="PPN100" s="46"/>
      <c r="PPO100" s="46"/>
      <c r="PPP100" s="46"/>
      <c r="PPQ100" s="46"/>
      <c r="PPR100" s="46"/>
      <c r="PPS100" s="46"/>
      <c r="PPT100" s="46"/>
      <c r="PPU100" s="46"/>
      <c r="PPV100" s="46"/>
      <c r="PPW100" s="46"/>
      <c r="PPX100" s="46"/>
      <c r="PPY100" s="46"/>
      <c r="PPZ100" s="46"/>
      <c r="PQA100" s="46"/>
      <c r="PQB100" s="46"/>
      <c r="PQC100" s="46"/>
      <c r="PQD100" s="46"/>
      <c r="PQE100" s="46"/>
      <c r="PQF100" s="46"/>
      <c r="PQG100" s="46"/>
      <c r="PQH100" s="46"/>
      <c r="PQI100" s="46"/>
      <c r="PQJ100" s="46"/>
      <c r="PQK100" s="46"/>
      <c r="PQL100" s="46"/>
      <c r="PQM100" s="46"/>
      <c r="PQN100" s="46"/>
      <c r="PQO100" s="46"/>
      <c r="PQP100" s="46"/>
      <c r="PQQ100" s="46"/>
      <c r="PQR100" s="46"/>
      <c r="PQS100" s="46"/>
      <c r="PQT100" s="46"/>
      <c r="PQU100" s="46"/>
      <c r="PQV100" s="46"/>
      <c r="PQW100" s="46"/>
      <c r="PQX100" s="46"/>
      <c r="PQY100" s="46"/>
      <c r="PQZ100" s="46"/>
      <c r="PRA100" s="46"/>
      <c r="PRB100" s="46"/>
      <c r="PRC100" s="46"/>
      <c r="PRD100" s="46"/>
      <c r="PRE100" s="46"/>
      <c r="PRF100" s="46"/>
      <c r="PRG100" s="46"/>
      <c r="PRH100" s="46"/>
      <c r="PRI100" s="46"/>
      <c r="PRJ100" s="46"/>
      <c r="PRK100" s="46"/>
      <c r="PRL100" s="46"/>
      <c r="PRM100" s="46"/>
      <c r="PRN100" s="46"/>
      <c r="PRO100" s="46"/>
      <c r="PRP100" s="46"/>
      <c r="PRQ100" s="46"/>
      <c r="PRR100" s="46"/>
      <c r="PRS100" s="46"/>
      <c r="PRT100" s="46"/>
      <c r="PRU100" s="46"/>
      <c r="PRV100" s="46"/>
      <c r="PRW100" s="46"/>
      <c r="PRX100" s="46"/>
      <c r="PRY100" s="46"/>
      <c r="PRZ100" s="46"/>
      <c r="PSA100" s="46"/>
      <c r="PSB100" s="46"/>
      <c r="PSC100" s="46"/>
      <c r="PSD100" s="46"/>
      <c r="PSE100" s="46"/>
      <c r="PSF100" s="46"/>
      <c r="PSG100" s="46"/>
      <c r="PSH100" s="46"/>
      <c r="PSI100" s="46"/>
      <c r="PSJ100" s="46"/>
      <c r="PSK100" s="46"/>
      <c r="PSL100" s="46"/>
      <c r="PSM100" s="46"/>
      <c r="PSN100" s="46"/>
      <c r="PSO100" s="46"/>
      <c r="PSP100" s="46"/>
      <c r="PSQ100" s="46"/>
      <c r="PSR100" s="46"/>
      <c r="PSS100" s="46"/>
      <c r="PST100" s="46"/>
      <c r="PSU100" s="46"/>
      <c r="PSV100" s="46"/>
      <c r="PSW100" s="46"/>
      <c r="PSX100" s="46"/>
      <c r="PSY100" s="46"/>
      <c r="PSZ100" s="46"/>
      <c r="PTA100" s="46"/>
      <c r="PTB100" s="46"/>
      <c r="PTC100" s="46"/>
      <c r="PTD100" s="46"/>
      <c r="PTE100" s="46"/>
      <c r="PTF100" s="46"/>
      <c r="PTG100" s="46"/>
      <c r="PTH100" s="46"/>
      <c r="PTI100" s="46"/>
      <c r="PTJ100" s="46"/>
      <c r="PTK100" s="46"/>
      <c r="PTL100" s="46"/>
      <c r="PTM100" s="46"/>
      <c r="PTN100" s="46"/>
      <c r="PTO100" s="46"/>
      <c r="PTP100" s="46"/>
      <c r="PTQ100" s="46"/>
      <c r="PTR100" s="46"/>
      <c r="PTS100" s="46"/>
      <c r="PTT100" s="46"/>
      <c r="PTU100" s="46"/>
      <c r="PTV100" s="46"/>
      <c r="PTW100" s="46"/>
      <c r="PTX100" s="46"/>
      <c r="PTY100" s="46"/>
      <c r="PTZ100" s="46"/>
      <c r="PUA100" s="46"/>
      <c r="PUB100" s="46"/>
      <c r="PUC100" s="46"/>
      <c r="PUD100" s="46"/>
      <c r="PUE100" s="46"/>
      <c r="PUF100" s="46"/>
      <c r="PUG100" s="46"/>
      <c r="PUH100" s="46"/>
      <c r="PUI100" s="46"/>
      <c r="PUJ100" s="46"/>
      <c r="PUK100" s="46"/>
      <c r="PUL100" s="46"/>
      <c r="PUM100" s="46"/>
      <c r="PUN100" s="46"/>
      <c r="PUO100" s="46"/>
      <c r="PUP100" s="46"/>
      <c r="PUQ100" s="46"/>
      <c r="PUR100" s="46"/>
      <c r="PUS100" s="46"/>
      <c r="PUT100" s="46"/>
      <c r="PUU100" s="46"/>
      <c r="PUV100" s="46"/>
      <c r="PUW100" s="46"/>
      <c r="PUX100" s="46"/>
      <c r="PUY100" s="46"/>
      <c r="PUZ100" s="46"/>
      <c r="PVA100" s="46"/>
      <c r="PVB100" s="46"/>
      <c r="PVC100" s="46"/>
      <c r="PVD100" s="46"/>
      <c r="PVE100" s="46"/>
      <c r="PVF100" s="46"/>
      <c r="PVG100" s="46"/>
      <c r="PVH100" s="46"/>
      <c r="PVI100" s="46"/>
      <c r="PVJ100" s="46"/>
      <c r="PVK100" s="46"/>
      <c r="PVL100" s="46"/>
      <c r="PVM100" s="46"/>
      <c r="PVN100" s="46"/>
      <c r="PVO100" s="46"/>
      <c r="PVP100" s="46"/>
      <c r="PVQ100" s="46"/>
      <c r="PVR100" s="46"/>
      <c r="PVS100" s="46"/>
      <c r="PVT100" s="46"/>
      <c r="PVU100" s="46"/>
      <c r="PVV100" s="46"/>
      <c r="PVW100" s="46"/>
      <c r="PVX100" s="46"/>
      <c r="PVY100" s="46"/>
      <c r="PVZ100" s="46"/>
      <c r="PWA100" s="46"/>
      <c r="PWB100" s="46"/>
      <c r="PWC100" s="46"/>
      <c r="PWD100" s="46"/>
      <c r="PWE100" s="46"/>
      <c r="PWF100" s="46"/>
      <c r="PWG100" s="46"/>
      <c r="PWH100" s="46"/>
      <c r="PWI100" s="46"/>
      <c r="PWJ100" s="46"/>
      <c r="PWK100" s="46"/>
      <c r="PWL100" s="46"/>
      <c r="PWM100" s="46"/>
      <c r="PWN100" s="46"/>
      <c r="PWO100" s="46"/>
      <c r="PWP100" s="46"/>
      <c r="PWQ100" s="46"/>
      <c r="PWR100" s="46"/>
      <c r="PWS100" s="46"/>
      <c r="PWT100" s="46"/>
      <c r="PWU100" s="46"/>
      <c r="PWV100" s="46"/>
      <c r="PWW100" s="46"/>
      <c r="PWX100" s="46"/>
      <c r="PWY100" s="46"/>
      <c r="PWZ100" s="46"/>
      <c r="PXA100" s="46"/>
      <c r="PXB100" s="46"/>
      <c r="PXC100" s="46"/>
      <c r="PXD100" s="46"/>
      <c r="PXE100" s="46"/>
      <c r="PXF100" s="46"/>
      <c r="PXG100" s="46"/>
      <c r="PXH100" s="46"/>
      <c r="PXI100" s="46"/>
      <c r="PXJ100" s="46"/>
      <c r="PXK100" s="46"/>
      <c r="PXL100" s="46"/>
      <c r="PXM100" s="46"/>
      <c r="PXN100" s="46"/>
      <c r="PXO100" s="46"/>
      <c r="PXP100" s="46"/>
      <c r="PXQ100" s="46"/>
      <c r="PXR100" s="46"/>
      <c r="PXS100" s="46"/>
      <c r="PXT100" s="46"/>
      <c r="PXU100" s="46"/>
      <c r="PXV100" s="46"/>
      <c r="PXW100" s="46"/>
      <c r="PXX100" s="46"/>
      <c r="PXY100" s="46"/>
      <c r="PXZ100" s="46"/>
      <c r="PYA100" s="46"/>
      <c r="PYB100" s="46"/>
      <c r="PYC100" s="46"/>
      <c r="PYD100" s="46"/>
      <c r="PYE100" s="46"/>
      <c r="PYF100" s="46"/>
      <c r="PYG100" s="46"/>
      <c r="PYH100" s="46"/>
      <c r="PYI100" s="46"/>
      <c r="PYJ100" s="46"/>
      <c r="PYK100" s="46"/>
      <c r="PYL100" s="46"/>
      <c r="PYM100" s="46"/>
      <c r="PYN100" s="46"/>
      <c r="PYO100" s="46"/>
      <c r="PYP100" s="46"/>
      <c r="PYQ100" s="46"/>
      <c r="PYR100" s="46"/>
      <c r="PYS100" s="46"/>
      <c r="PYT100" s="46"/>
      <c r="PYU100" s="46"/>
      <c r="PYV100" s="46"/>
      <c r="PYW100" s="46"/>
      <c r="PYX100" s="46"/>
      <c r="PYY100" s="46"/>
      <c r="PYZ100" s="46"/>
      <c r="PZA100" s="46"/>
      <c r="PZB100" s="46"/>
      <c r="PZC100" s="46"/>
      <c r="PZD100" s="46"/>
      <c r="PZE100" s="46"/>
      <c r="PZF100" s="46"/>
      <c r="PZG100" s="46"/>
      <c r="PZH100" s="46"/>
      <c r="PZI100" s="46"/>
      <c r="PZJ100" s="46"/>
      <c r="PZK100" s="46"/>
      <c r="PZL100" s="46"/>
      <c r="PZM100" s="46"/>
      <c r="PZN100" s="46"/>
      <c r="PZO100" s="46"/>
      <c r="PZP100" s="46"/>
      <c r="PZQ100" s="46"/>
      <c r="PZR100" s="46"/>
      <c r="PZS100" s="46"/>
      <c r="PZT100" s="46"/>
      <c r="PZU100" s="46"/>
      <c r="PZV100" s="46"/>
      <c r="PZW100" s="46"/>
      <c r="PZX100" s="46"/>
      <c r="PZY100" s="46"/>
      <c r="PZZ100" s="46"/>
      <c r="QAA100" s="46"/>
      <c r="QAB100" s="46"/>
      <c r="QAC100" s="46"/>
      <c r="QAD100" s="46"/>
      <c r="QAE100" s="46"/>
      <c r="QAF100" s="46"/>
      <c r="QAG100" s="46"/>
      <c r="QAH100" s="46"/>
      <c r="QAI100" s="46"/>
      <c r="QAJ100" s="46"/>
      <c r="QAK100" s="46"/>
      <c r="QAL100" s="46"/>
      <c r="QAM100" s="46"/>
      <c r="QAN100" s="46"/>
      <c r="QAO100" s="46"/>
      <c r="QAP100" s="46"/>
      <c r="QAQ100" s="46"/>
      <c r="QAR100" s="46"/>
      <c r="QAS100" s="46"/>
      <c r="QAT100" s="46"/>
      <c r="QAU100" s="46"/>
      <c r="QAV100" s="46"/>
      <c r="QAW100" s="46"/>
      <c r="QAX100" s="46"/>
      <c r="QAY100" s="46"/>
      <c r="QAZ100" s="46"/>
      <c r="QBA100" s="46"/>
      <c r="QBB100" s="46"/>
      <c r="QBC100" s="46"/>
      <c r="QBD100" s="46"/>
      <c r="QBE100" s="46"/>
      <c r="QBF100" s="46"/>
      <c r="QBG100" s="46"/>
      <c r="QBH100" s="46"/>
      <c r="QBI100" s="46"/>
      <c r="QBJ100" s="46"/>
      <c r="QBK100" s="46"/>
      <c r="QBL100" s="46"/>
      <c r="QBM100" s="46"/>
      <c r="QBN100" s="46"/>
      <c r="QBO100" s="46"/>
      <c r="QBP100" s="46"/>
      <c r="QBQ100" s="46"/>
      <c r="QBR100" s="46"/>
      <c r="QBS100" s="46"/>
      <c r="QBT100" s="46"/>
      <c r="QBU100" s="46"/>
      <c r="QBV100" s="46"/>
      <c r="QBW100" s="46"/>
      <c r="QBX100" s="46"/>
      <c r="QBY100" s="46"/>
      <c r="QBZ100" s="46"/>
      <c r="QCA100" s="46"/>
      <c r="QCB100" s="46"/>
      <c r="QCC100" s="46"/>
      <c r="QCD100" s="46"/>
      <c r="QCE100" s="46"/>
      <c r="QCF100" s="46"/>
      <c r="QCG100" s="46"/>
      <c r="QCH100" s="46"/>
      <c r="QCI100" s="46"/>
      <c r="QCJ100" s="46"/>
      <c r="QCK100" s="46"/>
      <c r="QCL100" s="46"/>
      <c r="QCM100" s="46"/>
      <c r="QCN100" s="46"/>
      <c r="QCO100" s="46"/>
      <c r="QCP100" s="46"/>
      <c r="QCQ100" s="46"/>
      <c r="QCR100" s="46"/>
      <c r="QCS100" s="46"/>
      <c r="QCT100" s="46"/>
      <c r="QCU100" s="46"/>
      <c r="QCV100" s="46"/>
      <c r="QCW100" s="46"/>
      <c r="QCX100" s="46"/>
      <c r="QCY100" s="46"/>
      <c r="QCZ100" s="46"/>
      <c r="QDA100" s="46"/>
      <c r="QDB100" s="46"/>
      <c r="QDC100" s="46"/>
      <c r="QDD100" s="46"/>
      <c r="QDE100" s="46"/>
      <c r="QDF100" s="46"/>
      <c r="QDG100" s="46"/>
      <c r="QDH100" s="46"/>
      <c r="QDI100" s="46"/>
      <c r="QDJ100" s="46"/>
      <c r="QDK100" s="46"/>
      <c r="QDL100" s="46"/>
      <c r="QDM100" s="46"/>
      <c r="QDN100" s="46"/>
      <c r="QDO100" s="46"/>
      <c r="QDP100" s="46"/>
      <c r="QDQ100" s="46"/>
      <c r="QDR100" s="46"/>
      <c r="QDS100" s="46"/>
      <c r="QDT100" s="46"/>
      <c r="QDU100" s="46"/>
      <c r="QDV100" s="46"/>
      <c r="QDW100" s="46"/>
      <c r="QDX100" s="46"/>
      <c r="QDY100" s="46"/>
      <c r="QDZ100" s="46"/>
      <c r="QEA100" s="46"/>
      <c r="QEB100" s="46"/>
      <c r="QEC100" s="46"/>
      <c r="QED100" s="46"/>
      <c r="QEE100" s="46"/>
      <c r="QEF100" s="46"/>
      <c r="QEG100" s="46"/>
      <c r="QEH100" s="46"/>
      <c r="QEI100" s="46"/>
      <c r="QEJ100" s="46"/>
      <c r="QEK100" s="46"/>
      <c r="QEL100" s="46"/>
      <c r="QEM100" s="46"/>
      <c r="QEN100" s="46"/>
      <c r="QEO100" s="46"/>
      <c r="QEP100" s="46"/>
      <c r="QEQ100" s="46"/>
      <c r="QER100" s="46"/>
      <c r="QES100" s="46"/>
      <c r="QET100" s="46"/>
      <c r="QEU100" s="46"/>
      <c r="QEV100" s="46"/>
      <c r="QEW100" s="46"/>
      <c r="QEX100" s="46"/>
      <c r="QEY100" s="46"/>
      <c r="QEZ100" s="46"/>
      <c r="QFA100" s="46"/>
      <c r="QFB100" s="46"/>
      <c r="QFC100" s="46"/>
      <c r="QFD100" s="46"/>
      <c r="QFE100" s="46"/>
      <c r="QFF100" s="46"/>
      <c r="QFG100" s="46"/>
      <c r="QFH100" s="46"/>
      <c r="QFI100" s="46"/>
      <c r="QFJ100" s="46"/>
      <c r="QFK100" s="46"/>
      <c r="QFL100" s="46"/>
      <c r="QFM100" s="46"/>
      <c r="QFN100" s="46"/>
      <c r="QFO100" s="46"/>
      <c r="QFP100" s="46"/>
      <c r="QFQ100" s="46"/>
      <c r="QFR100" s="46"/>
      <c r="QFS100" s="46"/>
      <c r="QFT100" s="46"/>
      <c r="QFU100" s="46"/>
      <c r="QFV100" s="46"/>
      <c r="QFW100" s="46"/>
      <c r="QFX100" s="46"/>
      <c r="QFY100" s="46"/>
      <c r="QFZ100" s="46"/>
      <c r="QGA100" s="46"/>
      <c r="QGB100" s="46"/>
      <c r="QGC100" s="46"/>
      <c r="QGD100" s="46"/>
      <c r="QGE100" s="46"/>
      <c r="QGF100" s="46"/>
      <c r="QGG100" s="46"/>
      <c r="QGH100" s="46"/>
      <c r="QGI100" s="46"/>
      <c r="QGJ100" s="46"/>
      <c r="QGK100" s="46"/>
      <c r="QGL100" s="46"/>
      <c r="QGM100" s="46"/>
      <c r="QGN100" s="46"/>
      <c r="QGO100" s="46"/>
      <c r="QGP100" s="46"/>
      <c r="QGQ100" s="46"/>
      <c r="QGR100" s="46"/>
      <c r="QGS100" s="46"/>
      <c r="QGT100" s="46"/>
      <c r="QGU100" s="46"/>
      <c r="QGV100" s="46"/>
      <c r="QGW100" s="46"/>
      <c r="QGX100" s="46"/>
      <c r="QGY100" s="46"/>
      <c r="QGZ100" s="46"/>
      <c r="QHA100" s="46"/>
      <c r="QHB100" s="46"/>
      <c r="QHC100" s="46"/>
      <c r="QHD100" s="46"/>
      <c r="QHE100" s="46"/>
      <c r="QHF100" s="46"/>
      <c r="QHG100" s="46"/>
      <c r="QHH100" s="46"/>
      <c r="QHI100" s="46"/>
      <c r="QHJ100" s="46"/>
      <c r="QHK100" s="46"/>
      <c r="QHL100" s="46"/>
      <c r="QHM100" s="46"/>
      <c r="QHN100" s="46"/>
      <c r="QHO100" s="46"/>
      <c r="QHP100" s="46"/>
      <c r="QHQ100" s="46"/>
      <c r="QHR100" s="46"/>
      <c r="QHS100" s="46"/>
      <c r="QHT100" s="46"/>
      <c r="QHU100" s="46"/>
      <c r="QHV100" s="46"/>
      <c r="QHW100" s="46"/>
      <c r="QHX100" s="46"/>
      <c r="QHY100" s="46"/>
      <c r="QHZ100" s="46"/>
      <c r="QIA100" s="46"/>
      <c r="QIB100" s="46"/>
      <c r="QIC100" s="46"/>
      <c r="QID100" s="46"/>
      <c r="QIE100" s="46"/>
      <c r="QIF100" s="46"/>
      <c r="QIG100" s="46"/>
      <c r="QIH100" s="46"/>
      <c r="QII100" s="46"/>
      <c r="QIJ100" s="46"/>
      <c r="QIK100" s="46"/>
      <c r="QIL100" s="46"/>
      <c r="QIM100" s="46"/>
      <c r="QIN100" s="46"/>
      <c r="QIO100" s="46"/>
      <c r="QIP100" s="46"/>
      <c r="QIQ100" s="46"/>
      <c r="QIR100" s="46"/>
      <c r="QIS100" s="46"/>
      <c r="QIT100" s="46"/>
      <c r="QIU100" s="46"/>
      <c r="QIV100" s="46"/>
      <c r="QIW100" s="46"/>
      <c r="QIX100" s="46"/>
      <c r="QIY100" s="46"/>
      <c r="QIZ100" s="46"/>
      <c r="QJA100" s="46"/>
      <c r="QJB100" s="46"/>
      <c r="QJC100" s="46"/>
      <c r="QJD100" s="46"/>
      <c r="QJE100" s="46"/>
      <c r="QJF100" s="46"/>
      <c r="QJG100" s="46"/>
      <c r="QJH100" s="46"/>
      <c r="QJI100" s="46"/>
      <c r="QJJ100" s="46"/>
      <c r="QJK100" s="46"/>
      <c r="QJL100" s="46"/>
      <c r="QJM100" s="46"/>
      <c r="QJN100" s="46"/>
      <c r="QJO100" s="46"/>
      <c r="QJP100" s="46"/>
      <c r="QJQ100" s="46"/>
      <c r="QJR100" s="46"/>
      <c r="QJS100" s="46"/>
      <c r="QJT100" s="46"/>
      <c r="QJU100" s="46"/>
      <c r="QJV100" s="46"/>
      <c r="QJW100" s="46"/>
      <c r="QJX100" s="46"/>
      <c r="QJY100" s="46"/>
      <c r="QJZ100" s="46"/>
      <c r="QKA100" s="46"/>
      <c r="QKB100" s="46"/>
      <c r="QKC100" s="46"/>
      <c r="QKD100" s="46"/>
      <c r="QKE100" s="46"/>
      <c r="QKF100" s="46"/>
      <c r="QKG100" s="46"/>
      <c r="QKH100" s="46"/>
      <c r="QKI100" s="46"/>
      <c r="QKJ100" s="46"/>
      <c r="QKK100" s="46"/>
      <c r="QKL100" s="46"/>
      <c r="QKM100" s="46"/>
      <c r="QKN100" s="46"/>
      <c r="QKO100" s="46"/>
      <c r="QKP100" s="46"/>
      <c r="QKQ100" s="46"/>
      <c r="QKR100" s="46"/>
      <c r="QKS100" s="46"/>
      <c r="QKT100" s="46"/>
      <c r="QKU100" s="46"/>
      <c r="QKV100" s="46"/>
      <c r="QKW100" s="46"/>
      <c r="QKX100" s="46"/>
      <c r="QKY100" s="46"/>
      <c r="QKZ100" s="46"/>
      <c r="QLA100" s="46"/>
      <c r="QLB100" s="46"/>
      <c r="QLC100" s="46"/>
      <c r="QLD100" s="46"/>
      <c r="QLE100" s="46"/>
      <c r="QLF100" s="46"/>
      <c r="QLG100" s="46"/>
      <c r="QLH100" s="46"/>
      <c r="QLI100" s="46"/>
      <c r="QLJ100" s="46"/>
      <c r="QLK100" s="46"/>
      <c r="QLL100" s="46"/>
      <c r="QLM100" s="46"/>
      <c r="QLN100" s="46"/>
      <c r="QLO100" s="46"/>
      <c r="QLP100" s="46"/>
      <c r="QLQ100" s="46"/>
      <c r="QLR100" s="46"/>
      <c r="QLS100" s="46"/>
      <c r="QLT100" s="46"/>
      <c r="QLU100" s="46"/>
      <c r="QLV100" s="46"/>
      <c r="QLW100" s="46"/>
      <c r="QLX100" s="46"/>
      <c r="QLY100" s="46"/>
      <c r="QLZ100" s="46"/>
      <c r="QMA100" s="46"/>
      <c r="QMB100" s="46"/>
      <c r="QMC100" s="46"/>
      <c r="QMD100" s="46"/>
      <c r="QME100" s="46"/>
      <c r="QMF100" s="46"/>
      <c r="QMG100" s="46"/>
      <c r="QMH100" s="46"/>
      <c r="QMI100" s="46"/>
      <c r="QMJ100" s="46"/>
      <c r="QMK100" s="46"/>
      <c r="QML100" s="46"/>
      <c r="QMM100" s="46"/>
      <c r="QMN100" s="46"/>
      <c r="QMO100" s="46"/>
      <c r="QMP100" s="46"/>
      <c r="QMQ100" s="46"/>
      <c r="QMR100" s="46"/>
      <c r="QMS100" s="46"/>
      <c r="QMT100" s="46"/>
      <c r="QMU100" s="46"/>
      <c r="QMV100" s="46"/>
      <c r="QMW100" s="46"/>
      <c r="QMX100" s="46"/>
      <c r="QMY100" s="46"/>
      <c r="QMZ100" s="46"/>
      <c r="QNA100" s="46"/>
      <c r="QNB100" s="46"/>
      <c r="QNC100" s="46"/>
      <c r="QND100" s="46"/>
      <c r="QNE100" s="46"/>
      <c r="QNF100" s="46"/>
      <c r="QNG100" s="46"/>
      <c r="QNH100" s="46"/>
      <c r="QNI100" s="46"/>
      <c r="QNJ100" s="46"/>
      <c r="QNK100" s="46"/>
      <c r="QNL100" s="46"/>
      <c r="QNM100" s="46"/>
      <c r="QNN100" s="46"/>
      <c r="QNO100" s="46"/>
      <c r="QNP100" s="46"/>
      <c r="QNQ100" s="46"/>
      <c r="QNR100" s="46"/>
      <c r="QNS100" s="46"/>
      <c r="QNT100" s="46"/>
      <c r="QNU100" s="46"/>
      <c r="QNV100" s="46"/>
      <c r="QNW100" s="46"/>
      <c r="QNX100" s="46"/>
      <c r="QNY100" s="46"/>
      <c r="QNZ100" s="46"/>
      <c r="QOA100" s="46"/>
      <c r="QOB100" s="46"/>
      <c r="QOC100" s="46"/>
      <c r="QOD100" s="46"/>
      <c r="QOE100" s="46"/>
      <c r="QOF100" s="46"/>
      <c r="QOG100" s="46"/>
      <c r="QOH100" s="46"/>
      <c r="QOI100" s="46"/>
      <c r="QOJ100" s="46"/>
      <c r="QOK100" s="46"/>
      <c r="QOL100" s="46"/>
      <c r="QOM100" s="46"/>
      <c r="QON100" s="46"/>
      <c r="QOO100" s="46"/>
      <c r="QOP100" s="46"/>
      <c r="QOQ100" s="46"/>
      <c r="QOR100" s="46"/>
      <c r="QOS100" s="46"/>
      <c r="QOT100" s="46"/>
      <c r="QOU100" s="46"/>
      <c r="QOV100" s="46"/>
      <c r="QOW100" s="46"/>
      <c r="QOX100" s="46"/>
      <c r="QOY100" s="46"/>
      <c r="QOZ100" s="46"/>
      <c r="QPA100" s="46"/>
      <c r="QPB100" s="46"/>
      <c r="QPC100" s="46"/>
      <c r="QPD100" s="46"/>
      <c r="QPE100" s="46"/>
      <c r="QPF100" s="46"/>
      <c r="QPG100" s="46"/>
      <c r="QPH100" s="46"/>
      <c r="QPI100" s="46"/>
      <c r="QPJ100" s="46"/>
      <c r="QPK100" s="46"/>
      <c r="QPL100" s="46"/>
      <c r="QPM100" s="46"/>
      <c r="QPN100" s="46"/>
      <c r="QPO100" s="46"/>
      <c r="QPP100" s="46"/>
      <c r="QPQ100" s="46"/>
      <c r="QPR100" s="46"/>
      <c r="QPS100" s="46"/>
      <c r="QPT100" s="46"/>
      <c r="QPU100" s="46"/>
      <c r="QPV100" s="46"/>
      <c r="QPW100" s="46"/>
      <c r="QPX100" s="46"/>
      <c r="QPY100" s="46"/>
      <c r="QPZ100" s="46"/>
      <c r="QQA100" s="46"/>
      <c r="QQB100" s="46"/>
      <c r="QQC100" s="46"/>
      <c r="QQD100" s="46"/>
      <c r="QQE100" s="46"/>
      <c r="QQF100" s="46"/>
      <c r="QQG100" s="46"/>
      <c r="QQH100" s="46"/>
      <c r="QQI100" s="46"/>
      <c r="QQJ100" s="46"/>
      <c r="QQK100" s="46"/>
      <c r="QQL100" s="46"/>
      <c r="QQM100" s="46"/>
      <c r="QQN100" s="46"/>
      <c r="QQO100" s="46"/>
      <c r="QQP100" s="46"/>
      <c r="QQQ100" s="46"/>
      <c r="QQR100" s="46"/>
      <c r="QQS100" s="46"/>
      <c r="QQT100" s="46"/>
      <c r="QQU100" s="46"/>
      <c r="QQV100" s="46"/>
      <c r="QQW100" s="46"/>
      <c r="QQX100" s="46"/>
      <c r="QQY100" s="46"/>
      <c r="QQZ100" s="46"/>
      <c r="QRA100" s="46"/>
      <c r="QRB100" s="46"/>
      <c r="QRC100" s="46"/>
      <c r="QRD100" s="46"/>
      <c r="QRE100" s="46"/>
      <c r="QRF100" s="46"/>
      <c r="QRG100" s="46"/>
      <c r="QRH100" s="46"/>
      <c r="QRI100" s="46"/>
      <c r="QRJ100" s="46"/>
      <c r="QRK100" s="46"/>
      <c r="QRL100" s="46"/>
      <c r="QRM100" s="46"/>
      <c r="QRN100" s="46"/>
      <c r="QRO100" s="46"/>
      <c r="QRP100" s="46"/>
      <c r="QRQ100" s="46"/>
      <c r="QRR100" s="46"/>
      <c r="QRS100" s="46"/>
      <c r="QRT100" s="46"/>
      <c r="QRU100" s="46"/>
      <c r="QRV100" s="46"/>
      <c r="QRW100" s="46"/>
      <c r="QRX100" s="46"/>
      <c r="QRY100" s="46"/>
      <c r="QRZ100" s="46"/>
      <c r="QSA100" s="46"/>
      <c r="QSB100" s="46"/>
      <c r="QSC100" s="46"/>
      <c r="QSD100" s="46"/>
      <c r="QSE100" s="46"/>
      <c r="QSF100" s="46"/>
      <c r="QSG100" s="46"/>
      <c r="QSH100" s="46"/>
      <c r="QSI100" s="46"/>
      <c r="QSJ100" s="46"/>
      <c r="QSK100" s="46"/>
      <c r="QSL100" s="46"/>
      <c r="QSM100" s="46"/>
      <c r="QSN100" s="46"/>
      <c r="QSO100" s="46"/>
      <c r="QSP100" s="46"/>
      <c r="QSQ100" s="46"/>
      <c r="QSR100" s="46"/>
      <c r="QSS100" s="46"/>
      <c r="QST100" s="46"/>
      <c r="QSU100" s="46"/>
      <c r="QSV100" s="46"/>
      <c r="QSW100" s="46"/>
      <c r="QSX100" s="46"/>
      <c r="QSY100" s="46"/>
      <c r="QSZ100" s="46"/>
      <c r="QTA100" s="46"/>
      <c r="QTB100" s="46"/>
      <c r="QTC100" s="46"/>
      <c r="QTD100" s="46"/>
      <c r="QTE100" s="46"/>
      <c r="QTF100" s="46"/>
      <c r="QTG100" s="46"/>
      <c r="QTH100" s="46"/>
      <c r="QTI100" s="46"/>
      <c r="QTJ100" s="46"/>
      <c r="QTK100" s="46"/>
      <c r="QTL100" s="46"/>
      <c r="QTM100" s="46"/>
      <c r="QTN100" s="46"/>
      <c r="QTO100" s="46"/>
      <c r="QTP100" s="46"/>
      <c r="QTQ100" s="46"/>
      <c r="QTR100" s="46"/>
      <c r="QTS100" s="46"/>
      <c r="QTT100" s="46"/>
      <c r="QTU100" s="46"/>
      <c r="QTV100" s="46"/>
      <c r="QTW100" s="46"/>
      <c r="QTX100" s="46"/>
      <c r="QTY100" s="46"/>
      <c r="QTZ100" s="46"/>
      <c r="QUA100" s="46"/>
      <c r="QUB100" s="46"/>
      <c r="QUC100" s="46"/>
      <c r="QUD100" s="46"/>
      <c r="QUE100" s="46"/>
      <c r="QUF100" s="46"/>
      <c r="QUG100" s="46"/>
      <c r="QUH100" s="46"/>
      <c r="QUI100" s="46"/>
      <c r="QUJ100" s="46"/>
      <c r="QUK100" s="46"/>
      <c r="QUL100" s="46"/>
      <c r="QUM100" s="46"/>
      <c r="QUN100" s="46"/>
      <c r="QUO100" s="46"/>
      <c r="QUP100" s="46"/>
      <c r="QUQ100" s="46"/>
      <c r="QUR100" s="46"/>
      <c r="QUS100" s="46"/>
      <c r="QUT100" s="46"/>
      <c r="QUU100" s="46"/>
      <c r="QUV100" s="46"/>
      <c r="QUW100" s="46"/>
      <c r="QUX100" s="46"/>
      <c r="QUY100" s="46"/>
      <c r="QUZ100" s="46"/>
      <c r="QVA100" s="46"/>
      <c r="QVB100" s="46"/>
      <c r="QVC100" s="46"/>
      <c r="QVD100" s="46"/>
      <c r="QVE100" s="46"/>
      <c r="QVF100" s="46"/>
      <c r="QVG100" s="46"/>
      <c r="QVH100" s="46"/>
      <c r="QVI100" s="46"/>
      <c r="QVJ100" s="46"/>
      <c r="QVK100" s="46"/>
      <c r="QVL100" s="46"/>
      <c r="QVM100" s="46"/>
      <c r="QVN100" s="46"/>
      <c r="QVO100" s="46"/>
      <c r="QVP100" s="46"/>
      <c r="QVQ100" s="46"/>
      <c r="QVR100" s="46"/>
      <c r="QVS100" s="46"/>
      <c r="QVT100" s="46"/>
      <c r="QVU100" s="46"/>
      <c r="QVV100" s="46"/>
      <c r="QVW100" s="46"/>
      <c r="QVX100" s="46"/>
      <c r="QVY100" s="46"/>
      <c r="QVZ100" s="46"/>
      <c r="QWA100" s="46"/>
      <c r="QWB100" s="46"/>
      <c r="QWC100" s="46"/>
      <c r="QWD100" s="46"/>
      <c r="QWE100" s="46"/>
      <c r="QWF100" s="46"/>
      <c r="QWG100" s="46"/>
      <c r="QWH100" s="46"/>
      <c r="QWI100" s="46"/>
      <c r="QWJ100" s="46"/>
      <c r="QWK100" s="46"/>
      <c r="QWL100" s="46"/>
      <c r="QWM100" s="46"/>
      <c r="QWN100" s="46"/>
      <c r="QWO100" s="46"/>
      <c r="QWP100" s="46"/>
      <c r="QWQ100" s="46"/>
      <c r="QWR100" s="46"/>
      <c r="QWS100" s="46"/>
      <c r="QWT100" s="46"/>
      <c r="QWU100" s="46"/>
      <c r="QWV100" s="46"/>
      <c r="QWW100" s="46"/>
      <c r="QWX100" s="46"/>
      <c r="QWY100" s="46"/>
      <c r="QWZ100" s="46"/>
      <c r="QXA100" s="46"/>
      <c r="QXB100" s="46"/>
      <c r="QXC100" s="46"/>
      <c r="QXD100" s="46"/>
      <c r="QXE100" s="46"/>
      <c r="QXF100" s="46"/>
      <c r="QXG100" s="46"/>
      <c r="QXH100" s="46"/>
      <c r="QXI100" s="46"/>
      <c r="QXJ100" s="46"/>
      <c r="QXK100" s="46"/>
      <c r="QXL100" s="46"/>
      <c r="QXM100" s="46"/>
      <c r="QXN100" s="46"/>
      <c r="QXO100" s="46"/>
      <c r="QXP100" s="46"/>
      <c r="QXQ100" s="46"/>
      <c r="QXR100" s="46"/>
      <c r="QXS100" s="46"/>
      <c r="QXT100" s="46"/>
      <c r="QXU100" s="46"/>
      <c r="QXV100" s="46"/>
      <c r="QXW100" s="46"/>
      <c r="QXX100" s="46"/>
      <c r="QXY100" s="46"/>
      <c r="QXZ100" s="46"/>
      <c r="QYA100" s="46"/>
      <c r="QYB100" s="46"/>
      <c r="QYC100" s="46"/>
      <c r="QYD100" s="46"/>
      <c r="QYE100" s="46"/>
      <c r="QYF100" s="46"/>
      <c r="QYG100" s="46"/>
      <c r="QYH100" s="46"/>
      <c r="QYI100" s="46"/>
      <c r="QYJ100" s="46"/>
      <c r="QYK100" s="46"/>
      <c r="QYL100" s="46"/>
      <c r="QYM100" s="46"/>
      <c r="QYN100" s="46"/>
      <c r="QYO100" s="46"/>
      <c r="QYP100" s="46"/>
      <c r="QYQ100" s="46"/>
      <c r="QYR100" s="46"/>
      <c r="QYS100" s="46"/>
      <c r="QYT100" s="46"/>
      <c r="QYU100" s="46"/>
      <c r="QYV100" s="46"/>
      <c r="QYW100" s="46"/>
      <c r="QYX100" s="46"/>
      <c r="QYY100" s="46"/>
      <c r="QYZ100" s="46"/>
      <c r="QZA100" s="46"/>
      <c r="QZB100" s="46"/>
      <c r="QZC100" s="46"/>
      <c r="QZD100" s="46"/>
      <c r="QZE100" s="46"/>
      <c r="QZF100" s="46"/>
      <c r="QZG100" s="46"/>
      <c r="QZH100" s="46"/>
      <c r="QZI100" s="46"/>
      <c r="QZJ100" s="46"/>
      <c r="QZK100" s="46"/>
      <c r="QZL100" s="46"/>
      <c r="QZM100" s="46"/>
      <c r="QZN100" s="46"/>
      <c r="QZO100" s="46"/>
      <c r="QZP100" s="46"/>
      <c r="QZQ100" s="46"/>
      <c r="QZR100" s="46"/>
      <c r="QZS100" s="46"/>
      <c r="QZT100" s="46"/>
      <c r="QZU100" s="46"/>
      <c r="QZV100" s="46"/>
      <c r="QZW100" s="46"/>
      <c r="QZX100" s="46"/>
      <c r="QZY100" s="46"/>
      <c r="QZZ100" s="46"/>
      <c r="RAA100" s="46"/>
      <c r="RAB100" s="46"/>
      <c r="RAC100" s="46"/>
      <c r="RAD100" s="46"/>
      <c r="RAE100" s="46"/>
      <c r="RAF100" s="46"/>
      <c r="RAG100" s="46"/>
      <c r="RAH100" s="46"/>
      <c r="RAI100" s="46"/>
      <c r="RAJ100" s="46"/>
      <c r="RAK100" s="46"/>
      <c r="RAL100" s="46"/>
      <c r="RAM100" s="46"/>
      <c r="RAN100" s="46"/>
      <c r="RAO100" s="46"/>
      <c r="RAP100" s="46"/>
      <c r="RAQ100" s="46"/>
      <c r="RAR100" s="46"/>
      <c r="RAS100" s="46"/>
      <c r="RAT100" s="46"/>
      <c r="RAU100" s="46"/>
      <c r="RAV100" s="46"/>
      <c r="RAW100" s="46"/>
      <c r="RAX100" s="46"/>
      <c r="RAY100" s="46"/>
      <c r="RAZ100" s="46"/>
      <c r="RBA100" s="46"/>
      <c r="RBB100" s="46"/>
      <c r="RBC100" s="46"/>
      <c r="RBD100" s="46"/>
      <c r="RBE100" s="46"/>
      <c r="RBF100" s="46"/>
      <c r="RBG100" s="46"/>
      <c r="RBH100" s="46"/>
      <c r="RBI100" s="46"/>
      <c r="RBJ100" s="46"/>
      <c r="RBK100" s="46"/>
      <c r="RBL100" s="46"/>
      <c r="RBM100" s="46"/>
      <c r="RBN100" s="46"/>
      <c r="RBO100" s="46"/>
      <c r="RBP100" s="46"/>
      <c r="RBQ100" s="46"/>
      <c r="RBR100" s="46"/>
      <c r="RBS100" s="46"/>
      <c r="RBT100" s="46"/>
      <c r="RBU100" s="46"/>
      <c r="RBV100" s="46"/>
      <c r="RBW100" s="46"/>
      <c r="RBX100" s="46"/>
      <c r="RBY100" s="46"/>
      <c r="RBZ100" s="46"/>
      <c r="RCA100" s="46"/>
      <c r="RCB100" s="46"/>
      <c r="RCC100" s="46"/>
      <c r="RCD100" s="46"/>
      <c r="RCE100" s="46"/>
      <c r="RCF100" s="46"/>
      <c r="RCG100" s="46"/>
      <c r="RCH100" s="46"/>
      <c r="RCI100" s="46"/>
      <c r="RCJ100" s="46"/>
      <c r="RCK100" s="46"/>
      <c r="RCL100" s="46"/>
      <c r="RCM100" s="46"/>
      <c r="RCN100" s="46"/>
      <c r="RCO100" s="46"/>
      <c r="RCP100" s="46"/>
      <c r="RCQ100" s="46"/>
      <c r="RCR100" s="46"/>
      <c r="RCS100" s="46"/>
      <c r="RCT100" s="46"/>
      <c r="RCU100" s="46"/>
      <c r="RCV100" s="46"/>
      <c r="RCW100" s="46"/>
      <c r="RCX100" s="46"/>
      <c r="RCY100" s="46"/>
      <c r="RCZ100" s="46"/>
      <c r="RDA100" s="46"/>
      <c r="RDB100" s="46"/>
      <c r="RDC100" s="46"/>
      <c r="RDD100" s="46"/>
      <c r="RDE100" s="46"/>
      <c r="RDF100" s="46"/>
      <c r="RDG100" s="46"/>
      <c r="RDH100" s="46"/>
      <c r="RDI100" s="46"/>
      <c r="RDJ100" s="46"/>
      <c r="RDK100" s="46"/>
      <c r="RDL100" s="46"/>
      <c r="RDM100" s="46"/>
      <c r="RDN100" s="46"/>
      <c r="RDO100" s="46"/>
      <c r="RDP100" s="46"/>
      <c r="RDQ100" s="46"/>
      <c r="RDR100" s="46"/>
      <c r="RDS100" s="46"/>
      <c r="RDT100" s="46"/>
      <c r="RDU100" s="46"/>
      <c r="RDV100" s="46"/>
      <c r="RDW100" s="46"/>
      <c r="RDX100" s="46"/>
      <c r="RDY100" s="46"/>
      <c r="RDZ100" s="46"/>
      <c r="REA100" s="46"/>
      <c r="REB100" s="46"/>
      <c r="REC100" s="46"/>
      <c r="RED100" s="46"/>
      <c r="REE100" s="46"/>
      <c r="REF100" s="46"/>
      <c r="REG100" s="46"/>
      <c r="REH100" s="46"/>
      <c r="REI100" s="46"/>
      <c r="REJ100" s="46"/>
      <c r="REK100" s="46"/>
      <c r="REL100" s="46"/>
      <c r="REM100" s="46"/>
      <c r="REN100" s="46"/>
      <c r="REO100" s="46"/>
      <c r="REP100" s="46"/>
      <c r="REQ100" s="46"/>
      <c r="RER100" s="46"/>
      <c r="RES100" s="46"/>
      <c r="RET100" s="46"/>
      <c r="REU100" s="46"/>
      <c r="REV100" s="46"/>
      <c r="REW100" s="46"/>
      <c r="REX100" s="46"/>
      <c r="REY100" s="46"/>
      <c r="REZ100" s="46"/>
      <c r="RFA100" s="46"/>
      <c r="RFB100" s="46"/>
      <c r="RFC100" s="46"/>
      <c r="RFD100" s="46"/>
      <c r="RFE100" s="46"/>
      <c r="RFF100" s="46"/>
      <c r="RFG100" s="46"/>
      <c r="RFH100" s="46"/>
      <c r="RFI100" s="46"/>
      <c r="RFJ100" s="46"/>
      <c r="RFK100" s="46"/>
      <c r="RFL100" s="46"/>
      <c r="RFM100" s="46"/>
      <c r="RFN100" s="46"/>
      <c r="RFO100" s="46"/>
      <c r="RFP100" s="46"/>
      <c r="RFQ100" s="46"/>
      <c r="RFR100" s="46"/>
      <c r="RFS100" s="46"/>
      <c r="RFT100" s="46"/>
      <c r="RFU100" s="46"/>
      <c r="RFV100" s="46"/>
      <c r="RFW100" s="46"/>
      <c r="RFX100" s="46"/>
      <c r="RFY100" s="46"/>
      <c r="RFZ100" s="46"/>
      <c r="RGA100" s="46"/>
      <c r="RGB100" s="46"/>
      <c r="RGC100" s="46"/>
      <c r="RGD100" s="46"/>
      <c r="RGE100" s="46"/>
      <c r="RGF100" s="46"/>
      <c r="RGG100" s="46"/>
      <c r="RGH100" s="46"/>
      <c r="RGI100" s="46"/>
      <c r="RGJ100" s="46"/>
      <c r="RGK100" s="46"/>
      <c r="RGL100" s="46"/>
      <c r="RGM100" s="46"/>
      <c r="RGN100" s="46"/>
      <c r="RGO100" s="46"/>
      <c r="RGP100" s="46"/>
      <c r="RGQ100" s="46"/>
      <c r="RGR100" s="46"/>
      <c r="RGS100" s="46"/>
      <c r="RGT100" s="46"/>
      <c r="RGU100" s="46"/>
      <c r="RGV100" s="46"/>
      <c r="RGW100" s="46"/>
      <c r="RGX100" s="46"/>
      <c r="RGY100" s="46"/>
      <c r="RGZ100" s="46"/>
      <c r="RHA100" s="46"/>
      <c r="RHB100" s="46"/>
      <c r="RHC100" s="46"/>
      <c r="RHD100" s="46"/>
      <c r="RHE100" s="46"/>
      <c r="RHF100" s="46"/>
      <c r="RHG100" s="46"/>
      <c r="RHH100" s="46"/>
      <c r="RHI100" s="46"/>
      <c r="RHJ100" s="46"/>
      <c r="RHK100" s="46"/>
      <c r="RHL100" s="46"/>
      <c r="RHM100" s="46"/>
      <c r="RHN100" s="46"/>
      <c r="RHO100" s="46"/>
      <c r="RHP100" s="46"/>
      <c r="RHQ100" s="46"/>
      <c r="RHR100" s="46"/>
      <c r="RHS100" s="46"/>
      <c r="RHT100" s="46"/>
      <c r="RHU100" s="46"/>
      <c r="RHV100" s="46"/>
      <c r="RHW100" s="46"/>
      <c r="RHX100" s="46"/>
      <c r="RHY100" s="46"/>
      <c r="RHZ100" s="46"/>
      <c r="RIA100" s="46"/>
      <c r="RIB100" s="46"/>
      <c r="RIC100" s="46"/>
      <c r="RID100" s="46"/>
      <c r="RIE100" s="46"/>
      <c r="RIF100" s="46"/>
      <c r="RIG100" s="46"/>
      <c r="RIH100" s="46"/>
      <c r="RII100" s="46"/>
      <c r="RIJ100" s="46"/>
      <c r="RIK100" s="46"/>
      <c r="RIL100" s="46"/>
      <c r="RIM100" s="46"/>
      <c r="RIN100" s="46"/>
      <c r="RIO100" s="46"/>
      <c r="RIP100" s="46"/>
      <c r="RIQ100" s="46"/>
      <c r="RIR100" s="46"/>
      <c r="RIS100" s="46"/>
      <c r="RIT100" s="46"/>
      <c r="RIU100" s="46"/>
      <c r="RIV100" s="46"/>
      <c r="RIW100" s="46"/>
      <c r="RIX100" s="46"/>
      <c r="RIY100" s="46"/>
      <c r="RIZ100" s="46"/>
      <c r="RJA100" s="46"/>
      <c r="RJB100" s="46"/>
      <c r="RJC100" s="46"/>
      <c r="RJD100" s="46"/>
      <c r="RJE100" s="46"/>
      <c r="RJF100" s="46"/>
      <c r="RJG100" s="46"/>
      <c r="RJH100" s="46"/>
      <c r="RJI100" s="46"/>
      <c r="RJJ100" s="46"/>
      <c r="RJK100" s="46"/>
      <c r="RJL100" s="46"/>
      <c r="RJM100" s="46"/>
      <c r="RJN100" s="46"/>
      <c r="RJO100" s="46"/>
      <c r="RJP100" s="46"/>
      <c r="RJQ100" s="46"/>
      <c r="RJR100" s="46"/>
      <c r="RJS100" s="46"/>
      <c r="RJT100" s="46"/>
      <c r="RJU100" s="46"/>
      <c r="RJV100" s="46"/>
      <c r="RJW100" s="46"/>
      <c r="RJX100" s="46"/>
      <c r="RJY100" s="46"/>
      <c r="RJZ100" s="46"/>
      <c r="RKA100" s="46"/>
      <c r="RKB100" s="46"/>
      <c r="RKC100" s="46"/>
      <c r="RKD100" s="46"/>
      <c r="RKE100" s="46"/>
      <c r="RKF100" s="46"/>
      <c r="RKG100" s="46"/>
      <c r="RKH100" s="46"/>
      <c r="RKI100" s="46"/>
      <c r="RKJ100" s="46"/>
      <c r="RKK100" s="46"/>
      <c r="RKL100" s="46"/>
      <c r="RKM100" s="46"/>
      <c r="RKN100" s="46"/>
      <c r="RKO100" s="46"/>
      <c r="RKP100" s="46"/>
      <c r="RKQ100" s="46"/>
      <c r="RKR100" s="46"/>
      <c r="RKS100" s="46"/>
      <c r="RKT100" s="46"/>
      <c r="RKU100" s="46"/>
      <c r="RKV100" s="46"/>
      <c r="RKW100" s="46"/>
      <c r="RKX100" s="46"/>
      <c r="RKY100" s="46"/>
      <c r="RKZ100" s="46"/>
      <c r="RLA100" s="46"/>
      <c r="RLB100" s="46"/>
      <c r="RLC100" s="46"/>
      <c r="RLD100" s="46"/>
      <c r="RLE100" s="46"/>
      <c r="RLF100" s="46"/>
      <c r="RLG100" s="46"/>
      <c r="RLH100" s="46"/>
      <c r="RLI100" s="46"/>
      <c r="RLJ100" s="46"/>
      <c r="RLK100" s="46"/>
      <c r="RLL100" s="46"/>
      <c r="RLM100" s="46"/>
      <c r="RLN100" s="46"/>
      <c r="RLO100" s="46"/>
      <c r="RLP100" s="46"/>
      <c r="RLQ100" s="46"/>
      <c r="RLR100" s="46"/>
      <c r="RLS100" s="46"/>
      <c r="RLT100" s="46"/>
      <c r="RLU100" s="46"/>
      <c r="RLV100" s="46"/>
      <c r="RLW100" s="46"/>
      <c r="RLX100" s="46"/>
      <c r="RLY100" s="46"/>
      <c r="RLZ100" s="46"/>
      <c r="RMA100" s="46"/>
      <c r="RMB100" s="46"/>
      <c r="RMC100" s="46"/>
      <c r="RMD100" s="46"/>
      <c r="RME100" s="46"/>
      <c r="RMF100" s="46"/>
      <c r="RMG100" s="46"/>
      <c r="RMH100" s="46"/>
      <c r="RMI100" s="46"/>
      <c r="RMJ100" s="46"/>
      <c r="RMK100" s="46"/>
      <c r="RML100" s="46"/>
      <c r="RMM100" s="46"/>
      <c r="RMN100" s="46"/>
      <c r="RMO100" s="46"/>
      <c r="RMP100" s="46"/>
      <c r="RMQ100" s="46"/>
      <c r="RMR100" s="46"/>
      <c r="RMS100" s="46"/>
      <c r="RMT100" s="46"/>
      <c r="RMU100" s="46"/>
      <c r="RMV100" s="46"/>
      <c r="RMW100" s="46"/>
      <c r="RMX100" s="46"/>
      <c r="RMY100" s="46"/>
      <c r="RMZ100" s="46"/>
      <c r="RNA100" s="46"/>
      <c r="RNB100" s="46"/>
      <c r="RNC100" s="46"/>
      <c r="RND100" s="46"/>
      <c r="RNE100" s="46"/>
      <c r="RNF100" s="46"/>
      <c r="RNG100" s="46"/>
      <c r="RNH100" s="46"/>
      <c r="RNI100" s="46"/>
      <c r="RNJ100" s="46"/>
      <c r="RNK100" s="46"/>
      <c r="RNL100" s="46"/>
      <c r="RNM100" s="46"/>
      <c r="RNN100" s="46"/>
      <c r="RNO100" s="46"/>
      <c r="RNP100" s="46"/>
      <c r="RNQ100" s="46"/>
      <c r="RNR100" s="46"/>
      <c r="RNS100" s="46"/>
      <c r="RNT100" s="46"/>
      <c r="RNU100" s="46"/>
      <c r="RNV100" s="46"/>
      <c r="RNW100" s="46"/>
      <c r="RNX100" s="46"/>
      <c r="RNY100" s="46"/>
      <c r="RNZ100" s="46"/>
      <c r="ROA100" s="46"/>
      <c r="ROB100" s="46"/>
      <c r="ROC100" s="46"/>
      <c r="ROD100" s="46"/>
      <c r="ROE100" s="46"/>
      <c r="ROF100" s="46"/>
      <c r="ROG100" s="46"/>
      <c r="ROH100" s="46"/>
      <c r="ROI100" s="46"/>
      <c r="ROJ100" s="46"/>
      <c r="ROK100" s="46"/>
      <c r="ROL100" s="46"/>
      <c r="ROM100" s="46"/>
      <c r="RON100" s="46"/>
      <c r="ROO100" s="46"/>
      <c r="ROP100" s="46"/>
      <c r="ROQ100" s="46"/>
      <c r="ROR100" s="46"/>
      <c r="ROS100" s="46"/>
      <c r="ROT100" s="46"/>
      <c r="ROU100" s="46"/>
      <c r="ROV100" s="46"/>
      <c r="ROW100" s="46"/>
      <c r="ROX100" s="46"/>
      <c r="ROY100" s="46"/>
      <c r="ROZ100" s="46"/>
      <c r="RPA100" s="46"/>
      <c r="RPB100" s="46"/>
      <c r="RPC100" s="46"/>
      <c r="RPD100" s="46"/>
      <c r="RPE100" s="46"/>
      <c r="RPF100" s="46"/>
      <c r="RPG100" s="46"/>
      <c r="RPH100" s="46"/>
      <c r="RPI100" s="46"/>
      <c r="RPJ100" s="46"/>
      <c r="RPK100" s="46"/>
      <c r="RPL100" s="46"/>
      <c r="RPM100" s="46"/>
      <c r="RPN100" s="46"/>
      <c r="RPO100" s="46"/>
      <c r="RPP100" s="46"/>
      <c r="RPQ100" s="46"/>
      <c r="RPR100" s="46"/>
      <c r="RPS100" s="46"/>
      <c r="RPT100" s="46"/>
      <c r="RPU100" s="46"/>
      <c r="RPV100" s="46"/>
      <c r="RPW100" s="46"/>
      <c r="RPX100" s="46"/>
      <c r="RPY100" s="46"/>
      <c r="RPZ100" s="46"/>
      <c r="RQA100" s="46"/>
      <c r="RQB100" s="46"/>
      <c r="RQC100" s="46"/>
      <c r="RQD100" s="46"/>
      <c r="RQE100" s="46"/>
      <c r="RQF100" s="46"/>
      <c r="RQG100" s="46"/>
      <c r="RQH100" s="46"/>
      <c r="RQI100" s="46"/>
      <c r="RQJ100" s="46"/>
      <c r="RQK100" s="46"/>
      <c r="RQL100" s="46"/>
      <c r="RQM100" s="46"/>
      <c r="RQN100" s="46"/>
      <c r="RQO100" s="46"/>
      <c r="RQP100" s="46"/>
      <c r="RQQ100" s="46"/>
      <c r="RQR100" s="46"/>
      <c r="RQS100" s="46"/>
      <c r="RQT100" s="46"/>
      <c r="RQU100" s="46"/>
      <c r="RQV100" s="46"/>
      <c r="RQW100" s="46"/>
      <c r="RQX100" s="46"/>
      <c r="RQY100" s="46"/>
      <c r="RQZ100" s="46"/>
      <c r="RRA100" s="46"/>
      <c r="RRB100" s="46"/>
      <c r="RRC100" s="46"/>
      <c r="RRD100" s="46"/>
      <c r="RRE100" s="46"/>
      <c r="RRF100" s="46"/>
      <c r="RRG100" s="46"/>
      <c r="RRH100" s="46"/>
      <c r="RRI100" s="46"/>
      <c r="RRJ100" s="46"/>
      <c r="RRK100" s="46"/>
      <c r="RRL100" s="46"/>
      <c r="RRM100" s="46"/>
      <c r="RRN100" s="46"/>
      <c r="RRO100" s="46"/>
      <c r="RRP100" s="46"/>
      <c r="RRQ100" s="46"/>
      <c r="RRR100" s="46"/>
      <c r="RRS100" s="46"/>
      <c r="RRT100" s="46"/>
      <c r="RRU100" s="46"/>
      <c r="RRV100" s="46"/>
      <c r="RRW100" s="46"/>
      <c r="RRX100" s="46"/>
      <c r="RRY100" s="46"/>
      <c r="RRZ100" s="46"/>
      <c r="RSA100" s="46"/>
      <c r="RSB100" s="46"/>
      <c r="RSC100" s="46"/>
      <c r="RSD100" s="46"/>
      <c r="RSE100" s="46"/>
      <c r="RSF100" s="46"/>
      <c r="RSG100" s="46"/>
      <c r="RSH100" s="46"/>
      <c r="RSI100" s="46"/>
      <c r="RSJ100" s="46"/>
      <c r="RSK100" s="46"/>
      <c r="RSL100" s="46"/>
      <c r="RSM100" s="46"/>
      <c r="RSN100" s="46"/>
      <c r="RSO100" s="46"/>
      <c r="RSP100" s="46"/>
      <c r="RSQ100" s="46"/>
      <c r="RSR100" s="46"/>
      <c r="RSS100" s="46"/>
      <c r="RST100" s="46"/>
      <c r="RSU100" s="46"/>
      <c r="RSV100" s="46"/>
      <c r="RSW100" s="46"/>
      <c r="RSX100" s="46"/>
      <c r="RSY100" s="46"/>
      <c r="RSZ100" s="46"/>
      <c r="RTA100" s="46"/>
      <c r="RTB100" s="46"/>
      <c r="RTC100" s="46"/>
      <c r="RTD100" s="46"/>
      <c r="RTE100" s="46"/>
      <c r="RTF100" s="46"/>
      <c r="RTG100" s="46"/>
      <c r="RTH100" s="46"/>
      <c r="RTI100" s="46"/>
      <c r="RTJ100" s="46"/>
      <c r="RTK100" s="46"/>
      <c r="RTL100" s="46"/>
      <c r="RTM100" s="46"/>
      <c r="RTN100" s="46"/>
      <c r="RTO100" s="46"/>
      <c r="RTP100" s="46"/>
      <c r="RTQ100" s="46"/>
      <c r="RTR100" s="46"/>
      <c r="RTS100" s="46"/>
      <c r="RTT100" s="46"/>
      <c r="RTU100" s="46"/>
      <c r="RTV100" s="46"/>
      <c r="RTW100" s="46"/>
      <c r="RTX100" s="46"/>
      <c r="RTY100" s="46"/>
      <c r="RTZ100" s="46"/>
      <c r="RUA100" s="46"/>
      <c r="RUB100" s="46"/>
      <c r="RUC100" s="46"/>
      <c r="RUD100" s="46"/>
      <c r="RUE100" s="46"/>
      <c r="RUF100" s="46"/>
      <c r="RUG100" s="46"/>
      <c r="RUH100" s="46"/>
      <c r="RUI100" s="46"/>
      <c r="RUJ100" s="46"/>
      <c r="RUK100" s="46"/>
      <c r="RUL100" s="46"/>
      <c r="RUM100" s="46"/>
      <c r="RUN100" s="46"/>
      <c r="RUO100" s="46"/>
      <c r="RUP100" s="46"/>
      <c r="RUQ100" s="46"/>
      <c r="RUR100" s="46"/>
      <c r="RUS100" s="46"/>
      <c r="RUT100" s="46"/>
      <c r="RUU100" s="46"/>
      <c r="RUV100" s="46"/>
      <c r="RUW100" s="46"/>
      <c r="RUX100" s="46"/>
      <c r="RUY100" s="46"/>
      <c r="RUZ100" s="46"/>
      <c r="RVA100" s="46"/>
      <c r="RVB100" s="46"/>
      <c r="RVC100" s="46"/>
      <c r="RVD100" s="46"/>
      <c r="RVE100" s="46"/>
      <c r="RVF100" s="46"/>
      <c r="RVG100" s="46"/>
      <c r="RVH100" s="46"/>
      <c r="RVI100" s="46"/>
      <c r="RVJ100" s="46"/>
      <c r="RVK100" s="46"/>
      <c r="RVL100" s="46"/>
      <c r="RVM100" s="46"/>
      <c r="RVN100" s="46"/>
      <c r="RVO100" s="46"/>
      <c r="RVP100" s="46"/>
      <c r="RVQ100" s="46"/>
      <c r="RVR100" s="46"/>
      <c r="RVS100" s="46"/>
      <c r="RVT100" s="46"/>
      <c r="RVU100" s="46"/>
      <c r="RVV100" s="46"/>
      <c r="RVW100" s="46"/>
      <c r="RVX100" s="46"/>
      <c r="RVY100" s="46"/>
      <c r="RVZ100" s="46"/>
      <c r="RWA100" s="46"/>
      <c r="RWB100" s="46"/>
      <c r="RWC100" s="46"/>
      <c r="RWD100" s="46"/>
      <c r="RWE100" s="46"/>
      <c r="RWF100" s="46"/>
      <c r="RWG100" s="46"/>
      <c r="RWH100" s="46"/>
      <c r="RWI100" s="46"/>
      <c r="RWJ100" s="46"/>
      <c r="RWK100" s="46"/>
      <c r="RWL100" s="46"/>
      <c r="RWM100" s="46"/>
      <c r="RWN100" s="46"/>
      <c r="RWO100" s="46"/>
      <c r="RWP100" s="46"/>
      <c r="RWQ100" s="46"/>
      <c r="RWR100" s="46"/>
      <c r="RWS100" s="46"/>
      <c r="RWT100" s="46"/>
      <c r="RWU100" s="46"/>
      <c r="RWV100" s="46"/>
      <c r="RWW100" s="46"/>
      <c r="RWX100" s="46"/>
      <c r="RWY100" s="46"/>
      <c r="RWZ100" s="46"/>
      <c r="RXA100" s="46"/>
      <c r="RXB100" s="46"/>
      <c r="RXC100" s="46"/>
      <c r="RXD100" s="46"/>
      <c r="RXE100" s="46"/>
      <c r="RXF100" s="46"/>
      <c r="RXG100" s="46"/>
      <c r="RXH100" s="46"/>
      <c r="RXI100" s="46"/>
      <c r="RXJ100" s="46"/>
      <c r="RXK100" s="46"/>
      <c r="RXL100" s="46"/>
      <c r="RXM100" s="46"/>
      <c r="RXN100" s="46"/>
      <c r="RXO100" s="46"/>
      <c r="RXP100" s="46"/>
      <c r="RXQ100" s="46"/>
      <c r="RXR100" s="46"/>
      <c r="RXS100" s="46"/>
      <c r="RXT100" s="46"/>
      <c r="RXU100" s="46"/>
      <c r="RXV100" s="46"/>
      <c r="RXW100" s="46"/>
      <c r="RXX100" s="46"/>
      <c r="RXY100" s="46"/>
      <c r="RXZ100" s="46"/>
      <c r="RYA100" s="46"/>
      <c r="RYB100" s="46"/>
      <c r="RYC100" s="46"/>
      <c r="RYD100" s="46"/>
      <c r="RYE100" s="46"/>
      <c r="RYF100" s="46"/>
      <c r="RYG100" s="46"/>
      <c r="RYH100" s="46"/>
      <c r="RYI100" s="46"/>
      <c r="RYJ100" s="46"/>
      <c r="RYK100" s="46"/>
      <c r="RYL100" s="46"/>
      <c r="RYM100" s="46"/>
      <c r="RYN100" s="46"/>
      <c r="RYO100" s="46"/>
      <c r="RYP100" s="46"/>
      <c r="RYQ100" s="46"/>
      <c r="RYR100" s="46"/>
      <c r="RYS100" s="46"/>
      <c r="RYT100" s="46"/>
      <c r="RYU100" s="46"/>
      <c r="RYV100" s="46"/>
      <c r="RYW100" s="46"/>
      <c r="RYX100" s="46"/>
      <c r="RYY100" s="46"/>
      <c r="RYZ100" s="46"/>
      <c r="RZA100" s="46"/>
      <c r="RZB100" s="46"/>
      <c r="RZC100" s="46"/>
      <c r="RZD100" s="46"/>
      <c r="RZE100" s="46"/>
      <c r="RZF100" s="46"/>
      <c r="RZG100" s="46"/>
      <c r="RZH100" s="46"/>
      <c r="RZI100" s="46"/>
      <c r="RZJ100" s="46"/>
      <c r="RZK100" s="46"/>
      <c r="RZL100" s="46"/>
      <c r="RZM100" s="46"/>
      <c r="RZN100" s="46"/>
      <c r="RZO100" s="46"/>
      <c r="RZP100" s="46"/>
      <c r="RZQ100" s="46"/>
      <c r="RZR100" s="46"/>
      <c r="RZS100" s="46"/>
      <c r="RZT100" s="46"/>
      <c r="RZU100" s="46"/>
      <c r="RZV100" s="46"/>
      <c r="RZW100" s="46"/>
      <c r="RZX100" s="46"/>
      <c r="RZY100" s="46"/>
      <c r="RZZ100" s="46"/>
      <c r="SAA100" s="46"/>
      <c r="SAB100" s="46"/>
      <c r="SAC100" s="46"/>
      <c r="SAD100" s="46"/>
      <c r="SAE100" s="46"/>
      <c r="SAF100" s="46"/>
      <c r="SAG100" s="46"/>
      <c r="SAH100" s="46"/>
      <c r="SAI100" s="46"/>
      <c r="SAJ100" s="46"/>
      <c r="SAK100" s="46"/>
      <c r="SAL100" s="46"/>
      <c r="SAM100" s="46"/>
      <c r="SAN100" s="46"/>
      <c r="SAO100" s="46"/>
      <c r="SAP100" s="46"/>
      <c r="SAQ100" s="46"/>
      <c r="SAR100" s="46"/>
      <c r="SAS100" s="46"/>
      <c r="SAT100" s="46"/>
      <c r="SAU100" s="46"/>
      <c r="SAV100" s="46"/>
      <c r="SAW100" s="46"/>
      <c r="SAX100" s="46"/>
      <c r="SAY100" s="46"/>
      <c r="SAZ100" s="46"/>
      <c r="SBA100" s="46"/>
      <c r="SBB100" s="46"/>
      <c r="SBC100" s="46"/>
      <c r="SBD100" s="46"/>
      <c r="SBE100" s="46"/>
      <c r="SBF100" s="46"/>
      <c r="SBG100" s="46"/>
      <c r="SBH100" s="46"/>
      <c r="SBI100" s="46"/>
      <c r="SBJ100" s="46"/>
      <c r="SBK100" s="46"/>
      <c r="SBL100" s="46"/>
      <c r="SBM100" s="46"/>
      <c r="SBN100" s="46"/>
      <c r="SBO100" s="46"/>
      <c r="SBP100" s="46"/>
      <c r="SBQ100" s="46"/>
      <c r="SBR100" s="46"/>
      <c r="SBS100" s="46"/>
      <c r="SBT100" s="46"/>
      <c r="SBU100" s="46"/>
      <c r="SBV100" s="46"/>
      <c r="SBW100" s="46"/>
      <c r="SBX100" s="46"/>
      <c r="SBY100" s="46"/>
      <c r="SBZ100" s="46"/>
      <c r="SCA100" s="46"/>
      <c r="SCB100" s="46"/>
      <c r="SCC100" s="46"/>
      <c r="SCD100" s="46"/>
      <c r="SCE100" s="46"/>
      <c r="SCF100" s="46"/>
      <c r="SCG100" s="46"/>
      <c r="SCH100" s="46"/>
      <c r="SCI100" s="46"/>
      <c r="SCJ100" s="46"/>
      <c r="SCK100" s="46"/>
      <c r="SCL100" s="46"/>
      <c r="SCM100" s="46"/>
      <c r="SCN100" s="46"/>
      <c r="SCO100" s="46"/>
      <c r="SCP100" s="46"/>
      <c r="SCQ100" s="46"/>
      <c r="SCR100" s="46"/>
      <c r="SCS100" s="46"/>
      <c r="SCT100" s="46"/>
      <c r="SCU100" s="46"/>
      <c r="SCV100" s="46"/>
      <c r="SCW100" s="46"/>
      <c r="SCX100" s="46"/>
      <c r="SCY100" s="46"/>
      <c r="SCZ100" s="46"/>
      <c r="SDA100" s="46"/>
      <c r="SDB100" s="46"/>
      <c r="SDC100" s="46"/>
      <c r="SDD100" s="46"/>
      <c r="SDE100" s="46"/>
      <c r="SDF100" s="46"/>
      <c r="SDG100" s="46"/>
      <c r="SDH100" s="46"/>
      <c r="SDI100" s="46"/>
      <c r="SDJ100" s="46"/>
      <c r="SDK100" s="46"/>
      <c r="SDL100" s="46"/>
      <c r="SDM100" s="46"/>
      <c r="SDN100" s="46"/>
      <c r="SDO100" s="46"/>
      <c r="SDP100" s="46"/>
      <c r="SDQ100" s="46"/>
      <c r="SDR100" s="46"/>
      <c r="SDS100" s="46"/>
      <c r="SDT100" s="46"/>
      <c r="SDU100" s="46"/>
      <c r="SDV100" s="46"/>
      <c r="SDW100" s="46"/>
      <c r="SDX100" s="46"/>
      <c r="SDY100" s="46"/>
      <c r="SDZ100" s="46"/>
      <c r="SEA100" s="46"/>
      <c r="SEB100" s="46"/>
      <c r="SEC100" s="46"/>
      <c r="SED100" s="46"/>
      <c r="SEE100" s="46"/>
      <c r="SEF100" s="46"/>
      <c r="SEG100" s="46"/>
      <c r="SEH100" s="46"/>
      <c r="SEI100" s="46"/>
      <c r="SEJ100" s="46"/>
      <c r="SEK100" s="46"/>
      <c r="SEL100" s="46"/>
      <c r="SEM100" s="46"/>
      <c r="SEN100" s="46"/>
      <c r="SEO100" s="46"/>
      <c r="SEP100" s="46"/>
      <c r="SEQ100" s="46"/>
      <c r="SER100" s="46"/>
      <c r="SES100" s="46"/>
      <c r="SET100" s="46"/>
      <c r="SEU100" s="46"/>
      <c r="SEV100" s="46"/>
      <c r="SEW100" s="46"/>
      <c r="SEX100" s="46"/>
      <c r="SEY100" s="46"/>
      <c r="SEZ100" s="46"/>
      <c r="SFA100" s="46"/>
      <c r="SFB100" s="46"/>
      <c r="SFC100" s="46"/>
      <c r="SFD100" s="46"/>
      <c r="SFE100" s="46"/>
      <c r="SFF100" s="46"/>
      <c r="SFG100" s="46"/>
      <c r="SFH100" s="46"/>
      <c r="SFI100" s="46"/>
      <c r="SFJ100" s="46"/>
      <c r="SFK100" s="46"/>
      <c r="SFL100" s="46"/>
      <c r="SFM100" s="46"/>
      <c r="SFN100" s="46"/>
      <c r="SFO100" s="46"/>
      <c r="SFP100" s="46"/>
      <c r="SFQ100" s="46"/>
      <c r="SFR100" s="46"/>
      <c r="SFS100" s="46"/>
      <c r="SFT100" s="46"/>
      <c r="SFU100" s="46"/>
      <c r="SFV100" s="46"/>
      <c r="SFW100" s="46"/>
      <c r="SFX100" s="46"/>
      <c r="SFY100" s="46"/>
      <c r="SFZ100" s="46"/>
      <c r="SGA100" s="46"/>
      <c r="SGB100" s="46"/>
      <c r="SGC100" s="46"/>
      <c r="SGD100" s="46"/>
      <c r="SGE100" s="46"/>
      <c r="SGF100" s="46"/>
      <c r="SGG100" s="46"/>
      <c r="SGH100" s="46"/>
      <c r="SGI100" s="46"/>
      <c r="SGJ100" s="46"/>
      <c r="SGK100" s="46"/>
      <c r="SGL100" s="46"/>
      <c r="SGM100" s="46"/>
      <c r="SGN100" s="46"/>
      <c r="SGO100" s="46"/>
      <c r="SGP100" s="46"/>
      <c r="SGQ100" s="46"/>
      <c r="SGR100" s="46"/>
      <c r="SGS100" s="46"/>
      <c r="SGT100" s="46"/>
      <c r="SGU100" s="46"/>
      <c r="SGV100" s="46"/>
      <c r="SGW100" s="46"/>
      <c r="SGX100" s="46"/>
      <c r="SGY100" s="46"/>
      <c r="SGZ100" s="46"/>
      <c r="SHA100" s="46"/>
      <c r="SHB100" s="46"/>
      <c r="SHC100" s="46"/>
      <c r="SHD100" s="46"/>
      <c r="SHE100" s="46"/>
      <c r="SHF100" s="46"/>
      <c r="SHG100" s="46"/>
      <c r="SHH100" s="46"/>
      <c r="SHI100" s="46"/>
      <c r="SHJ100" s="46"/>
      <c r="SHK100" s="46"/>
      <c r="SHL100" s="46"/>
      <c r="SHM100" s="46"/>
      <c r="SHN100" s="46"/>
      <c r="SHO100" s="46"/>
      <c r="SHP100" s="46"/>
      <c r="SHQ100" s="46"/>
      <c r="SHR100" s="46"/>
      <c r="SHS100" s="46"/>
      <c r="SHT100" s="46"/>
      <c r="SHU100" s="46"/>
      <c r="SHV100" s="46"/>
      <c r="SHW100" s="46"/>
      <c r="SHX100" s="46"/>
      <c r="SHY100" s="46"/>
      <c r="SHZ100" s="46"/>
      <c r="SIA100" s="46"/>
      <c r="SIB100" s="46"/>
      <c r="SIC100" s="46"/>
      <c r="SID100" s="46"/>
      <c r="SIE100" s="46"/>
      <c r="SIF100" s="46"/>
      <c r="SIG100" s="46"/>
      <c r="SIH100" s="46"/>
      <c r="SII100" s="46"/>
      <c r="SIJ100" s="46"/>
      <c r="SIK100" s="46"/>
      <c r="SIL100" s="46"/>
      <c r="SIM100" s="46"/>
      <c r="SIN100" s="46"/>
      <c r="SIO100" s="46"/>
      <c r="SIP100" s="46"/>
      <c r="SIQ100" s="46"/>
      <c r="SIR100" s="46"/>
      <c r="SIS100" s="46"/>
      <c r="SIT100" s="46"/>
      <c r="SIU100" s="46"/>
      <c r="SIV100" s="46"/>
      <c r="SIW100" s="46"/>
      <c r="SIX100" s="46"/>
      <c r="SIY100" s="46"/>
      <c r="SIZ100" s="46"/>
      <c r="SJA100" s="46"/>
      <c r="SJB100" s="46"/>
      <c r="SJC100" s="46"/>
      <c r="SJD100" s="46"/>
      <c r="SJE100" s="46"/>
      <c r="SJF100" s="46"/>
      <c r="SJG100" s="46"/>
      <c r="SJH100" s="46"/>
      <c r="SJI100" s="46"/>
      <c r="SJJ100" s="46"/>
      <c r="SJK100" s="46"/>
      <c r="SJL100" s="46"/>
      <c r="SJM100" s="46"/>
      <c r="SJN100" s="46"/>
      <c r="SJO100" s="46"/>
      <c r="SJP100" s="46"/>
      <c r="SJQ100" s="46"/>
      <c r="SJR100" s="46"/>
      <c r="SJS100" s="46"/>
      <c r="SJT100" s="46"/>
      <c r="SJU100" s="46"/>
      <c r="SJV100" s="46"/>
      <c r="SJW100" s="46"/>
      <c r="SJX100" s="46"/>
      <c r="SJY100" s="46"/>
      <c r="SJZ100" s="46"/>
      <c r="SKA100" s="46"/>
      <c r="SKB100" s="46"/>
      <c r="SKC100" s="46"/>
      <c r="SKD100" s="46"/>
      <c r="SKE100" s="46"/>
      <c r="SKF100" s="46"/>
      <c r="SKG100" s="46"/>
      <c r="SKH100" s="46"/>
      <c r="SKI100" s="46"/>
      <c r="SKJ100" s="46"/>
      <c r="SKK100" s="46"/>
      <c r="SKL100" s="46"/>
      <c r="SKM100" s="46"/>
      <c r="SKN100" s="46"/>
      <c r="SKO100" s="46"/>
      <c r="SKP100" s="46"/>
      <c r="SKQ100" s="46"/>
      <c r="SKR100" s="46"/>
      <c r="SKS100" s="46"/>
      <c r="SKT100" s="46"/>
      <c r="SKU100" s="46"/>
      <c r="SKV100" s="46"/>
      <c r="SKW100" s="46"/>
      <c r="SKX100" s="46"/>
      <c r="SKY100" s="46"/>
      <c r="SKZ100" s="46"/>
      <c r="SLA100" s="46"/>
      <c r="SLB100" s="46"/>
      <c r="SLC100" s="46"/>
      <c r="SLD100" s="46"/>
      <c r="SLE100" s="46"/>
      <c r="SLF100" s="46"/>
      <c r="SLG100" s="46"/>
      <c r="SLH100" s="46"/>
      <c r="SLI100" s="46"/>
      <c r="SLJ100" s="46"/>
      <c r="SLK100" s="46"/>
      <c r="SLL100" s="46"/>
      <c r="SLM100" s="46"/>
      <c r="SLN100" s="46"/>
      <c r="SLO100" s="46"/>
      <c r="SLP100" s="46"/>
      <c r="SLQ100" s="46"/>
      <c r="SLR100" s="46"/>
      <c r="SLS100" s="46"/>
      <c r="SLT100" s="46"/>
      <c r="SLU100" s="46"/>
      <c r="SLV100" s="46"/>
      <c r="SLW100" s="46"/>
      <c r="SLX100" s="46"/>
      <c r="SLY100" s="46"/>
      <c r="SLZ100" s="46"/>
      <c r="SMA100" s="46"/>
      <c r="SMB100" s="46"/>
      <c r="SMC100" s="46"/>
      <c r="SMD100" s="46"/>
      <c r="SME100" s="46"/>
      <c r="SMF100" s="46"/>
      <c r="SMG100" s="46"/>
      <c r="SMH100" s="46"/>
      <c r="SMI100" s="46"/>
      <c r="SMJ100" s="46"/>
      <c r="SMK100" s="46"/>
      <c r="SML100" s="46"/>
      <c r="SMM100" s="46"/>
      <c r="SMN100" s="46"/>
      <c r="SMO100" s="46"/>
      <c r="SMP100" s="46"/>
      <c r="SMQ100" s="46"/>
      <c r="SMR100" s="46"/>
      <c r="SMS100" s="46"/>
      <c r="SMT100" s="46"/>
      <c r="SMU100" s="46"/>
      <c r="SMV100" s="46"/>
      <c r="SMW100" s="46"/>
      <c r="SMX100" s="46"/>
      <c r="SMY100" s="46"/>
      <c r="SMZ100" s="46"/>
      <c r="SNA100" s="46"/>
      <c r="SNB100" s="46"/>
      <c r="SNC100" s="46"/>
      <c r="SND100" s="46"/>
      <c r="SNE100" s="46"/>
      <c r="SNF100" s="46"/>
      <c r="SNG100" s="46"/>
      <c r="SNH100" s="46"/>
      <c r="SNI100" s="46"/>
      <c r="SNJ100" s="46"/>
      <c r="SNK100" s="46"/>
      <c r="SNL100" s="46"/>
      <c r="SNM100" s="46"/>
      <c r="SNN100" s="46"/>
      <c r="SNO100" s="46"/>
      <c r="SNP100" s="46"/>
      <c r="SNQ100" s="46"/>
      <c r="SNR100" s="46"/>
      <c r="SNS100" s="46"/>
      <c r="SNT100" s="46"/>
      <c r="SNU100" s="46"/>
      <c r="SNV100" s="46"/>
      <c r="SNW100" s="46"/>
      <c r="SNX100" s="46"/>
      <c r="SNY100" s="46"/>
      <c r="SNZ100" s="46"/>
      <c r="SOA100" s="46"/>
      <c r="SOB100" s="46"/>
      <c r="SOC100" s="46"/>
      <c r="SOD100" s="46"/>
      <c r="SOE100" s="46"/>
      <c r="SOF100" s="46"/>
      <c r="SOG100" s="46"/>
      <c r="SOH100" s="46"/>
      <c r="SOI100" s="46"/>
      <c r="SOJ100" s="46"/>
      <c r="SOK100" s="46"/>
      <c r="SOL100" s="46"/>
      <c r="SOM100" s="46"/>
      <c r="SON100" s="46"/>
      <c r="SOO100" s="46"/>
      <c r="SOP100" s="46"/>
      <c r="SOQ100" s="46"/>
      <c r="SOR100" s="46"/>
      <c r="SOS100" s="46"/>
      <c r="SOT100" s="46"/>
      <c r="SOU100" s="46"/>
      <c r="SOV100" s="46"/>
      <c r="SOW100" s="46"/>
      <c r="SOX100" s="46"/>
      <c r="SOY100" s="46"/>
      <c r="SOZ100" s="46"/>
      <c r="SPA100" s="46"/>
      <c r="SPB100" s="46"/>
      <c r="SPC100" s="46"/>
      <c r="SPD100" s="46"/>
      <c r="SPE100" s="46"/>
      <c r="SPF100" s="46"/>
      <c r="SPG100" s="46"/>
      <c r="SPH100" s="46"/>
      <c r="SPI100" s="46"/>
      <c r="SPJ100" s="46"/>
      <c r="SPK100" s="46"/>
      <c r="SPL100" s="46"/>
      <c r="SPM100" s="46"/>
      <c r="SPN100" s="46"/>
      <c r="SPO100" s="46"/>
      <c r="SPP100" s="46"/>
      <c r="SPQ100" s="46"/>
      <c r="SPR100" s="46"/>
      <c r="SPS100" s="46"/>
      <c r="SPT100" s="46"/>
      <c r="SPU100" s="46"/>
      <c r="SPV100" s="46"/>
      <c r="SPW100" s="46"/>
      <c r="SPX100" s="46"/>
      <c r="SPY100" s="46"/>
      <c r="SPZ100" s="46"/>
      <c r="SQA100" s="46"/>
      <c r="SQB100" s="46"/>
      <c r="SQC100" s="46"/>
      <c r="SQD100" s="46"/>
      <c r="SQE100" s="46"/>
      <c r="SQF100" s="46"/>
      <c r="SQG100" s="46"/>
      <c r="SQH100" s="46"/>
      <c r="SQI100" s="46"/>
      <c r="SQJ100" s="46"/>
      <c r="SQK100" s="46"/>
      <c r="SQL100" s="46"/>
      <c r="SQM100" s="46"/>
      <c r="SQN100" s="46"/>
      <c r="SQO100" s="46"/>
      <c r="SQP100" s="46"/>
      <c r="SQQ100" s="46"/>
      <c r="SQR100" s="46"/>
      <c r="SQS100" s="46"/>
      <c r="SQT100" s="46"/>
      <c r="SQU100" s="46"/>
      <c r="SQV100" s="46"/>
      <c r="SQW100" s="46"/>
      <c r="SQX100" s="46"/>
      <c r="SQY100" s="46"/>
      <c r="SQZ100" s="46"/>
      <c r="SRA100" s="46"/>
      <c r="SRB100" s="46"/>
      <c r="SRC100" s="46"/>
      <c r="SRD100" s="46"/>
      <c r="SRE100" s="46"/>
      <c r="SRF100" s="46"/>
      <c r="SRG100" s="46"/>
      <c r="SRH100" s="46"/>
      <c r="SRI100" s="46"/>
      <c r="SRJ100" s="46"/>
      <c r="SRK100" s="46"/>
      <c r="SRL100" s="46"/>
      <c r="SRM100" s="46"/>
      <c r="SRN100" s="46"/>
      <c r="SRO100" s="46"/>
      <c r="SRP100" s="46"/>
      <c r="SRQ100" s="46"/>
      <c r="SRR100" s="46"/>
      <c r="SRS100" s="46"/>
      <c r="SRT100" s="46"/>
      <c r="SRU100" s="46"/>
      <c r="SRV100" s="46"/>
      <c r="SRW100" s="46"/>
      <c r="SRX100" s="46"/>
      <c r="SRY100" s="46"/>
      <c r="SRZ100" s="46"/>
      <c r="SSA100" s="46"/>
      <c r="SSB100" s="46"/>
      <c r="SSC100" s="46"/>
      <c r="SSD100" s="46"/>
      <c r="SSE100" s="46"/>
      <c r="SSF100" s="46"/>
      <c r="SSG100" s="46"/>
      <c r="SSH100" s="46"/>
      <c r="SSI100" s="46"/>
      <c r="SSJ100" s="46"/>
      <c r="SSK100" s="46"/>
      <c r="SSL100" s="46"/>
      <c r="SSM100" s="46"/>
      <c r="SSN100" s="46"/>
      <c r="SSO100" s="46"/>
      <c r="SSP100" s="46"/>
      <c r="SSQ100" s="46"/>
      <c r="SSR100" s="46"/>
      <c r="SSS100" s="46"/>
      <c r="SST100" s="46"/>
      <c r="SSU100" s="46"/>
      <c r="SSV100" s="46"/>
      <c r="SSW100" s="46"/>
      <c r="SSX100" s="46"/>
      <c r="SSY100" s="46"/>
      <c r="SSZ100" s="46"/>
      <c r="STA100" s="46"/>
      <c r="STB100" s="46"/>
      <c r="STC100" s="46"/>
      <c r="STD100" s="46"/>
      <c r="STE100" s="46"/>
      <c r="STF100" s="46"/>
      <c r="STG100" s="46"/>
      <c r="STH100" s="46"/>
      <c r="STI100" s="46"/>
      <c r="STJ100" s="46"/>
      <c r="STK100" s="46"/>
      <c r="STL100" s="46"/>
      <c r="STM100" s="46"/>
      <c r="STN100" s="46"/>
      <c r="STO100" s="46"/>
      <c r="STP100" s="46"/>
      <c r="STQ100" s="46"/>
      <c r="STR100" s="46"/>
      <c r="STS100" s="46"/>
      <c r="STT100" s="46"/>
      <c r="STU100" s="46"/>
      <c r="STV100" s="46"/>
      <c r="STW100" s="46"/>
      <c r="STX100" s="46"/>
      <c r="STY100" s="46"/>
      <c r="STZ100" s="46"/>
      <c r="SUA100" s="46"/>
      <c r="SUB100" s="46"/>
      <c r="SUC100" s="46"/>
      <c r="SUD100" s="46"/>
      <c r="SUE100" s="46"/>
      <c r="SUF100" s="46"/>
      <c r="SUG100" s="46"/>
      <c r="SUH100" s="46"/>
      <c r="SUI100" s="46"/>
      <c r="SUJ100" s="46"/>
      <c r="SUK100" s="46"/>
      <c r="SUL100" s="46"/>
      <c r="SUM100" s="46"/>
      <c r="SUN100" s="46"/>
      <c r="SUO100" s="46"/>
      <c r="SUP100" s="46"/>
      <c r="SUQ100" s="46"/>
      <c r="SUR100" s="46"/>
      <c r="SUS100" s="46"/>
      <c r="SUT100" s="46"/>
      <c r="SUU100" s="46"/>
      <c r="SUV100" s="46"/>
      <c r="SUW100" s="46"/>
      <c r="SUX100" s="46"/>
      <c r="SUY100" s="46"/>
      <c r="SUZ100" s="46"/>
      <c r="SVA100" s="46"/>
      <c r="SVB100" s="46"/>
      <c r="SVC100" s="46"/>
      <c r="SVD100" s="46"/>
      <c r="SVE100" s="46"/>
      <c r="SVF100" s="46"/>
      <c r="SVG100" s="46"/>
      <c r="SVH100" s="46"/>
      <c r="SVI100" s="46"/>
      <c r="SVJ100" s="46"/>
      <c r="SVK100" s="46"/>
      <c r="SVL100" s="46"/>
      <c r="SVM100" s="46"/>
      <c r="SVN100" s="46"/>
      <c r="SVO100" s="46"/>
      <c r="SVP100" s="46"/>
      <c r="SVQ100" s="46"/>
      <c r="SVR100" s="46"/>
      <c r="SVS100" s="46"/>
      <c r="SVT100" s="46"/>
      <c r="SVU100" s="46"/>
      <c r="SVV100" s="46"/>
      <c r="SVW100" s="46"/>
      <c r="SVX100" s="46"/>
      <c r="SVY100" s="46"/>
      <c r="SVZ100" s="46"/>
      <c r="SWA100" s="46"/>
      <c r="SWB100" s="46"/>
      <c r="SWC100" s="46"/>
      <c r="SWD100" s="46"/>
      <c r="SWE100" s="46"/>
      <c r="SWF100" s="46"/>
      <c r="SWG100" s="46"/>
      <c r="SWH100" s="46"/>
      <c r="SWI100" s="46"/>
      <c r="SWJ100" s="46"/>
      <c r="SWK100" s="46"/>
      <c r="SWL100" s="46"/>
      <c r="SWM100" s="46"/>
      <c r="SWN100" s="46"/>
      <c r="SWO100" s="46"/>
      <c r="SWP100" s="46"/>
      <c r="SWQ100" s="46"/>
      <c r="SWR100" s="46"/>
      <c r="SWS100" s="46"/>
      <c r="SWT100" s="46"/>
      <c r="SWU100" s="46"/>
      <c r="SWV100" s="46"/>
      <c r="SWW100" s="46"/>
      <c r="SWX100" s="46"/>
      <c r="SWY100" s="46"/>
      <c r="SWZ100" s="46"/>
      <c r="SXA100" s="46"/>
      <c r="SXB100" s="46"/>
      <c r="SXC100" s="46"/>
      <c r="SXD100" s="46"/>
      <c r="SXE100" s="46"/>
      <c r="SXF100" s="46"/>
      <c r="SXG100" s="46"/>
      <c r="SXH100" s="46"/>
      <c r="SXI100" s="46"/>
      <c r="SXJ100" s="46"/>
      <c r="SXK100" s="46"/>
      <c r="SXL100" s="46"/>
      <c r="SXM100" s="46"/>
      <c r="SXN100" s="46"/>
      <c r="SXO100" s="46"/>
      <c r="SXP100" s="46"/>
      <c r="SXQ100" s="46"/>
      <c r="SXR100" s="46"/>
      <c r="SXS100" s="46"/>
      <c r="SXT100" s="46"/>
      <c r="SXU100" s="46"/>
      <c r="SXV100" s="46"/>
      <c r="SXW100" s="46"/>
      <c r="SXX100" s="46"/>
      <c r="SXY100" s="46"/>
      <c r="SXZ100" s="46"/>
      <c r="SYA100" s="46"/>
      <c r="SYB100" s="46"/>
      <c r="SYC100" s="46"/>
      <c r="SYD100" s="46"/>
      <c r="SYE100" s="46"/>
      <c r="SYF100" s="46"/>
      <c r="SYG100" s="46"/>
      <c r="SYH100" s="46"/>
      <c r="SYI100" s="46"/>
      <c r="SYJ100" s="46"/>
      <c r="SYK100" s="46"/>
      <c r="SYL100" s="46"/>
      <c r="SYM100" s="46"/>
      <c r="SYN100" s="46"/>
      <c r="SYO100" s="46"/>
      <c r="SYP100" s="46"/>
      <c r="SYQ100" s="46"/>
      <c r="SYR100" s="46"/>
      <c r="SYS100" s="46"/>
      <c r="SYT100" s="46"/>
      <c r="SYU100" s="46"/>
      <c r="SYV100" s="46"/>
      <c r="SYW100" s="46"/>
      <c r="SYX100" s="46"/>
      <c r="SYY100" s="46"/>
      <c r="SYZ100" s="46"/>
      <c r="SZA100" s="46"/>
      <c r="SZB100" s="46"/>
      <c r="SZC100" s="46"/>
      <c r="SZD100" s="46"/>
      <c r="SZE100" s="46"/>
      <c r="SZF100" s="46"/>
      <c r="SZG100" s="46"/>
      <c r="SZH100" s="46"/>
      <c r="SZI100" s="46"/>
      <c r="SZJ100" s="46"/>
      <c r="SZK100" s="46"/>
      <c r="SZL100" s="46"/>
      <c r="SZM100" s="46"/>
      <c r="SZN100" s="46"/>
      <c r="SZO100" s="46"/>
      <c r="SZP100" s="46"/>
      <c r="SZQ100" s="46"/>
      <c r="SZR100" s="46"/>
      <c r="SZS100" s="46"/>
      <c r="SZT100" s="46"/>
      <c r="SZU100" s="46"/>
      <c r="SZV100" s="46"/>
      <c r="SZW100" s="46"/>
      <c r="SZX100" s="46"/>
      <c r="SZY100" s="46"/>
      <c r="SZZ100" s="46"/>
      <c r="TAA100" s="46"/>
      <c r="TAB100" s="46"/>
      <c r="TAC100" s="46"/>
      <c r="TAD100" s="46"/>
      <c r="TAE100" s="46"/>
      <c r="TAF100" s="46"/>
      <c r="TAG100" s="46"/>
      <c r="TAH100" s="46"/>
      <c r="TAI100" s="46"/>
      <c r="TAJ100" s="46"/>
      <c r="TAK100" s="46"/>
      <c r="TAL100" s="46"/>
      <c r="TAM100" s="46"/>
      <c r="TAN100" s="46"/>
      <c r="TAO100" s="46"/>
      <c r="TAP100" s="46"/>
      <c r="TAQ100" s="46"/>
      <c r="TAR100" s="46"/>
      <c r="TAS100" s="46"/>
      <c r="TAT100" s="46"/>
      <c r="TAU100" s="46"/>
      <c r="TAV100" s="46"/>
      <c r="TAW100" s="46"/>
      <c r="TAX100" s="46"/>
      <c r="TAY100" s="46"/>
      <c r="TAZ100" s="46"/>
      <c r="TBA100" s="46"/>
      <c r="TBB100" s="46"/>
      <c r="TBC100" s="46"/>
      <c r="TBD100" s="46"/>
      <c r="TBE100" s="46"/>
      <c r="TBF100" s="46"/>
      <c r="TBG100" s="46"/>
      <c r="TBH100" s="46"/>
      <c r="TBI100" s="46"/>
      <c r="TBJ100" s="46"/>
      <c r="TBK100" s="46"/>
      <c r="TBL100" s="46"/>
      <c r="TBM100" s="46"/>
      <c r="TBN100" s="46"/>
      <c r="TBO100" s="46"/>
      <c r="TBP100" s="46"/>
      <c r="TBQ100" s="46"/>
      <c r="TBR100" s="46"/>
      <c r="TBS100" s="46"/>
      <c r="TBT100" s="46"/>
      <c r="TBU100" s="46"/>
      <c r="TBV100" s="46"/>
      <c r="TBW100" s="46"/>
      <c r="TBX100" s="46"/>
      <c r="TBY100" s="46"/>
      <c r="TBZ100" s="46"/>
      <c r="TCA100" s="46"/>
      <c r="TCB100" s="46"/>
      <c r="TCC100" s="46"/>
      <c r="TCD100" s="46"/>
      <c r="TCE100" s="46"/>
      <c r="TCF100" s="46"/>
      <c r="TCG100" s="46"/>
      <c r="TCH100" s="46"/>
      <c r="TCI100" s="46"/>
      <c r="TCJ100" s="46"/>
      <c r="TCK100" s="46"/>
      <c r="TCL100" s="46"/>
      <c r="TCM100" s="46"/>
      <c r="TCN100" s="46"/>
      <c r="TCO100" s="46"/>
      <c r="TCP100" s="46"/>
      <c r="TCQ100" s="46"/>
      <c r="TCR100" s="46"/>
      <c r="TCS100" s="46"/>
      <c r="TCT100" s="46"/>
      <c r="TCU100" s="46"/>
      <c r="TCV100" s="46"/>
      <c r="TCW100" s="46"/>
      <c r="TCX100" s="46"/>
      <c r="TCY100" s="46"/>
      <c r="TCZ100" s="46"/>
      <c r="TDA100" s="46"/>
      <c r="TDB100" s="46"/>
      <c r="TDC100" s="46"/>
      <c r="TDD100" s="46"/>
      <c r="TDE100" s="46"/>
      <c r="TDF100" s="46"/>
      <c r="TDG100" s="46"/>
      <c r="TDH100" s="46"/>
      <c r="TDI100" s="46"/>
      <c r="TDJ100" s="46"/>
      <c r="TDK100" s="46"/>
      <c r="TDL100" s="46"/>
      <c r="TDM100" s="46"/>
      <c r="TDN100" s="46"/>
      <c r="TDO100" s="46"/>
      <c r="TDP100" s="46"/>
      <c r="TDQ100" s="46"/>
      <c r="TDR100" s="46"/>
      <c r="TDS100" s="46"/>
      <c r="TDT100" s="46"/>
      <c r="TDU100" s="46"/>
      <c r="TDV100" s="46"/>
      <c r="TDW100" s="46"/>
      <c r="TDX100" s="46"/>
      <c r="TDY100" s="46"/>
      <c r="TDZ100" s="46"/>
      <c r="TEA100" s="46"/>
      <c r="TEB100" s="46"/>
      <c r="TEC100" s="46"/>
      <c r="TED100" s="46"/>
      <c r="TEE100" s="46"/>
      <c r="TEF100" s="46"/>
      <c r="TEG100" s="46"/>
      <c r="TEH100" s="46"/>
      <c r="TEI100" s="46"/>
      <c r="TEJ100" s="46"/>
      <c r="TEK100" s="46"/>
      <c r="TEL100" s="46"/>
      <c r="TEM100" s="46"/>
      <c r="TEN100" s="46"/>
      <c r="TEO100" s="46"/>
      <c r="TEP100" s="46"/>
      <c r="TEQ100" s="46"/>
      <c r="TER100" s="46"/>
      <c r="TES100" s="46"/>
      <c r="TET100" s="46"/>
      <c r="TEU100" s="46"/>
      <c r="TEV100" s="46"/>
      <c r="TEW100" s="46"/>
      <c r="TEX100" s="46"/>
      <c r="TEY100" s="46"/>
      <c r="TEZ100" s="46"/>
      <c r="TFA100" s="46"/>
      <c r="TFB100" s="46"/>
      <c r="TFC100" s="46"/>
      <c r="TFD100" s="46"/>
      <c r="TFE100" s="46"/>
      <c r="TFF100" s="46"/>
      <c r="TFG100" s="46"/>
      <c r="TFH100" s="46"/>
      <c r="TFI100" s="46"/>
      <c r="TFJ100" s="46"/>
      <c r="TFK100" s="46"/>
      <c r="TFL100" s="46"/>
      <c r="TFM100" s="46"/>
      <c r="TFN100" s="46"/>
      <c r="TFO100" s="46"/>
      <c r="TFP100" s="46"/>
      <c r="TFQ100" s="46"/>
      <c r="TFR100" s="46"/>
      <c r="TFS100" s="46"/>
      <c r="TFT100" s="46"/>
      <c r="TFU100" s="46"/>
      <c r="TFV100" s="46"/>
      <c r="TFW100" s="46"/>
      <c r="TFX100" s="46"/>
      <c r="TFY100" s="46"/>
      <c r="TFZ100" s="46"/>
      <c r="TGA100" s="46"/>
      <c r="TGB100" s="46"/>
      <c r="TGC100" s="46"/>
      <c r="TGD100" s="46"/>
      <c r="TGE100" s="46"/>
      <c r="TGF100" s="46"/>
      <c r="TGG100" s="46"/>
      <c r="TGH100" s="46"/>
      <c r="TGI100" s="46"/>
      <c r="TGJ100" s="46"/>
      <c r="TGK100" s="46"/>
      <c r="TGL100" s="46"/>
      <c r="TGM100" s="46"/>
      <c r="TGN100" s="46"/>
      <c r="TGO100" s="46"/>
      <c r="TGP100" s="46"/>
      <c r="TGQ100" s="46"/>
      <c r="TGR100" s="46"/>
      <c r="TGS100" s="46"/>
      <c r="TGT100" s="46"/>
      <c r="TGU100" s="46"/>
      <c r="TGV100" s="46"/>
      <c r="TGW100" s="46"/>
      <c r="TGX100" s="46"/>
      <c r="TGY100" s="46"/>
      <c r="TGZ100" s="46"/>
      <c r="THA100" s="46"/>
      <c r="THB100" s="46"/>
      <c r="THC100" s="46"/>
      <c r="THD100" s="46"/>
      <c r="THE100" s="46"/>
      <c r="THF100" s="46"/>
      <c r="THG100" s="46"/>
      <c r="THH100" s="46"/>
      <c r="THI100" s="46"/>
      <c r="THJ100" s="46"/>
      <c r="THK100" s="46"/>
      <c r="THL100" s="46"/>
      <c r="THM100" s="46"/>
      <c r="THN100" s="46"/>
      <c r="THO100" s="46"/>
      <c r="THP100" s="46"/>
      <c r="THQ100" s="46"/>
      <c r="THR100" s="46"/>
      <c r="THS100" s="46"/>
      <c r="THT100" s="46"/>
      <c r="THU100" s="46"/>
      <c r="THV100" s="46"/>
      <c r="THW100" s="46"/>
      <c r="THX100" s="46"/>
      <c r="THY100" s="46"/>
      <c r="THZ100" s="46"/>
      <c r="TIA100" s="46"/>
      <c r="TIB100" s="46"/>
      <c r="TIC100" s="46"/>
      <c r="TID100" s="46"/>
      <c r="TIE100" s="46"/>
      <c r="TIF100" s="46"/>
      <c r="TIG100" s="46"/>
      <c r="TIH100" s="46"/>
      <c r="TII100" s="46"/>
      <c r="TIJ100" s="46"/>
      <c r="TIK100" s="46"/>
      <c r="TIL100" s="46"/>
      <c r="TIM100" s="46"/>
      <c r="TIN100" s="46"/>
      <c r="TIO100" s="46"/>
      <c r="TIP100" s="46"/>
      <c r="TIQ100" s="46"/>
      <c r="TIR100" s="46"/>
      <c r="TIS100" s="46"/>
      <c r="TIT100" s="46"/>
      <c r="TIU100" s="46"/>
      <c r="TIV100" s="46"/>
      <c r="TIW100" s="46"/>
      <c r="TIX100" s="46"/>
      <c r="TIY100" s="46"/>
      <c r="TIZ100" s="46"/>
      <c r="TJA100" s="46"/>
      <c r="TJB100" s="46"/>
      <c r="TJC100" s="46"/>
      <c r="TJD100" s="46"/>
      <c r="TJE100" s="46"/>
      <c r="TJF100" s="46"/>
      <c r="TJG100" s="46"/>
      <c r="TJH100" s="46"/>
      <c r="TJI100" s="46"/>
      <c r="TJJ100" s="46"/>
      <c r="TJK100" s="46"/>
      <c r="TJL100" s="46"/>
      <c r="TJM100" s="46"/>
      <c r="TJN100" s="46"/>
      <c r="TJO100" s="46"/>
      <c r="TJP100" s="46"/>
      <c r="TJQ100" s="46"/>
      <c r="TJR100" s="46"/>
      <c r="TJS100" s="46"/>
      <c r="TJT100" s="46"/>
      <c r="TJU100" s="46"/>
      <c r="TJV100" s="46"/>
      <c r="TJW100" s="46"/>
      <c r="TJX100" s="46"/>
      <c r="TJY100" s="46"/>
      <c r="TJZ100" s="46"/>
      <c r="TKA100" s="46"/>
      <c r="TKB100" s="46"/>
      <c r="TKC100" s="46"/>
      <c r="TKD100" s="46"/>
      <c r="TKE100" s="46"/>
      <c r="TKF100" s="46"/>
      <c r="TKG100" s="46"/>
      <c r="TKH100" s="46"/>
      <c r="TKI100" s="46"/>
      <c r="TKJ100" s="46"/>
      <c r="TKK100" s="46"/>
      <c r="TKL100" s="46"/>
      <c r="TKM100" s="46"/>
      <c r="TKN100" s="46"/>
      <c r="TKO100" s="46"/>
      <c r="TKP100" s="46"/>
      <c r="TKQ100" s="46"/>
      <c r="TKR100" s="46"/>
      <c r="TKS100" s="46"/>
      <c r="TKT100" s="46"/>
      <c r="TKU100" s="46"/>
      <c r="TKV100" s="46"/>
      <c r="TKW100" s="46"/>
      <c r="TKX100" s="46"/>
      <c r="TKY100" s="46"/>
      <c r="TKZ100" s="46"/>
      <c r="TLA100" s="46"/>
      <c r="TLB100" s="46"/>
      <c r="TLC100" s="46"/>
      <c r="TLD100" s="46"/>
      <c r="TLE100" s="46"/>
      <c r="TLF100" s="46"/>
      <c r="TLG100" s="46"/>
      <c r="TLH100" s="46"/>
      <c r="TLI100" s="46"/>
      <c r="TLJ100" s="46"/>
      <c r="TLK100" s="46"/>
      <c r="TLL100" s="46"/>
      <c r="TLM100" s="46"/>
      <c r="TLN100" s="46"/>
      <c r="TLO100" s="46"/>
      <c r="TLP100" s="46"/>
      <c r="TLQ100" s="46"/>
      <c r="TLR100" s="46"/>
      <c r="TLS100" s="46"/>
      <c r="TLT100" s="46"/>
      <c r="TLU100" s="46"/>
      <c r="TLV100" s="46"/>
      <c r="TLW100" s="46"/>
      <c r="TLX100" s="46"/>
      <c r="TLY100" s="46"/>
      <c r="TLZ100" s="46"/>
      <c r="TMA100" s="46"/>
      <c r="TMB100" s="46"/>
      <c r="TMC100" s="46"/>
      <c r="TMD100" s="46"/>
      <c r="TME100" s="46"/>
      <c r="TMF100" s="46"/>
      <c r="TMG100" s="46"/>
      <c r="TMH100" s="46"/>
      <c r="TMI100" s="46"/>
      <c r="TMJ100" s="46"/>
      <c r="TMK100" s="46"/>
      <c r="TML100" s="46"/>
      <c r="TMM100" s="46"/>
      <c r="TMN100" s="46"/>
      <c r="TMO100" s="46"/>
      <c r="TMP100" s="46"/>
      <c r="TMQ100" s="46"/>
      <c r="TMR100" s="46"/>
      <c r="TMS100" s="46"/>
      <c r="TMT100" s="46"/>
      <c r="TMU100" s="46"/>
      <c r="TMV100" s="46"/>
      <c r="TMW100" s="46"/>
      <c r="TMX100" s="46"/>
      <c r="TMY100" s="46"/>
      <c r="TMZ100" s="46"/>
      <c r="TNA100" s="46"/>
      <c r="TNB100" s="46"/>
      <c r="TNC100" s="46"/>
      <c r="TND100" s="46"/>
      <c r="TNE100" s="46"/>
      <c r="TNF100" s="46"/>
      <c r="TNG100" s="46"/>
      <c r="TNH100" s="46"/>
      <c r="TNI100" s="46"/>
      <c r="TNJ100" s="46"/>
      <c r="TNK100" s="46"/>
      <c r="TNL100" s="46"/>
      <c r="TNM100" s="46"/>
      <c r="TNN100" s="46"/>
      <c r="TNO100" s="46"/>
      <c r="TNP100" s="46"/>
      <c r="TNQ100" s="46"/>
      <c r="TNR100" s="46"/>
      <c r="TNS100" s="46"/>
      <c r="TNT100" s="46"/>
      <c r="TNU100" s="46"/>
      <c r="TNV100" s="46"/>
      <c r="TNW100" s="46"/>
      <c r="TNX100" s="46"/>
      <c r="TNY100" s="46"/>
      <c r="TNZ100" s="46"/>
      <c r="TOA100" s="46"/>
      <c r="TOB100" s="46"/>
      <c r="TOC100" s="46"/>
      <c r="TOD100" s="46"/>
      <c r="TOE100" s="46"/>
      <c r="TOF100" s="46"/>
      <c r="TOG100" s="46"/>
      <c r="TOH100" s="46"/>
      <c r="TOI100" s="46"/>
      <c r="TOJ100" s="46"/>
      <c r="TOK100" s="46"/>
      <c r="TOL100" s="46"/>
      <c r="TOM100" s="46"/>
      <c r="TON100" s="46"/>
      <c r="TOO100" s="46"/>
      <c r="TOP100" s="46"/>
      <c r="TOQ100" s="46"/>
      <c r="TOR100" s="46"/>
      <c r="TOS100" s="46"/>
      <c r="TOT100" s="46"/>
      <c r="TOU100" s="46"/>
      <c r="TOV100" s="46"/>
      <c r="TOW100" s="46"/>
      <c r="TOX100" s="46"/>
      <c r="TOY100" s="46"/>
      <c r="TOZ100" s="46"/>
      <c r="TPA100" s="46"/>
      <c r="TPB100" s="46"/>
      <c r="TPC100" s="46"/>
      <c r="TPD100" s="46"/>
      <c r="TPE100" s="46"/>
      <c r="TPF100" s="46"/>
      <c r="TPG100" s="46"/>
      <c r="TPH100" s="46"/>
      <c r="TPI100" s="46"/>
      <c r="TPJ100" s="46"/>
      <c r="TPK100" s="46"/>
      <c r="TPL100" s="46"/>
      <c r="TPM100" s="46"/>
      <c r="TPN100" s="46"/>
      <c r="TPO100" s="46"/>
      <c r="TPP100" s="46"/>
      <c r="TPQ100" s="46"/>
      <c r="TPR100" s="46"/>
      <c r="TPS100" s="46"/>
      <c r="TPT100" s="46"/>
      <c r="TPU100" s="46"/>
      <c r="TPV100" s="46"/>
      <c r="TPW100" s="46"/>
      <c r="TPX100" s="46"/>
      <c r="TPY100" s="46"/>
      <c r="TPZ100" s="46"/>
      <c r="TQA100" s="46"/>
      <c r="TQB100" s="46"/>
      <c r="TQC100" s="46"/>
      <c r="TQD100" s="46"/>
      <c r="TQE100" s="46"/>
      <c r="TQF100" s="46"/>
      <c r="TQG100" s="46"/>
      <c r="TQH100" s="46"/>
      <c r="TQI100" s="46"/>
      <c r="TQJ100" s="46"/>
      <c r="TQK100" s="46"/>
      <c r="TQL100" s="46"/>
      <c r="TQM100" s="46"/>
      <c r="TQN100" s="46"/>
      <c r="TQO100" s="46"/>
      <c r="TQP100" s="46"/>
      <c r="TQQ100" s="46"/>
      <c r="TQR100" s="46"/>
      <c r="TQS100" s="46"/>
      <c r="TQT100" s="46"/>
      <c r="TQU100" s="46"/>
      <c r="TQV100" s="46"/>
      <c r="TQW100" s="46"/>
      <c r="TQX100" s="46"/>
      <c r="TQY100" s="46"/>
      <c r="TQZ100" s="46"/>
      <c r="TRA100" s="46"/>
      <c r="TRB100" s="46"/>
      <c r="TRC100" s="46"/>
      <c r="TRD100" s="46"/>
      <c r="TRE100" s="46"/>
      <c r="TRF100" s="46"/>
      <c r="TRG100" s="46"/>
      <c r="TRH100" s="46"/>
      <c r="TRI100" s="46"/>
      <c r="TRJ100" s="46"/>
      <c r="TRK100" s="46"/>
      <c r="TRL100" s="46"/>
      <c r="TRM100" s="46"/>
      <c r="TRN100" s="46"/>
      <c r="TRO100" s="46"/>
      <c r="TRP100" s="46"/>
      <c r="TRQ100" s="46"/>
      <c r="TRR100" s="46"/>
      <c r="TRS100" s="46"/>
      <c r="TRT100" s="46"/>
      <c r="TRU100" s="46"/>
      <c r="TRV100" s="46"/>
      <c r="TRW100" s="46"/>
      <c r="TRX100" s="46"/>
      <c r="TRY100" s="46"/>
      <c r="TRZ100" s="46"/>
      <c r="TSA100" s="46"/>
      <c r="TSB100" s="46"/>
      <c r="TSC100" s="46"/>
      <c r="TSD100" s="46"/>
      <c r="TSE100" s="46"/>
      <c r="TSF100" s="46"/>
      <c r="TSG100" s="46"/>
      <c r="TSH100" s="46"/>
      <c r="TSI100" s="46"/>
      <c r="TSJ100" s="46"/>
      <c r="TSK100" s="46"/>
      <c r="TSL100" s="46"/>
      <c r="TSM100" s="46"/>
      <c r="TSN100" s="46"/>
      <c r="TSO100" s="46"/>
      <c r="TSP100" s="46"/>
      <c r="TSQ100" s="46"/>
      <c r="TSR100" s="46"/>
      <c r="TSS100" s="46"/>
      <c r="TST100" s="46"/>
      <c r="TSU100" s="46"/>
      <c r="TSV100" s="46"/>
      <c r="TSW100" s="46"/>
      <c r="TSX100" s="46"/>
      <c r="TSY100" s="46"/>
      <c r="TSZ100" s="46"/>
      <c r="TTA100" s="46"/>
      <c r="TTB100" s="46"/>
      <c r="TTC100" s="46"/>
      <c r="TTD100" s="46"/>
      <c r="TTE100" s="46"/>
      <c r="TTF100" s="46"/>
      <c r="TTG100" s="46"/>
      <c r="TTH100" s="46"/>
      <c r="TTI100" s="46"/>
      <c r="TTJ100" s="46"/>
      <c r="TTK100" s="46"/>
      <c r="TTL100" s="46"/>
      <c r="TTM100" s="46"/>
      <c r="TTN100" s="46"/>
      <c r="TTO100" s="46"/>
      <c r="TTP100" s="46"/>
      <c r="TTQ100" s="46"/>
      <c r="TTR100" s="46"/>
      <c r="TTS100" s="46"/>
      <c r="TTT100" s="46"/>
      <c r="TTU100" s="46"/>
      <c r="TTV100" s="46"/>
      <c r="TTW100" s="46"/>
      <c r="TTX100" s="46"/>
      <c r="TTY100" s="46"/>
      <c r="TTZ100" s="46"/>
      <c r="TUA100" s="46"/>
      <c r="TUB100" s="46"/>
      <c r="TUC100" s="46"/>
      <c r="TUD100" s="46"/>
      <c r="TUE100" s="46"/>
      <c r="TUF100" s="46"/>
      <c r="TUG100" s="46"/>
      <c r="TUH100" s="46"/>
      <c r="TUI100" s="46"/>
      <c r="TUJ100" s="46"/>
      <c r="TUK100" s="46"/>
      <c r="TUL100" s="46"/>
      <c r="TUM100" s="46"/>
      <c r="TUN100" s="46"/>
      <c r="TUO100" s="46"/>
      <c r="TUP100" s="46"/>
      <c r="TUQ100" s="46"/>
      <c r="TUR100" s="46"/>
      <c r="TUS100" s="46"/>
      <c r="TUT100" s="46"/>
      <c r="TUU100" s="46"/>
      <c r="TUV100" s="46"/>
      <c r="TUW100" s="46"/>
      <c r="TUX100" s="46"/>
      <c r="TUY100" s="46"/>
      <c r="TUZ100" s="46"/>
      <c r="TVA100" s="46"/>
      <c r="TVB100" s="46"/>
      <c r="TVC100" s="46"/>
      <c r="TVD100" s="46"/>
      <c r="TVE100" s="46"/>
      <c r="TVF100" s="46"/>
      <c r="TVG100" s="46"/>
      <c r="TVH100" s="46"/>
      <c r="TVI100" s="46"/>
      <c r="TVJ100" s="46"/>
      <c r="TVK100" s="46"/>
      <c r="TVL100" s="46"/>
      <c r="TVM100" s="46"/>
      <c r="TVN100" s="46"/>
      <c r="TVO100" s="46"/>
      <c r="TVP100" s="46"/>
      <c r="TVQ100" s="46"/>
      <c r="TVR100" s="46"/>
      <c r="TVS100" s="46"/>
      <c r="TVT100" s="46"/>
      <c r="TVU100" s="46"/>
      <c r="TVV100" s="46"/>
      <c r="TVW100" s="46"/>
      <c r="TVX100" s="46"/>
      <c r="TVY100" s="46"/>
      <c r="TVZ100" s="46"/>
      <c r="TWA100" s="46"/>
      <c r="TWB100" s="46"/>
      <c r="TWC100" s="46"/>
      <c r="TWD100" s="46"/>
      <c r="TWE100" s="46"/>
      <c r="TWF100" s="46"/>
      <c r="TWG100" s="46"/>
      <c r="TWH100" s="46"/>
      <c r="TWI100" s="46"/>
      <c r="TWJ100" s="46"/>
      <c r="TWK100" s="46"/>
      <c r="TWL100" s="46"/>
      <c r="TWM100" s="46"/>
      <c r="TWN100" s="46"/>
      <c r="TWO100" s="46"/>
      <c r="TWP100" s="46"/>
      <c r="TWQ100" s="46"/>
      <c r="TWR100" s="46"/>
      <c r="TWS100" s="46"/>
      <c r="TWT100" s="46"/>
      <c r="TWU100" s="46"/>
      <c r="TWV100" s="46"/>
      <c r="TWW100" s="46"/>
      <c r="TWX100" s="46"/>
      <c r="TWY100" s="46"/>
      <c r="TWZ100" s="46"/>
      <c r="TXA100" s="46"/>
      <c r="TXB100" s="46"/>
      <c r="TXC100" s="46"/>
      <c r="TXD100" s="46"/>
      <c r="TXE100" s="46"/>
      <c r="TXF100" s="46"/>
      <c r="TXG100" s="46"/>
      <c r="TXH100" s="46"/>
      <c r="TXI100" s="46"/>
      <c r="TXJ100" s="46"/>
      <c r="TXK100" s="46"/>
      <c r="TXL100" s="46"/>
      <c r="TXM100" s="46"/>
      <c r="TXN100" s="46"/>
      <c r="TXO100" s="46"/>
      <c r="TXP100" s="46"/>
      <c r="TXQ100" s="46"/>
      <c r="TXR100" s="46"/>
      <c r="TXS100" s="46"/>
      <c r="TXT100" s="46"/>
      <c r="TXU100" s="46"/>
      <c r="TXV100" s="46"/>
      <c r="TXW100" s="46"/>
      <c r="TXX100" s="46"/>
      <c r="TXY100" s="46"/>
      <c r="TXZ100" s="46"/>
      <c r="TYA100" s="46"/>
      <c r="TYB100" s="46"/>
      <c r="TYC100" s="46"/>
      <c r="TYD100" s="46"/>
      <c r="TYE100" s="46"/>
      <c r="TYF100" s="46"/>
      <c r="TYG100" s="46"/>
      <c r="TYH100" s="46"/>
      <c r="TYI100" s="46"/>
      <c r="TYJ100" s="46"/>
      <c r="TYK100" s="46"/>
      <c r="TYL100" s="46"/>
      <c r="TYM100" s="46"/>
      <c r="TYN100" s="46"/>
      <c r="TYO100" s="46"/>
      <c r="TYP100" s="46"/>
      <c r="TYQ100" s="46"/>
      <c r="TYR100" s="46"/>
      <c r="TYS100" s="46"/>
      <c r="TYT100" s="46"/>
      <c r="TYU100" s="46"/>
      <c r="TYV100" s="46"/>
      <c r="TYW100" s="46"/>
      <c r="TYX100" s="46"/>
      <c r="TYY100" s="46"/>
      <c r="TYZ100" s="46"/>
      <c r="TZA100" s="46"/>
      <c r="TZB100" s="46"/>
      <c r="TZC100" s="46"/>
      <c r="TZD100" s="46"/>
      <c r="TZE100" s="46"/>
      <c r="TZF100" s="46"/>
      <c r="TZG100" s="46"/>
      <c r="TZH100" s="46"/>
      <c r="TZI100" s="46"/>
      <c r="TZJ100" s="46"/>
      <c r="TZK100" s="46"/>
      <c r="TZL100" s="46"/>
      <c r="TZM100" s="46"/>
      <c r="TZN100" s="46"/>
      <c r="TZO100" s="46"/>
      <c r="TZP100" s="46"/>
      <c r="TZQ100" s="46"/>
      <c r="TZR100" s="46"/>
      <c r="TZS100" s="46"/>
      <c r="TZT100" s="46"/>
      <c r="TZU100" s="46"/>
      <c r="TZV100" s="46"/>
      <c r="TZW100" s="46"/>
      <c r="TZX100" s="46"/>
      <c r="TZY100" s="46"/>
      <c r="TZZ100" s="46"/>
      <c r="UAA100" s="46"/>
      <c r="UAB100" s="46"/>
      <c r="UAC100" s="46"/>
      <c r="UAD100" s="46"/>
      <c r="UAE100" s="46"/>
      <c r="UAF100" s="46"/>
      <c r="UAG100" s="46"/>
      <c r="UAH100" s="46"/>
      <c r="UAI100" s="46"/>
      <c r="UAJ100" s="46"/>
      <c r="UAK100" s="46"/>
      <c r="UAL100" s="46"/>
      <c r="UAM100" s="46"/>
      <c r="UAN100" s="46"/>
      <c r="UAO100" s="46"/>
      <c r="UAP100" s="46"/>
      <c r="UAQ100" s="46"/>
      <c r="UAR100" s="46"/>
      <c r="UAS100" s="46"/>
      <c r="UAT100" s="46"/>
      <c r="UAU100" s="46"/>
      <c r="UAV100" s="46"/>
      <c r="UAW100" s="46"/>
      <c r="UAX100" s="46"/>
      <c r="UAY100" s="46"/>
      <c r="UAZ100" s="46"/>
      <c r="UBA100" s="46"/>
      <c r="UBB100" s="46"/>
      <c r="UBC100" s="46"/>
      <c r="UBD100" s="46"/>
      <c r="UBE100" s="46"/>
      <c r="UBF100" s="46"/>
      <c r="UBG100" s="46"/>
      <c r="UBH100" s="46"/>
      <c r="UBI100" s="46"/>
      <c r="UBJ100" s="46"/>
      <c r="UBK100" s="46"/>
      <c r="UBL100" s="46"/>
      <c r="UBM100" s="46"/>
      <c r="UBN100" s="46"/>
      <c r="UBO100" s="46"/>
      <c r="UBP100" s="46"/>
      <c r="UBQ100" s="46"/>
      <c r="UBR100" s="46"/>
      <c r="UBS100" s="46"/>
      <c r="UBT100" s="46"/>
      <c r="UBU100" s="46"/>
      <c r="UBV100" s="46"/>
      <c r="UBW100" s="46"/>
      <c r="UBX100" s="46"/>
      <c r="UBY100" s="46"/>
      <c r="UBZ100" s="46"/>
      <c r="UCA100" s="46"/>
      <c r="UCB100" s="46"/>
      <c r="UCC100" s="46"/>
      <c r="UCD100" s="46"/>
      <c r="UCE100" s="46"/>
      <c r="UCF100" s="46"/>
      <c r="UCG100" s="46"/>
      <c r="UCH100" s="46"/>
      <c r="UCI100" s="46"/>
      <c r="UCJ100" s="46"/>
      <c r="UCK100" s="46"/>
      <c r="UCL100" s="46"/>
      <c r="UCM100" s="46"/>
      <c r="UCN100" s="46"/>
      <c r="UCO100" s="46"/>
      <c r="UCP100" s="46"/>
      <c r="UCQ100" s="46"/>
      <c r="UCR100" s="46"/>
      <c r="UCS100" s="46"/>
      <c r="UCT100" s="46"/>
      <c r="UCU100" s="46"/>
      <c r="UCV100" s="46"/>
      <c r="UCW100" s="46"/>
      <c r="UCX100" s="46"/>
      <c r="UCY100" s="46"/>
      <c r="UCZ100" s="46"/>
      <c r="UDA100" s="46"/>
      <c r="UDB100" s="46"/>
      <c r="UDC100" s="46"/>
      <c r="UDD100" s="46"/>
      <c r="UDE100" s="46"/>
      <c r="UDF100" s="46"/>
      <c r="UDG100" s="46"/>
      <c r="UDH100" s="46"/>
      <c r="UDI100" s="46"/>
      <c r="UDJ100" s="46"/>
      <c r="UDK100" s="46"/>
      <c r="UDL100" s="46"/>
      <c r="UDM100" s="46"/>
      <c r="UDN100" s="46"/>
      <c r="UDO100" s="46"/>
      <c r="UDP100" s="46"/>
      <c r="UDQ100" s="46"/>
      <c r="UDR100" s="46"/>
      <c r="UDS100" s="46"/>
      <c r="UDT100" s="46"/>
      <c r="UDU100" s="46"/>
      <c r="UDV100" s="46"/>
      <c r="UDW100" s="46"/>
      <c r="UDX100" s="46"/>
      <c r="UDY100" s="46"/>
      <c r="UDZ100" s="46"/>
      <c r="UEA100" s="46"/>
      <c r="UEB100" s="46"/>
      <c r="UEC100" s="46"/>
      <c r="UED100" s="46"/>
      <c r="UEE100" s="46"/>
      <c r="UEF100" s="46"/>
      <c r="UEG100" s="46"/>
      <c r="UEH100" s="46"/>
      <c r="UEI100" s="46"/>
      <c r="UEJ100" s="46"/>
      <c r="UEK100" s="46"/>
      <c r="UEL100" s="46"/>
      <c r="UEM100" s="46"/>
      <c r="UEN100" s="46"/>
      <c r="UEO100" s="46"/>
      <c r="UEP100" s="46"/>
      <c r="UEQ100" s="46"/>
      <c r="UER100" s="46"/>
      <c r="UES100" s="46"/>
      <c r="UET100" s="46"/>
      <c r="UEU100" s="46"/>
      <c r="UEV100" s="46"/>
      <c r="UEW100" s="46"/>
      <c r="UEX100" s="46"/>
      <c r="UEY100" s="46"/>
      <c r="UEZ100" s="46"/>
      <c r="UFA100" s="46"/>
      <c r="UFB100" s="46"/>
      <c r="UFC100" s="46"/>
      <c r="UFD100" s="46"/>
      <c r="UFE100" s="46"/>
      <c r="UFF100" s="46"/>
      <c r="UFG100" s="46"/>
      <c r="UFH100" s="46"/>
      <c r="UFI100" s="46"/>
      <c r="UFJ100" s="46"/>
      <c r="UFK100" s="46"/>
      <c r="UFL100" s="46"/>
      <c r="UFM100" s="46"/>
      <c r="UFN100" s="46"/>
      <c r="UFO100" s="46"/>
      <c r="UFP100" s="46"/>
      <c r="UFQ100" s="46"/>
      <c r="UFR100" s="46"/>
      <c r="UFS100" s="46"/>
      <c r="UFT100" s="46"/>
      <c r="UFU100" s="46"/>
      <c r="UFV100" s="46"/>
      <c r="UFW100" s="46"/>
      <c r="UFX100" s="46"/>
      <c r="UFY100" s="46"/>
      <c r="UFZ100" s="46"/>
      <c r="UGA100" s="46"/>
      <c r="UGB100" s="46"/>
      <c r="UGC100" s="46"/>
      <c r="UGD100" s="46"/>
      <c r="UGE100" s="46"/>
      <c r="UGF100" s="46"/>
      <c r="UGG100" s="46"/>
      <c r="UGH100" s="46"/>
      <c r="UGI100" s="46"/>
      <c r="UGJ100" s="46"/>
      <c r="UGK100" s="46"/>
      <c r="UGL100" s="46"/>
      <c r="UGM100" s="46"/>
      <c r="UGN100" s="46"/>
      <c r="UGO100" s="46"/>
      <c r="UGP100" s="46"/>
      <c r="UGQ100" s="46"/>
      <c r="UGR100" s="46"/>
      <c r="UGS100" s="46"/>
      <c r="UGT100" s="46"/>
      <c r="UGU100" s="46"/>
      <c r="UGV100" s="46"/>
      <c r="UGW100" s="46"/>
      <c r="UGX100" s="46"/>
      <c r="UGY100" s="46"/>
      <c r="UGZ100" s="46"/>
      <c r="UHA100" s="46"/>
      <c r="UHB100" s="46"/>
      <c r="UHC100" s="46"/>
      <c r="UHD100" s="46"/>
      <c r="UHE100" s="46"/>
      <c r="UHF100" s="46"/>
      <c r="UHG100" s="46"/>
      <c r="UHH100" s="46"/>
      <c r="UHI100" s="46"/>
      <c r="UHJ100" s="46"/>
      <c r="UHK100" s="46"/>
      <c r="UHL100" s="46"/>
      <c r="UHM100" s="46"/>
      <c r="UHN100" s="46"/>
      <c r="UHO100" s="46"/>
      <c r="UHP100" s="46"/>
      <c r="UHQ100" s="46"/>
      <c r="UHR100" s="46"/>
      <c r="UHS100" s="46"/>
      <c r="UHT100" s="46"/>
      <c r="UHU100" s="46"/>
      <c r="UHV100" s="46"/>
      <c r="UHW100" s="46"/>
      <c r="UHX100" s="46"/>
      <c r="UHY100" s="46"/>
      <c r="UHZ100" s="46"/>
      <c r="UIA100" s="46"/>
      <c r="UIB100" s="46"/>
      <c r="UIC100" s="46"/>
      <c r="UID100" s="46"/>
      <c r="UIE100" s="46"/>
      <c r="UIF100" s="46"/>
      <c r="UIG100" s="46"/>
      <c r="UIH100" s="46"/>
      <c r="UII100" s="46"/>
      <c r="UIJ100" s="46"/>
      <c r="UIK100" s="46"/>
      <c r="UIL100" s="46"/>
      <c r="UIM100" s="46"/>
      <c r="UIN100" s="46"/>
      <c r="UIO100" s="46"/>
      <c r="UIP100" s="46"/>
      <c r="UIQ100" s="46"/>
      <c r="UIR100" s="46"/>
      <c r="UIS100" s="46"/>
      <c r="UIT100" s="46"/>
      <c r="UIU100" s="46"/>
      <c r="UIV100" s="46"/>
      <c r="UIW100" s="46"/>
      <c r="UIX100" s="46"/>
      <c r="UIY100" s="46"/>
      <c r="UIZ100" s="46"/>
      <c r="UJA100" s="46"/>
      <c r="UJB100" s="46"/>
      <c r="UJC100" s="46"/>
      <c r="UJD100" s="46"/>
      <c r="UJE100" s="46"/>
      <c r="UJF100" s="46"/>
      <c r="UJG100" s="46"/>
      <c r="UJH100" s="46"/>
      <c r="UJI100" s="46"/>
      <c r="UJJ100" s="46"/>
      <c r="UJK100" s="46"/>
      <c r="UJL100" s="46"/>
      <c r="UJM100" s="46"/>
      <c r="UJN100" s="46"/>
      <c r="UJO100" s="46"/>
      <c r="UJP100" s="46"/>
      <c r="UJQ100" s="46"/>
      <c r="UJR100" s="46"/>
      <c r="UJS100" s="46"/>
      <c r="UJT100" s="46"/>
      <c r="UJU100" s="46"/>
      <c r="UJV100" s="46"/>
      <c r="UJW100" s="46"/>
      <c r="UJX100" s="46"/>
      <c r="UJY100" s="46"/>
      <c r="UJZ100" s="46"/>
      <c r="UKA100" s="46"/>
      <c r="UKB100" s="46"/>
      <c r="UKC100" s="46"/>
      <c r="UKD100" s="46"/>
      <c r="UKE100" s="46"/>
      <c r="UKF100" s="46"/>
      <c r="UKG100" s="46"/>
      <c r="UKH100" s="46"/>
      <c r="UKI100" s="46"/>
      <c r="UKJ100" s="46"/>
      <c r="UKK100" s="46"/>
      <c r="UKL100" s="46"/>
      <c r="UKM100" s="46"/>
      <c r="UKN100" s="46"/>
      <c r="UKO100" s="46"/>
      <c r="UKP100" s="46"/>
      <c r="UKQ100" s="46"/>
      <c r="UKR100" s="46"/>
      <c r="UKS100" s="46"/>
      <c r="UKT100" s="46"/>
      <c r="UKU100" s="46"/>
      <c r="UKV100" s="46"/>
      <c r="UKW100" s="46"/>
      <c r="UKX100" s="46"/>
      <c r="UKY100" s="46"/>
      <c r="UKZ100" s="46"/>
      <c r="ULA100" s="46"/>
      <c r="ULB100" s="46"/>
      <c r="ULC100" s="46"/>
      <c r="ULD100" s="46"/>
      <c r="ULE100" s="46"/>
      <c r="ULF100" s="46"/>
      <c r="ULG100" s="46"/>
      <c r="ULH100" s="46"/>
      <c r="ULI100" s="46"/>
      <c r="ULJ100" s="46"/>
      <c r="ULK100" s="46"/>
      <c r="ULL100" s="46"/>
      <c r="ULM100" s="46"/>
      <c r="ULN100" s="46"/>
      <c r="ULO100" s="46"/>
      <c r="ULP100" s="46"/>
      <c r="ULQ100" s="46"/>
      <c r="ULR100" s="46"/>
      <c r="ULS100" s="46"/>
      <c r="ULT100" s="46"/>
      <c r="ULU100" s="46"/>
      <c r="ULV100" s="46"/>
      <c r="ULW100" s="46"/>
      <c r="ULX100" s="46"/>
      <c r="ULY100" s="46"/>
      <c r="ULZ100" s="46"/>
      <c r="UMA100" s="46"/>
      <c r="UMB100" s="46"/>
      <c r="UMC100" s="46"/>
      <c r="UMD100" s="46"/>
      <c r="UME100" s="46"/>
      <c r="UMF100" s="46"/>
      <c r="UMG100" s="46"/>
      <c r="UMH100" s="46"/>
      <c r="UMI100" s="46"/>
      <c r="UMJ100" s="46"/>
      <c r="UMK100" s="46"/>
      <c r="UML100" s="46"/>
      <c r="UMM100" s="46"/>
      <c r="UMN100" s="46"/>
      <c r="UMO100" s="46"/>
      <c r="UMP100" s="46"/>
      <c r="UMQ100" s="46"/>
      <c r="UMR100" s="46"/>
      <c r="UMS100" s="46"/>
      <c r="UMT100" s="46"/>
      <c r="UMU100" s="46"/>
      <c r="UMV100" s="46"/>
      <c r="UMW100" s="46"/>
      <c r="UMX100" s="46"/>
      <c r="UMY100" s="46"/>
      <c r="UMZ100" s="46"/>
      <c r="UNA100" s="46"/>
      <c r="UNB100" s="46"/>
      <c r="UNC100" s="46"/>
      <c r="UND100" s="46"/>
      <c r="UNE100" s="46"/>
      <c r="UNF100" s="46"/>
      <c r="UNG100" s="46"/>
      <c r="UNH100" s="46"/>
      <c r="UNI100" s="46"/>
      <c r="UNJ100" s="46"/>
      <c r="UNK100" s="46"/>
      <c r="UNL100" s="46"/>
      <c r="UNM100" s="46"/>
      <c r="UNN100" s="46"/>
      <c r="UNO100" s="46"/>
      <c r="UNP100" s="46"/>
      <c r="UNQ100" s="46"/>
      <c r="UNR100" s="46"/>
      <c r="UNS100" s="46"/>
      <c r="UNT100" s="46"/>
      <c r="UNU100" s="46"/>
      <c r="UNV100" s="46"/>
      <c r="UNW100" s="46"/>
      <c r="UNX100" s="46"/>
      <c r="UNY100" s="46"/>
      <c r="UNZ100" s="46"/>
      <c r="UOA100" s="46"/>
      <c r="UOB100" s="46"/>
      <c r="UOC100" s="46"/>
      <c r="UOD100" s="46"/>
      <c r="UOE100" s="46"/>
      <c r="UOF100" s="46"/>
      <c r="UOG100" s="46"/>
      <c r="UOH100" s="46"/>
      <c r="UOI100" s="46"/>
      <c r="UOJ100" s="46"/>
      <c r="UOK100" s="46"/>
      <c r="UOL100" s="46"/>
      <c r="UOM100" s="46"/>
      <c r="UON100" s="46"/>
      <c r="UOO100" s="46"/>
      <c r="UOP100" s="46"/>
      <c r="UOQ100" s="46"/>
      <c r="UOR100" s="46"/>
      <c r="UOS100" s="46"/>
      <c r="UOT100" s="46"/>
      <c r="UOU100" s="46"/>
      <c r="UOV100" s="46"/>
      <c r="UOW100" s="46"/>
      <c r="UOX100" s="46"/>
      <c r="UOY100" s="46"/>
      <c r="UOZ100" s="46"/>
      <c r="UPA100" s="46"/>
      <c r="UPB100" s="46"/>
      <c r="UPC100" s="46"/>
      <c r="UPD100" s="46"/>
      <c r="UPE100" s="46"/>
      <c r="UPF100" s="46"/>
      <c r="UPG100" s="46"/>
      <c r="UPH100" s="46"/>
      <c r="UPI100" s="46"/>
      <c r="UPJ100" s="46"/>
      <c r="UPK100" s="46"/>
      <c r="UPL100" s="46"/>
      <c r="UPM100" s="46"/>
      <c r="UPN100" s="46"/>
      <c r="UPO100" s="46"/>
      <c r="UPP100" s="46"/>
      <c r="UPQ100" s="46"/>
      <c r="UPR100" s="46"/>
      <c r="UPS100" s="46"/>
      <c r="UPT100" s="46"/>
      <c r="UPU100" s="46"/>
      <c r="UPV100" s="46"/>
      <c r="UPW100" s="46"/>
      <c r="UPX100" s="46"/>
      <c r="UPY100" s="46"/>
      <c r="UPZ100" s="46"/>
      <c r="UQA100" s="46"/>
      <c r="UQB100" s="46"/>
      <c r="UQC100" s="46"/>
      <c r="UQD100" s="46"/>
      <c r="UQE100" s="46"/>
      <c r="UQF100" s="46"/>
      <c r="UQG100" s="46"/>
      <c r="UQH100" s="46"/>
      <c r="UQI100" s="46"/>
      <c r="UQJ100" s="46"/>
      <c r="UQK100" s="46"/>
      <c r="UQL100" s="46"/>
      <c r="UQM100" s="46"/>
      <c r="UQN100" s="46"/>
      <c r="UQO100" s="46"/>
      <c r="UQP100" s="46"/>
      <c r="UQQ100" s="46"/>
      <c r="UQR100" s="46"/>
      <c r="UQS100" s="46"/>
      <c r="UQT100" s="46"/>
      <c r="UQU100" s="46"/>
      <c r="UQV100" s="46"/>
      <c r="UQW100" s="46"/>
      <c r="UQX100" s="46"/>
      <c r="UQY100" s="46"/>
      <c r="UQZ100" s="46"/>
      <c r="URA100" s="46"/>
      <c r="URB100" s="46"/>
      <c r="URC100" s="46"/>
      <c r="URD100" s="46"/>
      <c r="URE100" s="46"/>
      <c r="URF100" s="46"/>
      <c r="URG100" s="46"/>
      <c r="URH100" s="46"/>
      <c r="URI100" s="46"/>
      <c r="URJ100" s="46"/>
      <c r="URK100" s="46"/>
      <c r="URL100" s="46"/>
      <c r="URM100" s="46"/>
      <c r="URN100" s="46"/>
      <c r="URO100" s="46"/>
      <c r="URP100" s="46"/>
      <c r="URQ100" s="46"/>
      <c r="URR100" s="46"/>
      <c r="URS100" s="46"/>
      <c r="URT100" s="46"/>
      <c r="URU100" s="46"/>
      <c r="URV100" s="46"/>
      <c r="URW100" s="46"/>
      <c r="URX100" s="46"/>
      <c r="URY100" s="46"/>
      <c r="URZ100" s="46"/>
      <c r="USA100" s="46"/>
      <c r="USB100" s="46"/>
      <c r="USC100" s="46"/>
      <c r="USD100" s="46"/>
      <c r="USE100" s="46"/>
      <c r="USF100" s="46"/>
      <c r="USG100" s="46"/>
      <c r="USH100" s="46"/>
      <c r="USI100" s="46"/>
      <c r="USJ100" s="46"/>
      <c r="USK100" s="46"/>
      <c r="USL100" s="46"/>
      <c r="USM100" s="46"/>
      <c r="USN100" s="46"/>
      <c r="USO100" s="46"/>
      <c r="USP100" s="46"/>
      <c r="USQ100" s="46"/>
      <c r="USR100" s="46"/>
      <c r="USS100" s="46"/>
      <c r="UST100" s="46"/>
      <c r="USU100" s="46"/>
      <c r="USV100" s="46"/>
      <c r="USW100" s="46"/>
      <c r="USX100" s="46"/>
      <c r="USY100" s="46"/>
      <c r="USZ100" s="46"/>
      <c r="UTA100" s="46"/>
      <c r="UTB100" s="46"/>
      <c r="UTC100" s="46"/>
      <c r="UTD100" s="46"/>
      <c r="UTE100" s="46"/>
      <c r="UTF100" s="46"/>
      <c r="UTG100" s="46"/>
      <c r="UTH100" s="46"/>
      <c r="UTI100" s="46"/>
      <c r="UTJ100" s="46"/>
      <c r="UTK100" s="46"/>
      <c r="UTL100" s="46"/>
      <c r="UTM100" s="46"/>
      <c r="UTN100" s="46"/>
      <c r="UTO100" s="46"/>
      <c r="UTP100" s="46"/>
      <c r="UTQ100" s="46"/>
      <c r="UTR100" s="46"/>
      <c r="UTS100" s="46"/>
      <c r="UTT100" s="46"/>
      <c r="UTU100" s="46"/>
      <c r="UTV100" s="46"/>
      <c r="UTW100" s="46"/>
      <c r="UTX100" s="46"/>
      <c r="UTY100" s="46"/>
      <c r="UTZ100" s="46"/>
      <c r="UUA100" s="46"/>
      <c r="UUB100" s="46"/>
      <c r="UUC100" s="46"/>
      <c r="UUD100" s="46"/>
      <c r="UUE100" s="46"/>
      <c r="UUF100" s="46"/>
      <c r="UUG100" s="46"/>
      <c r="UUH100" s="46"/>
      <c r="UUI100" s="46"/>
      <c r="UUJ100" s="46"/>
      <c r="UUK100" s="46"/>
      <c r="UUL100" s="46"/>
      <c r="UUM100" s="46"/>
      <c r="UUN100" s="46"/>
      <c r="UUO100" s="46"/>
      <c r="UUP100" s="46"/>
      <c r="UUQ100" s="46"/>
      <c r="UUR100" s="46"/>
      <c r="UUS100" s="46"/>
      <c r="UUT100" s="46"/>
      <c r="UUU100" s="46"/>
      <c r="UUV100" s="46"/>
      <c r="UUW100" s="46"/>
      <c r="UUX100" s="46"/>
      <c r="UUY100" s="46"/>
      <c r="UUZ100" s="46"/>
      <c r="UVA100" s="46"/>
      <c r="UVB100" s="46"/>
      <c r="UVC100" s="46"/>
      <c r="UVD100" s="46"/>
      <c r="UVE100" s="46"/>
      <c r="UVF100" s="46"/>
      <c r="UVG100" s="46"/>
      <c r="UVH100" s="46"/>
      <c r="UVI100" s="46"/>
      <c r="UVJ100" s="46"/>
      <c r="UVK100" s="46"/>
      <c r="UVL100" s="46"/>
      <c r="UVM100" s="46"/>
      <c r="UVN100" s="46"/>
      <c r="UVO100" s="46"/>
      <c r="UVP100" s="46"/>
      <c r="UVQ100" s="46"/>
      <c r="UVR100" s="46"/>
      <c r="UVS100" s="46"/>
      <c r="UVT100" s="46"/>
      <c r="UVU100" s="46"/>
      <c r="UVV100" s="46"/>
      <c r="UVW100" s="46"/>
      <c r="UVX100" s="46"/>
      <c r="UVY100" s="46"/>
      <c r="UVZ100" s="46"/>
      <c r="UWA100" s="46"/>
      <c r="UWB100" s="46"/>
      <c r="UWC100" s="46"/>
      <c r="UWD100" s="46"/>
      <c r="UWE100" s="46"/>
      <c r="UWF100" s="46"/>
      <c r="UWG100" s="46"/>
      <c r="UWH100" s="46"/>
      <c r="UWI100" s="46"/>
      <c r="UWJ100" s="46"/>
      <c r="UWK100" s="46"/>
      <c r="UWL100" s="46"/>
      <c r="UWM100" s="46"/>
      <c r="UWN100" s="46"/>
      <c r="UWO100" s="46"/>
      <c r="UWP100" s="46"/>
      <c r="UWQ100" s="46"/>
      <c r="UWR100" s="46"/>
      <c r="UWS100" s="46"/>
      <c r="UWT100" s="46"/>
      <c r="UWU100" s="46"/>
      <c r="UWV100" s="46"/>
      <c r="UWW100" s="46"/>
      <c r="UWX100" s="46"/>
      <c r="UWY100" s="46"/>
      <c r="UWZ100" s="46"/>
      <c r="UXA100" s="46"/>
      <c r="UXB100" s="46"/>
      <c r="UXC100" s="46"/>
      <c r="UXD100" s="46"/>
      <c r="UXE100" s="46"/>
      <c r="UXF100" s="46"/>
      <c r="UXG100" s="46"/>
      <c r="UXH100" s="46"/>
      <c r="UXI100" s="46"/>
      <c r="UXJ100" s="46"/>
      <c r="UXK100" s="46"/>
      <c r="UXL100" s="46"/>
      <c r="UXM100" s="46"/>
      <c r="UXN100" s="46"/>
      <c r="UXO100" s="46"/>
      <c r="UXP100" s="46"/>
      <c r="UXQ100" s="46"/>
      <c r="UXR100" s="46"/>
      <c r="UXS100" s="46"/>
      <c r="UXT100" s="46"/>
      <c r="UXU100" s="46"/>
      <c r="UXV100" s="46"/>
      <c r="UXW100" s="46"/>
      <c r="UXX100" s="46"/>
      <c r="UXY100" s="46"/>
      <c r="UXZ100" s="46"/>
      <c r="UYA100" s="46"/>
      <c r="UYB100" s="46"/>
      <c r="UYC100" s="46"/>
      <c r="UYD100" s="46"/>
      <c r="UYE100" s="46"/>
      <c r="UYF100" s="46"/>
      <c r="UYG100" s="46"/>
      <c r="UYH100" s="46"/>
      <c r="UYI100" s="46"/>
      <c r="UYJ100" s="46"/>
      <c r="UYK100" s="46"/>
      <c r="UYL100" s="46"/>
      <c r="UYM100" s="46"/>
      <c r="UYN100" s="46"/>
      <c r="UYO100" s="46"/>
      <c r="UYP100" s="46"/>
      <c r="UYQ100" s="46"/>
      <c r="UYR100" s="46"/>
      <c r="UYS100" s="46"/>
      <c r="UYT100" s="46"/>
      <c r="UYU100" s="46"/>
      <c r="UYV100" s="46"/>
      <c r="UYW100" s="46"/>
      <c r="UYX100" s="46"/>
      <c r="UYY100" s="46"/>
      <c r="UYZ100" s="46"/>
      <c r="UZA100" s="46"/>
      <c r="UZB100" s="46"/>
      <c r="UZC100" s="46"/>
      <c r="UZD100" s="46"/>
      <c r="UZE100" s="46"/>
      <c r="UZF100" s="46"/>
      <c r="UZG100" s="46"/>
      <c r="UZH100" s="46"/>
      <c r="UZI100" s="46"/>
      <c r="UZJ100" s="46"/>
      <c r="UZK100" s="46"/>
      <c r="UZL100" s="46"/>
      <c r="UZM100" s="46"/>
      <c r="UZN100" s="46"/>
      <c r="UZO100" s="46"/>
      <c r="UZP100" s="46"/>
      <c r="UZQ100" s="46"/>
      <c r="UZR100" s="46"/>
      <c r="UZS100" s="46"/>
      <c r="UZT100" s="46"/>
      <c r="UZU100" s="46"/>
      <c r="UZV100" s="46"/>
      <c r="UZW100" s="46"/>
      <c r="UZX100" s="46"/>
      <c r="UZY100" s="46"/>
      <c r="UZZ100" s="46"/>
      <c r="VAA100" s="46"/>
      <c r="VAB100" s="46"/>
      <c r="VAC100" s="46"/>
      <c r="VAD100" s="46"/>
      <c r="VAE100" s="46"/>
      <c r="VAF100" s="46"/>
      <c r="VAG100" s="46"/>
      <c r="VAH100" s="46"/>
      <c r="VAI100" s="46"/>
      <c r="VAJ100" s="46"/>
      <c r="VAK100" s="46"/>
      <c r="VAL100" s="46"/>
      <c r="VAM100" s="46"/>
      <c r="VAN100" s="46"/>
      <c r="VAO100" s="46"/>
      <c r="VAP100" s="46"/>
      <c r="VAQ100" s="46"/>
      <c r="VAR100" s="46"/>
      <c r="VAS100" s="46"/>
      <c r="VAT100" s="46"/>
      <c r="VAU100" s="46"/>
      <c r="VAV100" s="46"/>
      <c r="VAW100" s="46"/>
      <c r="VAX100" s="46"/>
      <c r="VAY100" s="46"/>
      <c r="VAZ100" s="46"/>
      <c r="VBA100" s="46"/>
      <c r="VBB100" s="46"/>
      <c r="VBC100" s="46"/>
      <c r="VBD100" s="46"/>
      <c r="VBE100" s="46"/>
      <c r="VBF100" s="46"/>
      <c r="VBG100" s="46"/>
      <c r="VBH100" s="46"/>
      <c r="VBI100" s="46"/>
      <c r="VBJ100" s="46"/>
      <c r="VBK100" s="46"/>
      <c r="VBL100" s="46"/>
      <c r="VBM100" s="46"/>
      <c r="VBN100" s="46"/>
      <c r="VBO100" s="46"/>
      <c r="VBP100" s="46"/>
      <c r="VBQ100" s="46"/>
      <c r="VBR100" s="46"/>
      <c r="VBS100" s="46"/>
      <c r="VBT100" s="46"/>
      <c r="VBU100" s="46"/>
      <c r="VBV100" s="46"/>
      <c r="VBW100" s="46"/>
      <c r="VBX100" s="46"/>
      <c r="VBY100" s="46"/>
      <c r="VBZ100" s="46"/>
      <c r="VCA100" s="46"/>
      <c r="VCB100" s="46"/>
      <c r="VCC100" s="46"/>
      <c r="VCD100" s="46"/>
      <c r="VCE100" s="46"/>
      <c r="VCF100" s="46"/>
      <c r="VCG100" s="46"/>
      <c r="VCH100" s="46"/>
      <c r="VCI100" s="46"/>
      <c r="VCJ100" s="46"/>
      <c r="VCK100" s="46"/>
      <c r="VCL100" s="46"/>
      <c r="VCM100" s="46"/>
      <c r="VCN100" s="46"/>
      <c r="VCO100" s="46"/>
      <c r="VCP100" s="46"/>
      <c r="VCQ100" s="46"/>
      <c r="VCR100" s="46"/>
      <c r="VCS100" s="46"/>
      <c r="VCT100" s="46"/>
      <c r="VCU100" s="46"/>
      <c r="VCV100" s="46"/>
      <c r="VCW100" s="46"/>
      <c r="VCX100" s="46"/>
      <c r="VCY100" s="46"/>
      <c r="VCZ100" s="46"/>
      <c r="VDA100" s="46"/>
      <c r="VDB100" s="46"/>
      <c r="VDC100" s="46"/>
      <c r="VDD100" s="46"/>
      <c r="VDE100" s="46"/>
      <c r="VDF100" s="46"/>
      <c r="VDG100" s="46"/>
      <c r="VDH100" s="46"/>
      <c r="VDI100" s="46"/>
      <c r="VDJ100" s="46"/>
      <c r="VDK100" s="46"/>
      <c r="VDL100" s="46"/>
      <c r="VDM100" s="46"/>
      <c r="VDN100" s="46"/>
      <c r="VDO100" s="46"/>
      <c r="VDP100" s="46"/>
      <c r="VDQ100" s="46"/>
      <c r="VDR100" s="46"/>
      <c r="VDS100" s="46"/>
      <c r="VDT100" s="46"/>
      <c r="VDU100" s="46"/>
      <c r="VDV100" s="46"/>
      <c r="VDW100" s="46"/>
      <c r="VDX100" s="46"/>
      <c r="VDY100" s="46"/>
      <c r="VDZ100" s="46"/>
      <c r="VEA100" s="46"/>
      <c r="VEB100" s="46"/>
      <c r="VEC100" s="46"/>
      <c r="VED100" s="46"/>
      <c r="VEE100" s="46"/>
      <c r="VEF100" s="46"/>
      <c r="VEG100" s="46"/>
      <c r="VEH100" s="46"/>
      <c r="VEI100" s="46"/>
      <c r="VEJ100" s="46"/>
      <c r="VEK100" s="46"/>
      <c r="VEL100" s="46"/>
      <c r="VEM100" s="46"/>
      <c r="VEN100" s="46"/>
      <c r="VEO100" s="46"/>
      <c r="VEP100" s="46"/>
      <c r="VEQ100" s="46"/>
      <c r="VER100" s="46"/>
      <c r="VES100" s="46"/>
      <c r="VET100" s="46"/>
      <c r="VEU100" s="46"/>
      <c r="VEV100" s="46"/>
      <c r="VEW100" s="46"/>
      <c r="VEX100" s="46"/>
      <c r="VEY100" s="46"/>
      <c r="VEZ100" s="46"/>
      <c r="VFA100" s="46"/>
      <c r="VFB100" s="46"/>
      <c r="VFC100" s="46"/>
      <c r="VFD100" s="46"/>
      <c r="VFE100" s="46"/>
      <c r="VFF100" s="46"/>
      <c r="VFG100" s="46"/>
      <c r="VFH100" s="46"/>
      <c r="VFI100" s="46"/>
      <c r="VFJ100" s="46"/>
      <c r="VFK100" s="46"/>
      <c r="VFL100" s="46"/>
      <c r="VFM100" s="46"/>
      <c r="VFN100" s="46"/>
      <c r="VFO100" s="46"/>
      <c r="VFP100" s="46"/>
      <c r="VFQ100" s="46"/>
      <c r="VFR100" s="46"/>
      <c r="VFS100" s="46"/>
      <c r="VFT100" s="46"/>
      <c r="VFU100" s="46"/>
      <c r="VFV100" s="46"/>
      <c r="VFW100" s="46"/>
      <c r="VFX100" s="46"/>
      <c r="VFY100" s="46"/>
      <c r="VFZ100" s="46"/>
      <c r="VGA100" s="46"/>
      <c r="VGB100" s="46"/>
      <c r="VGC100" s="46"/>
      <c r="VGD100" s="46"/>
      <c r="VGE100" s="46"/>
      <c r="VGF100" s="46"/>
      <c r="VGG100" s="46"/>
      <c r="VGH100" s="46"/>
      <c r="VGI100" s="46"/>
      <c r="VGJ100" s="46"/>
      <c r="VGK100" s="46"/>
      <c r="VGL100" s="46"/>
      <c r="VGM100" s="46"/>
      <c r="VGN100" s="46"/>
      <c r="VGO100" s="46"/>
      <c r="VGP100" s="46"/>
      <c r="VGQ100" s="46"/>
      <c r="VGR100" s="46"/>
      <c r="VGS100" s="46"/>
      <c r="VGT100" s="46"/>
      <c r="VGU100" s="46"/>
      <c r="VGV100" s="46"/>
      <c r="VGW100" s="46"/>
      <c r="VGX100" s="46"/>
      <c r="VGY100" s="46"/>
      <c r="VGZ100" s="46"/>
      <c r="VHA100" s="46"/>
      <c r="VHB100" s="46"/>
      <c r="VHC100" s="46"/>
      <c r="VHD100" s="46"/>
      <c r="VHE100" s="46"/>
      <c r="VHF100" s="46"/>
      <c r="VHG100" s="46"/>
      <c r="VHH100" s="46"/>
      <c r="VHI100" s="46"/>
      <c r="VHJ100" s="46"/>
      <c r="VHK100" s="46"/>
      <c r="VHL100" s="46"/>
      <c r="VHM100" s="46"/>
      <c r="VHN100" s="46"/>
      <c r="VHO100" s="46"/>
      <c r="VHP100" s="46"/>
      <c r="VHQ100" s="46"/>
      <c r="VHR100" s="46"/>
      <c r="VHS100" s="46"/>
      <c r="VHT100" s="46"/>
      <c r="VHU100" s="46"/>
      <c r="VHV100" s="46"/>
      <c r="VHW100" s="46"/>
      <c r="VHX100" s="46"/>
      <c r="VHY100" s="46"/>
      <c r="VHZ100" s="46"/>
      <c r="VIA100" s="46"/>
      <c r="VIB100" s="46"/>
      <c r="VIC100" s="46"/>
      <c r="VID100" s="46"/>
      <c r="VIE100" s="46"/>
      <c r="VIF100" s="46"/>
      <c r="VIG100" s="46"/>
      <c r="VIH100" s="46"/>
      <c r="VII100" s="46"/>
      <c r="VIJ100" s="46"/>
      <c r="VIK100" s="46"/>
      <c r="VIL100" s="46"/>
      <c r="VIM100" s="46"/>
      <c r="VIN100" s="46"/>
      <c r="VIO100" s="46"/>
      <c r="VIP100" s="46"/>
      <c r="VIQ100" s="46"/>
      <c r="VIR100" s="46"/>
      <c r="VIS100" s="46"/>
      <c r="VIT100" s="46"/>
      <c r="VIU100" s="46"/>
      <c r="VIV100" s="46"/>
      <c r="VIW100" s="46"/>
      <c r="VIX100" s="46"/>
      <c r="VIY100" s="46"/>
      <c r="VIZ100" s="46"/>
      <c r="VJA100" s="46"/>
      <c r="VJB100" s="46"/>
      <c r="VJC100" s="46"/>
      <c r="VJD100" s="46"/>
      <c r="VJE100" s="46"/>
      <c r="VJF100" s="46"/>
      <c r="VJG100" s="46"/>
      <c r="VJH100" s="46"/>
      <c r="VJI100" s="46"/>
      <c r="VJJ100" s="46"/>
      <c r="VJK100" s="46"/>
      <c r="VJL100" s="46"/>
      <c r="VJM100" s="46"/>
      <c r="VJN100" s="46"/>
      <c r="VJO100" s="46"/>
      <c r="VJP100" s="46"/>
      <c r="VJQ100" s="46"/>
      <c r="VJR100" s="46"/>
      <c r="VJS100" s="46"/>
      <c r="VJT100" s="46"/>
      <c r="VJU100" s="46"/>
      <c r="VJV100" s="46"/>
      <c r="VJW100" s="46"/>
      <c r="VJX100" s="46"/>
      <c r="VJY100" s="46"/>
      <c r="VJZ100" s="46"/>
      <c r="VKA100" s="46"/>
      <c r="VKB100" s="46"/>
      <c r="VKC100" s="46"/>
      <c r="VKD100" s="46"/>
      <c r="VKE100" s="46"/>
      <c r="VKF100" s="46"/>
      <c r="VKG100" s="46"/>
      <c r="VKH100" s="46"/>
      <c r="VKI100" s="46"/>
      <c r="VKJ100" s="46"/>
      <c r="VKK100" s="46"/>
      <c r="VKL100" s="46"/>
      <c r="VKM100" s="46"/>
      <c r="VKN100" s="46"/>
      <c r="VKO100" s="46"/>
      <c r="VKP100" s="46"/>
      <c r="VKQ100" s="46"/>
      <c r="VKR100" s="46"/>
      <c r="VKS100" s="46"/>
      <c r="VKT100" s="46"/>
      <c r="VKU100" s="46"/>
      <c r="VKV100" s="46"/>
      <c r="VKW100" s="46"/>
      <c r="VKX100" s="46"/>
      <c r="VKY100" s="46"/>
      <c r="VKZ100" s="46"/>
      <c r="VLA100" s="46"/>
      <c r="VLB100" s="46"/>
      <c r="VLC100" s="46"/>
      <c r="VLD100" s="46"/>
      <c r="VLE100" s="46"/>
      <c r="VLF100" s="46"/>
      <c r="VLG100" s="46"/>
      <c r="VLH100" s="46"/>
      <c r="VLI100" s="46"/>
      <c r="VLJ100" s="46"/>
      <c r="VLK100" s="46"/>
      <c r="VLL100" s="46"/>
      <c r="VLM100" s="46"/>
      <c r="VLN100" s="46"/>
      <c r="VLO100" s="46"/>
      <c r="VLP100" s="46"/>
      <c r="VLQ100" s="46"/>
      <c r="VLR100" s="46"/>
      <c r="VLS100" s="46"/>
      <c r="VLT100" s="46"/>
      <c r="VLU100" s="46"/>
      <c r="VLV100" s="46"/>
      <c r="VLW100" s="46"/>
      <c r="VLX100" s="46"/>
      <c r="VLY100" s="46"/>
      <c r="VLZ100" s="46"/>
      <c r="VMA100" s="46"/>
      <c r="VMB100" s="46"/>
      <c r="VMC100" s="46"/>
      <c r="VMD100" s="46"/>
      <c r="VME100" s="46"/>
      <c r="VMF100" s="46"/>
      <c r="VMG100" s="46"/>
      <c r="VMH100" s="46"/>
      <c r="VMI100" s="46"/>
      <c r="VMJ100" s="46"/>
      <c r="VMK100" s="46"/>
      <c r="VML100" s="46"/>
      <c r="VMM100" s="46"/>
      <c r="VMN100" s="46"/>
      <c r="VMO100" s="46"/>
      <c r="VMP100" s="46"/>
      <c r="VMQ100" s="46"/>
      <c r="VMR100" s="46"/>
      <c r="VMS100" s="46"/>
      <c r="VMT100" s="46"/>
      <c r="VMU100" s="46"/>
      <c r="VMV100" s="46"/>
      <c r="VMW100" s="46"/>
      <c r="VMX100" s="46"/>
      <c r="VMY100" s="46"/>
      <c r="VMZ100" s="46"/>
      <c r="VNA100" s="46"/>
      <c r="VNB100" s="46"/>
      <c r="VNC100" s="46"/>
      <c r="VND100" s="46"/>
      <c r="VNE100" s="46"/>
      <c r="VNF100" s="46"/>
      <c r="VNG100" s="46"/>
      <c r="VNH100" s="46"/>
      <c r="VNI100" s="46"/>
      <c r="VNJ100" s="46"/>
      <c r="VNK100" s="46"/>
      <c r="VNL100" s="46"/>
      <c r="VNM100" s="46"/>
      <c r="VNN100" s="46"/>
      <c r="VNO100" s="46"/>
      <c r="VNP100" s="46"/>
      <c r="VNQ100" s="46"/>
      <c r="VNR100" s="46"/>
      <c r="VNS100" s="46"/>
      <c r="VNT100" s="46"/>
      <c r="VNU100" s="46"/>
      <c r="VNV100" s="46"/>
      <c r="VNW100" s="46"/>
      <c r="VNX100" s="46"/>
      <c r="VNY100" s="46"/>
      <c r="VNZ100" s="46"/>
      <c r="VOA100" s="46"/>
      <c r="VOB100" s="46"/>
      <c r="VOC100" s="46"/>
      <c r="VOD100" s="46"/>
      <c r="VOE100" s="46"/>
      <c r="VOF100" s="46"/>
      <c r="VOG100" s="46"/>
      <c r="VOH100" s="46"/>
      <c r="VOI100" s="46"/>
      <c r="VOJ100" s="46"/>
      <c r="VOK100" s="46"/>
      <c r="VOL100" s="46"/>
      <c r="VOM100" s="46"/>
      <c r="VON100" s="46"/>
      <c r="VOO100" s="46"/>
      <c r="VOP100" s="46"/>
      <c r="VOQ100" s="46"/>
      <c r="VOR100" s="46"/>
      <c r="VOS100" s="46"/>
      <c r="VOT100" s="46"/>
      <c r="VOU100" s="46"/>
      <c r="VOV100" s="46"/>
      <c r="VOW100" s="46"/>
      <c r="VOX100" s="46"/>
      <c r="VOY100" s="46"/>
      <c r="VOZ100" s="46"/>
      <c r="VPA100" s="46"/>
      <c r="VPB100" s="46"/>
      <c r="VPC100" s="46"/>
      <c r="VPD100" s="46"/>
      <c r="VPE100" s="46"/>
      <c r="VPF100" s="46"/>
      <c r="VPG100" s="46"/>
      <c r="VPH100" s="46"/>
      <c r="VPI100" s="46"/>
      <c r="VPJ100" s="46"/>
      <c r="VPK100" s="46"/>
      <c r="VPL100" s="46"/>
      <c r="VPM100" s="46"/>
      <c r="VPN100" s="46"/>
      <c r="VPO100" s="46"/>
      <c r="VPP100" s="46"/>
      <c r="VPQ100" s="46"/>
      <c r="VPR100" s="46"/>
      <c r="VPS100" s="46"/>
      <c r="VPT100" s="46"/>
      <c r="VPU100" s="46"/>
      <c r="VPV100" s="46"/>
      <c r="VPW100" s="46"/>
      <c r="VPX100" s="46"/>
      <c r="VPY100" s="46"/>
      <c r="VPZ100" s="46"/>
      <c r="VQA100" s="46"/>
      <c r="VQB100" s="46"/>
      <c r="VQC100" s="46"/>
      <c r="VQD100" s="46"/>
      <c r="VQE100" s="46"/>
      <c r="VQF100" s="46"/>
      <c r="VQG100" s="46"/>
      <c r="VQH100" s="46"/>
      <c r="VQI100" s="46"/>
      <c r="VQJ100" s="46"/>
      <c r="VQK100" s="46"/>
      <c r="VQL100" s="46"/>
      <c r="VQM100" s="46"/>
      <c r="VQN100" s="46"/>
      <c r="VQO100" s="46"/>
      <c r="VQP100" s="46"/>
      <c r="VQQ100" s="46"/>
      <c r="VQR100" s="46"/>
      <c r="VQS100" s="46"/>
      <c r="VQT100" s="46"/>
      <c r="VQU100" s="46"/>
      <c r="VQV100" s="46"/>
      <c r="VQW100" s="46"/>
      <c r="VQX100" s="46"/>
      <c r="VQY100" s="46"/>
      <c r="VQZ100" s="46"/>
      <c r="VRA100" s="46"/>
      <c r="VRB100" s="46"/>
      <c r="VRC100" s="46"/>
      <c r="VRD100" s="46"/>
      <c r="VRE100" s="46"/>
      <c r="VRF100" s="46"/>
      <c r="VRG100" s="46"/>
      <c r="VRH100" s="46"/>
      <c r="VRI100" s="46"/>
      <c r="VRJ100" s="46"/>
      <c r="VRK100" s="46"/>
      <c r="VRL100" s="46"/>
      <c r="VRM100" s="46"/>
      <c r="VRN100" s="46"/>
      <c r="VRO100" s="46"/>
      <c r="VRP100" s="46"/>
      <c r="VRQ100" s="46"/>
      <c r="VRR100" s="46"/>
      <c r="VRS100" s="46"/>
      <c r="VRT100" s="46"/>
      <c r="VRU100" s="46"/>
      <c r="VRV100" s="46"/>
      <c r="VRW100" s="46"/>
      <c r="VRX100" s="46"/>
      <c r="VRY100" s="46"/>
      <c r="VRZ100" s="46"/>
      <c r="VSA100" s="46"/>
      <c r="VSB100" s="46"/>
      <c r="VSC100" s="46"/>
      <c r="VSD100" s="46"/>
      <c r="VSE100" s="46"/>
      <c r="VSF100" s="46"/>
      <c r="VSG100" s="46"/>
      <c r="VSH100" s="46"/>
      <c r="VSI100" s="46"/>
      <c r="VSJ100" s="46"/>
      <c r="VSK100" s="46"/>
      <c r="VSL100" s="46"/>
      <c r="VSM100" s="46"/>
      <c r="VSN100" s="46"/>
      <c r="VSO100" s="46"/>
      <c r="VSP100" s="46"/>
      <c r="VSQ100" s="46"/>
      <c r="VSR100" s="46"/>
      <c r="VSS100" s="46"/>
      <c r="VST100" s="46"/>
      <c r="VSU100" s="46"/>
      <c r="VSV100" s="46"/>
      <c r="VSW100" s="46"/>
      <c r="VSX100" s="46"/>
      <c r="VSY100" s="46"/>
      <c r="VSZ100" s="46"/>
      <c r="VTA100" s="46"/>
      <c r="VTB100" s="46"/>
      <c r="VTC100" s="46"/>
      <c r="VTD100" s="46"/>
      <c r="VTE100" s="46"/>
      <c r="VTF100" s="46"/>
      <c r="VTG100" s="46"/>
      <c r="VTH100" s="46"/>
      <c r="VTI100" s="46"/>
      <c r="VTJ100" s="46"/>
      <c r="VTK100" s="46"/>
      <c r="VTL100" s="46"/>
      <c r="VTM100" s="46"/>
      <c r="VTN100" s="46"/>
      <c r="VTO100" s="46"/>
      <c r="VTP100" s="46"/>
      <c r="VTQ100" s="46"/>
      <c r="VTR100" s="46"/>
      <c r="VTS100" s="46"/>
      <c r="VTT100" s="46"/>
      <c r="VTU100" s="46"/>
      <c r="VTV100" s="46"/>
      <c r="VTW100" s="46"/>
      <c r="VTX100" s="46"/>
      <c r="VTY100" s="46"/>
      <c r="VTZ100" s="46"/>
      <c r="VUA100" s="46"/>
      <c r="VUB100" s="46"/>
      <c r="VUC100" s="46"/>
      <c r="VUD100" s="46"/>
      <c r="VUE100" s="46"/>
      <c r="VUF100" s="46"/>
      <c r="VUG100" s="46"/>
      <c r="VUH100" s="46"/>
      <c r="VUI100" s="46"/>
      <c r="VUJ100" s="46"/>
      <c r="VUK100" s="46"/>
      <c r="VUL100" s="46"/>
      <c r="VUM100" s="46"/>
      <c r="VUN100" s="46"/>
      <c r="VUO100" s="46"/>
      <c r="VUP100" s="46"/>
      <c r="VUQ100" s="46"/>
      <c r="VUR100" s="46"/>
      <c r="VUS100" s="46"/>
      <c r="VUT100" s="46"/>
      <c r="VUU100" s="46"/>
      <c r="VUV100" s="46"/>
      <c r="VUW100" s="46"/>
      <c r="VUX100" s="46"/>
      <c r="VUY100" s="46"/>
      <c r="VUZ100" s="46"/>
      <c r="VVA100" s="46"/>
      <c r="VVB100" s="46"/>
      <c r="VVC100" s="46"/>
      <c r="VVD100" s="46"/>
      <c r="VVE100" s="46"/>
      <c r="VVF100" s="46"/>
      <c r="VVG100" s="46"/>
      <c r="VVH100" s="46"/>
      <c r="VVI100" s="46"/>
      <c r="VVJ100" s="46"/>
      <c r="VVK100" s="46"/>
      <c r="VVL100" s="46"/>
      <c r="VVM100" s="46"/>
      <c r="VVN100" s="46"/>
      <c r="VVO100" s="46"/>
      <c r="VVP100" s="46"/>
      <c r="VVQ100" s="46"/>
      <c r="VVR100" s="46"/>
      <c r="VVS100" s="46"/>
      <c r="VVT100" s="46"/>
      <c r="VVU100" s="46"/>
      <c r="VVV100" s="46"/>
      <c r="VVW100" s="46"/>
      <c r="VVX100" s="46"/>
      <c r="VVY100" s="46"/>
      <c r="VVZ100" s="46"/>
      <c r="VWA100" s="46"/>
      <c r="VWB100" s="46"/>
      <c r="VWC100" s="46"/>
      <c r="VWD100" s="46"/>
      <c r="VWE100" s="46"/>
      <c r="VWF100" s="46"/>
      <c r="VWG100" s="46"/>
      <c r="VWH100" s="46"/>
      <c r="VWI100" s="46"/>
      <c r="VWJ100" s="46"/>
      <c r="VWK100" s="46"/>
      <c r="VWL100" s="46"/>
      <c r="VWM100" s="46"/>
      <c r="VWN100" s="46"/>
      <c r="VWO100" s="46"/>
      <c r="VWP100" s="46"/>
      <c r="VWQ100" s="46"/>
      <c r="VWR100" s="46"/>
      <c r="VWS100" s="46"/>
      <c r="VWT100" s="46"/>
      <c r="VWU100" s="46"/>
      <c r="VWV100" s="46"/>
      <c r="VWW100" s="46"/>
      <c r="VWX100" s="46"/>
      <c r="VWY100" s="46"/>
      <c r="VWZ100" s="46"/>
      <c r="VXA100" s="46"/>
      <c r="VXB100" s="46"/>
      <c r="VXC100" s="46"/>
      <c r="VXD100" s="46"/>
      <c r="VXE100" s="46"/>
      <c r="VXF100" s="46"/>
      <c r="VXG100" s="46"/>
      <c r="VXH100" s="46"/>
      <c r="VXI100" s="46"/>
      <c r="VXJ100" s="46"/>
      <c r="VXK100" s="46"/>
      <c r="VXL100" s="46"/>
      <c r="VXM100" s="46"/>
      <c r="VXN100" s="46"/>
      <c r="VXO100" s="46"/>
      <c r="VXP100" s="46"/>
      <c r="VXQ100" s="46"/>
      <c r="VXR100" s="46"/>
      <c r="VXS100" s="46"/>
      <c r="VXT100" s="46"/>
      <c r="VXU100" s="46"/>
      <c r="VXV100" s="46"/>
      <c r="VXW100" s="46"/>
      <c r="VXX100" s="46"/>
      <c r="VXY100" s="46"/>
      <c r="VXZ100" s="46"/>
      <c r="VYA100" s="46"/>
      <c r="VYB100" s="46"/>
      <c r="VYC100" s="46"/>
      <c r="VYD100" s="46"/>
      <c r="VYE100" s="46"/>
      <c r="VYF100" s="46"/>
      <c r="VYG100" s="46"/>
      <c r="VYH100" s="46"/>
      <c r="VYI100" s="46"/>
      <c r="VYJ100" s="46"/>
      <c r="VYK100" s="46"/>
      <c r="VYL100" s="46"/>
      <c r="VYM100" s="46"/>
      <c r="VYN100" s="46"/>
      <c r="VYO100" s="46"/>
      <c r="VYP100" s="46"/>
      <c r="VYQ100" s="46"/>
      <c r="VYR100" s="46"/>
      <c r="VYS100" s="46"/>
      <c r="VYT100" s="46"/>
      <c r="VYU100" s="46"/>
      <c r="VYV100" s="46"/>
      <c r="VYW100" s="46"/>
      <c r="VYX100" s="46"/>
      <c r="VYY100" s="46"/>
      <c r="VYZ100" s="46"/>
      <c r="VZA100" s="46"/>
      <c r="VZB100" s="46"/>
      <c r="VZC100" s="46"/>
      <c r="VZD100" s="46"/>
      <c r="VZE100" s="46"/>
      <c r="VZF100" s="46"/>
      <c r="VZG100" s="46"/>
      <c r="VZH100" s="46"/>
      <c r="VZI100" s="46"/>
      <c r="VZJ100" s="46"/>
      <c r="VZK100" s="46"/>
      <c r="VZL100" s="46"/>
      <c r="VZM100" s="46"/>
      <c r="VZN100" s="46"/>
      <c r="VZO100" s="46"/>
      <c r="VZP100" s="46"/>
      <c r="VZQ100" s="46"/>
      <c r="VZR100" s="46"/>
      <c r="VZS100" s="46"/>
      <c r="VZT100" s="46"/>
      <c r="VZU100" s="46"/>
      <c r="VZV100" s="46"/>
      <c r="VZW100" s="46"/>
      <c r="VZX100" s="46"/>
      <c r="VZY100" s="46"/>
      <c r="VZZ100" s="46"/>
      <c r="WAA100" s="46"/>
      <c r="WAB100" s="46"/>
      <c r="WAC100" s="46"/>
      <c r="WAD100" s="46"/>
      <c r="WAE100" s="46"/>
      <c r="WAF100" s="46"/>
      <c r="WAG100" s="46"/>
      <c r="WAH100" s="46"/>
      <c r="WAI100" s="46"/>
      <c r="WAJ100" s="46"/>
      <c r="WAK100" s="46"/>
      <c r="WAL100" s="46"/>
      <c r="WAM100" s="46"/>
      <c r="WAN100" s="46"/>
      <c r="WAO100" s="46"/>
      <c r="WAP100" s="46"/>
      <c r="WAQ100" s="46"/>
      <c r="WAR100" s="46"/>
      <c r="WAS100" s="46"/>
      <c r="WAT100" s="46"/>
      <c r="WAU100" s="46"/>
      <c r="WAV100" s="46"/>
      <c r="WAW100" s="46"/>
      <c r="WAX100" s="46"/>
      <c r="WAY100" s="46"/>
      <c r="WAZ100" s="46"/>
      <c r="WBA100" s="46"/>
      <c r="WBB100" s="46"/>
      <c r="WBC100" s="46"/>
      <c r="WBD100" s="46"/>
      <c r="WBE100" s="46"/>
      <c r="WBF100" s="46"/>
      <c r="WBG100" s="46"/>
      <c r="WBH100" s="46"/>
      <c r="WBI100" s="46"/>
      <c r="WBJ100" s="46"/>
      <c r="WBK100" s="46"/>
      <c r="WBL100" s="46"/>
      <c r="WBM100" s="46"/>
      <c r="WBN100" s="46"/>
      <c r="WBO100" s="46"/>
      <c r="WBP100" s="46"/>
      <c r="WBQ100" s="46"/>
      <c r="WBR100" s="46"/>
      <c r="WBS100" s="46"/>
      <c r="WBT100" s="46"/>
      <c r="WBU100" s="46"/>
      <c r="WBV100" s="46"/>
      <c r="WBW100" s="46"/>
      <c r="WBX100" s="46"/>
      <c r="WBY100" s="46"/>
      <c r="WBZ100" s="46"/>
      <c r="WCA100" s="46"/>
      <c r="WCB100" s="46"/>
      <c r="WCC100" s="46"/>
      <c r="WCD100" s="46"/>
      <c r="WCE100" s="46"/>
      <c r="WCF100" s="46"/>
      <c r="WCG100" s="46"/>
      <c r="WCH100" s="46"/>
      <c r="WCI100" s="46"/>
      <c r="WCJ100" s="46"/>
      <c r="WCK100" s="46"/>
      <c r="WCL100" s="46"/>
      <c r="WCM100" s="46"/>
      <c r="WCN100" s="46"/>
      <c r="WCO100" s="46"/>
      <c r="WCP100" s="46"/>
      <c r="WCQ100" s="46"/>
      <c r="WCR100" s="46"/>
      <c r="WCS100" s="46"/>
      <c r="WCT100" s="46"/>
      <c r="WCU100" s="46"/>
      <c r="WCV100" s="46"/>
      <c r="WCW100" s="46"/>
      <c r="WCX100" s="46"/>
      <c r="WCY100" s="46"/>
      <c r="WCZ100" s="46"/>
      <c r="WDA100" s="46"/>
      <c r="WDB100" s="46"/>
      <c r="WDC100" s="46"/>
      <c r="WDD100" s="46"/>
      <c r="WDE100" s="46"/>
      <c r="WDF100" s="46"/>
      <c r="WDG100" s="46"/>
      <c r="WDH100" s="46"/>
      <c r="WDI100" s="46"/>
      <c r="WDJ100" s="46"/>
      <c r="WDK100" s="46"/>
      <c r="WDL100" s="46"/>
      <c r="WDM100" s="46"/>
      <c r="WDN100" s="46"/>
      <c r="WDO100" s="46"/>
      <c r="WDP100" s="46"/>
      <c r="WDQ100" s="46"/>
      <c r="WDR100" s="46"/>
      <c r="WDS100" s="46"/>
      <c r="WDT100" s="46"/>
      <c r="WDU100" s="46"/>
      <c r="WDV100" s="46"/>
      <c r="WDW100" s="46"/>
      <c r="WDX100" s="46"/>
      <c r="WDY100" s="46"/>
      <c r="WDZ100" s="46"/>
      <c r="WEA100" s="46"/>
      <c r="WEB100" s="46"/>
      <c r="WEC100" s="46"/>
      <c r="WED100" s="46"/>
      <c r="WEE100" s="46"/>
      <c r="WEF100" s="46"/>
      <c r="WEG100" s="46"/>
      <c r="WEH100" s="46"/>
      <c r="WEI100" s="46"/>
      <c r="WEJ100" s="46"/>
      <c r="WEK100" s="46"/>
      <c r="WEL100" s="46"/>
      <c r="WEM100" s="46"/>
      <c r="WEN100" s="46"/>
      <c r="WEO100" s="46"/>
      <c r="WEP100" s="46"/>
      <c r="WEQ100" s="46"/>
      <c r="WER100" s="46"/>
      <c r="WES100" s="46"/>
      <c r="WET100" s="46"/>
      <c r="WEU100" s="46"/>
      <c r="WEV100" s="46"/>
      <c r="WEW100" s="46"/>
      <c r="WEX100" s="46"/>
      <c r="WEY100" s="46"/>
      <c r="WEZ100" s="46"/>
      <c r="WFA100" s="46"/>
      <c r="WFB100" s="46"/>
      <c r="WFC100" s="46"/>
      <c r="WFD100" s="46"/>
      <c r="WFE100" s="46"/>
      <c r="WFF100" s="46"/>
      <c r="WFG100" s="46"/>
      <c r="WFH100" s="46"/>
      <c r="WFI100" s="46"/>
      <c r="WFJ100" s="46"/>
      <c r="WFK100" s="46"/>
      <c r="WFL100" s="46"/>
      <c r="WFM100" s="46"/>
      <c r="WFN100" s="46"/>
      <c r="WFO100" s="46"/>
      <c r="WFP100" s="46"/>
      <c r="WFQ100" s="46"/>
      <c r="WFR100" s="46"/>
      <c r="WFS100" s="46"/>
      <c r="WFT100" s="46"/>
      <c r="WFU100" s="46"/>
      <c r="WFV100" s="46"/>
      <c r="WFW100" s="46"/>
      <c r="WFX100" s="46"/>
      <c r="WFY100" s="46"/>
      <c r="WFZ100" s="46"/>
      <c r="WGA100" s="46"/>
      <c r="WGB100" s="46"/>
      <c r="WGC100" s="46"/>
      <c r="WGD100" s="46"/>
      <c r="WGE100" s="46"/>
      <c r="WGF100" s="46"/>
      <c r="WGG100" s="46"/>
      <c r="WGH100" s="46"/>
      <c r="WGI100" s="46"/>
      <c r="WGJ100" s="46"/>
      <c r="WGK100" s="46"/>
      <c r="WGL100" s="46"/>
      <c r="WGM100" s="46"/>
      <c r="WGN100" s="46"/>
      <c r="WGO100" s="46"/>
      <c r="WGP100" s="46"/>
      <c r="WGQ100" s="46"/>
      <c r="WGR100" s="46"/>
      <c r="WGS100" s="46"/>
      <c r="WGT100" s="46"/>
      <c r="WGU100" s="46"/>
      <c r="WGV100" s="46"/>
      <c r="WGW100" s="46"/>
      <c r="WGX100" s="46"/>
      <c r="WGY100" s="46"/>
      <c r="WGZ100" s="46"/>
      <c r="WHA100" s="46"/>
      <c r="WHB100" s="46"/>
      <c r="WHC100" s="46"/>
      <c r="WHD100" s="46"/>
      <c r="WHE100" s="46"/>
      <c r="WHF100" s="46"/>
      <c r="WHG100" s="46"/>
      <c r="WHH100" s="46"/>
      <c r="WHI100" s="46"/>
      <c r="WHJ100" s="46"/>
      <c r="WHK100" s="46"/>
      <c r="WHL100" s="46"/>
      <c r="WHM100" s="46"/>
      <c r="WHN100" s="46"/>
      <c r="WHO100" s="46"/>
      <c r="WHP100" s="46"/>
      <c r="WHQ100" s="46"/>
      <c r="WHR100" s="46"/>
      <c r="WHS100" s="46"/>
      <c r="WHT100" s="46"/>
      <c r="WHU100" s="46"/>
      <c r="WHV100" s="46"/>
      <c r="WHW100" s="46"/>
      <c r="WHX100" s="46"/>
      <c r="WHY100" s="46"/>
      <c r="WHZ100" s="46"/>
      <c r="WIA100" s="46"/>
      <c r="WIB100" s="46"/>
      <c r="WIC100" s="46"/>
      <c r="WID100" s="46"/>
      <c r="WIE100" s="46"/>
      <c r="WIF100" s="46"/>
      <c r="WIG100" s="46"/>
      <c r="WIH100" s="46"/>
      <c r="WII100" s="46"/>
      <c r="WIJ100" s="46"/>
      <c r="WIK100" s="46"/>
      <c r="WIL100" s="46"/>
      <c r="WIM100" s="46"/>
      <c r="WIN100" s="46"/>
      <c r="WIO100" s="46"/>
      <c r="WIP100" s="46"/>
      <c r="WIQ100" s="46"/>
      <c r="WIR100" s="46"/>
      <c r="WIS100" s="46"/>
      <c r="WIT100" s="46"/>
      <c r="WIU100" s="46"/>
      <c r="WIV100" s="46"/>
      <c r="WIW100" s="46"/>
      <c r="WIX100" s="46"/>
      <c r="WIY100" s="46"/>
      <c r="WIZ100" s="46"/>
      <c r="WJA100" s="46"/>
      <c r="WJB100" s="46"/>
      <c r="WJC100" s="46"/>
      <c r="WJD100" s="46"/>
      <c r="WJE100" s="46"/>
      <c r="WJF100" s="46"/>
      <c r="WJG100" s="46"/>
      <c r="WJH100" s="46"/>
      <c r="WJI100" s="46"/>
      <c r="WJJ100" s="46"/>
      <c r="WJK100" s="46"/>
      <c r="WJL100" s="46"/>
      <c r="WJM100" s="46"/>
      <c r="WJN100" s="46"/>
      <c r="WJO100" s="46"/>
      <c r="WJP100" s="46"/>
      <c r="WJQ100" s="46"/>
      <c r="WJR100" s="46"/>
      <c r="WJS100" s="46"/>
      <c r="WJT100" s="46"/>
      <c r="WJU100" s="46"/>
      <c r="WJV100" s="46"/>
      <c r="WJW100" s="46"/>
      <c r="WJX100" s="46"/>
      <c r="WJY100" s="46"/>
      <c r="WJZ100" s="46"/>
      <c r="WKA100" s="46"/>
      <c r="WKB100" s="46"/>
      <c r="WKC100" s="46"/>
      <c r="WKD100" s="46"/>
      <c r="WKE100" s="46"/>
      <c r="WKF100" s="46"/>
      <c r="WKG100" s="46"/>
      <c r="WKH100" s="46"/>
      <c r="WKI100" s="46"/>
      <c r="WKJ100" s="46"/>
      <c r="WKK100" s="46"/>
      <c r="WKL100" s="46"/>
      <c r="WKM100" s="46"/>
      <c r="WKN100" s="46"/>
      <c r="WKO100" s="46"/>
      <c r="WKP100" s="46"/>
      <c r="WKQ100" s="46"/>
      <c r="WKR100" s="46"/>
      <c r="WKS100" s="46"/>
      <c r="WKT100" s="46"/>
      <c r="WKU100" s="46"/>
      <c r="WKV100" s="46"/>
      <c r="WKW100" s="46"/>
      <c r="WKX100" s="46"/>
      <c r="WKY100" s="46"/>
      <c r="WKZ100" s="46"/>
      <c r="WLA100" s="46"/>
      <c r="WLB100" s="46"/>
      <c r="WLC100" s="46"/>
      <c r="WLD100" s="46"/>
      <c r="WLE100" s="46"/>
      <c r="WLF100" s="46"/>
      <c r="WLG100" s="46"/>
      <c r="WLH100" s="46"/>
      <c r="WLI100" s="46"/>
      <c r="WLJ100" s="46"/>
      <c r="WLK100" s="46"/>
      <c r="WLL100" s="46"/>
      <c r="WLM100" s="46"/>
      <c r="WLN100" s="46"/>
      <c r="WLO100" s="46"/>
      <c r="WLP100" s="46"/>
      <c r="WLQ100" s="46"/>
      <c r="WLR100" s="46"/>
      <c r="WLS100" s="46"/>
      <c r="WLT100" s="46"/>
      <c r="WLU100" s="46"/>
      <c r="WLV100" s="46"/>
      <c r="WLW100" s="46"/>
      <c r="WLX100" s="46"/>
      <c r="WLY100" s="46"/>
      <c r="WLZ100" s="46"/>
      <c r="WMA100" s="46"/>
      <c r="WMB100" s="46"/>
      <c r="WMC100" s="46"/>
      <c r="WMD100" s="46"/>
      <c r="WME100" s="46"/>
      <c r="WMF100" s="46"/>
      <c r="WMG100" s="46"/>
      <c r="WMH100" s="46"/>
      <c r="WMI100" s="46"/>
      <c r="WMJ100" s="46"/>
      <c r="WMK100" s="46"/>
      <c r="WML100" s="46"/>
      <c r="WMM100" s="46"/>
      <c r="WMN100" s="46"/>
      <c r="WMO100" s="46"/>
      <c r="WMP100" s="46"/>
      <c r="WMQ100" s="46"/>
      <c r="WMR100" s="46"/>
      <c r="WMS100" s="46"/>
      <c r="WMT100" s="46"/>
      <c r="WMU100" s="46"/>
      <c r="WMV100" s="46"/>
      <c r="WMW100" s="46"/>
      <c r="WMX100" s="46"/>
      <c r="WMY100" s="46"/>
      <c r="WMZ100" s="46"/>
      <c r="WNA100" s="46"/>
      <c r="WNB100" s="46"/>
      <c r="WNC100" s="46"/>
      <c r="WND100" s="46"/>
      <c r="WNE100" s="46"/>
      <c r="WNF100" s="46"/>
      <c r="WNG100" s="46"/>
      <c r="WNH100" s="46"/>
      <c r="WNI100" s="46"/>
      <c r="WNJ100" s="46"/>
      <c r="WNK100" s="46"/>
      <c r="WNL100" s="46"/>
      <c r="WNM100" s="46"/>
      <c r="WNN100" s="46"/>
      <c r="WNO100" s="46"/>
      <c r="WNP100" s="46"/>
      <c r="WNQ100" s="46"/>
      <c r="WNR100" s="46"/>
      <c r="WNS100" s="46"/>
      <c r="WNT100" s="46"/>
      <c r="WNU100" s="46"/>
      <c r="WNV100" s="46"/>
      <c r="WNW100" s="46"/>
      <c r="WNX100" s="46"/>
      <c r="WNY100" s="46"/>
      <c r="WNZ100" s="46"/>
      <c r="WOA100" s="46"/>
      <c r="WOB100" s="46"/>
      <c r="WOC100" s="46"/>
      <c r="WOD100" s="46"/>
      <c r="WOE100" s="46"/>
      <c r="WOF100" s="46"/>
      <c r="WOG100" s="46"/>
      <c r="WOH100" s="46"/>
      <c r="WOI100" s="46"/>
      <c r="WOJ100" s="46"/>
      <c r="WOK100" s="46"/>
      <c r="WOL100" s="46"/>
      <c r="WOM100" s="46"/>
      <c r="WON100" s="46"/>
      <c r="WOO100" s="46"/>
      <c r="WOP100" s="46"/>
      <c r="WOQ100" s="46"/>
      <c r="WOR100" s="46"/>
      <c r="WOS100" s="46"/>
      <c r="WOT100" s="46"/>
      <c r="WOU100" s="46"/>
      <c r="WOV100" s="46"/>
      <c r="WOW100" s="46"/>
      <c r="WOX100" s="46"/>
      <c r="WOY100" s="46"/>
      <c r="WOZ100" s="46"/>
      <c r="WPA100" s="46"/>
      <c r="WPB100" s="46"/>
      <c r="WPC100" s="46"/>
      <c r="WPD100" s="46"/>
      <c r="WPE100" s="46"/>
      <c r="WPF100" s="46"/>
      <c r="WPG100" s="46"/>
      <c r="WPH100" s="46"/>
      <c r="WPI100" s="46"/>
      <c r="WPJ100" s="46"/>
      <c r="WPK100" s="46"/>
      <c r="WPL100" s="46"/>
      <c r="WPM100" s="46"/>
      <c r="WPN100" s="46"/>
      <c r="WPO100" s="46"/>
      <c r="WPP100" s="46"/>
      <c r="WPQ100" s="46"/>
      <c r="WPR100" s="46"/>
      <c r="WPS100" s="46"/>
      <c r="WPT100" s="46"/>
      <c r="WPU100" s="46"/>
      <c r="WPV100" s="46"/>
      <c r="WPW100" s="46"/>
      <c r="WPX100" s="46"/>
      <c r="WPY100" s="46"/>
      <c r="WPZ100" s="46"/>
      <c r="WQA100" s="46"/>
      <c r="WQB100" s="46"/>
      <c r="WQC100" s="46"/>
      <c r="WQD100" s="46"/>
      <c r="WQE100" s="46"/>
      <c r="WQF100" s="46"/>
      <c r="WQG100" s="46"/>
      <c r="WQH100" s="46"/>
      <c r="WQI100" s="46"/>
      <c r="WQJ100" s="46"/>
      <c r="WQK100" s="46"/>
      <c r="WQL100" s="46"/>
      <c r="WQM100" s="46"/>
      <c r="WQN100" s="46"/>
      <c r="WQO100" s="46"/>
      <c r="WQP100" s="46"/>
      <c r="WQQ100" s="46"/>
      <c r="WQR100" s="46"/>
      <c r="WQS100" s="46"/>
      <c r="WQT100" s="46"/>
      <c r="WQU100" s="46"/>
      <c r="WQV100" s="46"/>
      <c r="WQW100" s="46"/>
      <c r="WQX100" s="46"/>
      <c r="WQY100" s="46"/>
      <c r="WQZ100" s="46"/>
      <c r="WRA100" s="46"/>
      <c r="WRB100" s="46"/>
      <c r="WRC100" s="46"/>
      <c r="WRD100" s="46"/>
      <c r="WRE100" s="46"/>
      <c r="WRF100" s="46"/>
      <c r="WRG100" s="46"/>
      <c r="WRH100" s="46"/>
      <c r="WRI100" s="46"/>
      <c r="WRJ100" s="46"/>
      <c r="WRK100" s="46"/>
      <c r="WRL100" s="46"/>
      <c r="WRM100" s="46"/>
      <c r="WRN100" s="46"/>
      <c r="WRO100" s="46"/>
      <c r="WRP100" s="46"/>
      <c r="WRQ100" s="46"/>
      <c r="WRR100" s="46"/>
      <c r="WRS100" s="46"/>
      <c r="WRT100" s="46"/>
      <c r="WRU100" s="46"/>
      <c r="WRV100" s="46"/>
      <c r="WRW100" s="46"/>
      <c r="WRX100" s="46"/>
      <c r="WRY100" s="46"/>
      <c r="WRZ100" s="46"/>
      <c r="WSA100" s="46"/>
      <c r="WSB100" s="46"/>
      <c r="WSC100" s="46"/>
      <c r="WSD100" s="46"/>
      <c r="WSE100" s="46"/>
      <c r="WSF100" s="46"/>
      <c r="WSG100" s="46"/>
      <c r="WSH100" s="46"/>
      <c r="WSI100" s="46"/>
      <c r="WSJ100" s="46"/>
      <c r="WSK100" s="46"/>
      <c r="WSL100" s="46"/>
      <c r="WSM100" s="46"/>
      <c r="WSN100" s="46"/>
      <c r="WSO100" s="46"/>
      <c r="WSP100" s="46"/>
      <c r="WSQ100" s="46"/>
      <c r="WSR100" s="46"/>
      <c r="WSS100" s="46"/>
      <c r="WST100" s="46"/>
      <c r="WSU100" s="46"/>
      <c r="WSV100" s="46"/>
      <c r="WSW100" s="46"/>
      <c r="WSX100" s="46"/>
      <c r="WSY100" s="46"/>
      <c r="WSZ100" s="46"/>
      <c r="WTA100" s="46"/>
      <c r="WTB100" s="46"/>
      <c r="WTC100" s="46"/>
      <c r="WTD100" s="46"/>
      <c r="WTE100" s="46"/>
      <c r="WTF100" s="46"/>
      <c r="WTG100" s="46"/>
      <c r="WTH100" s="46"/>
      <c r="WTI100" s="46"/>
      <c r="WTJ100" s="46"/>
      <c r="WTK100" s="46"/>
      <c r="WTL100" s="46"/>
      <c r="WTM100" s="46"/>
      <c r="WTN100" s="46"/>
      <c r="WTO100" s="46"/>
      <c r="WTP100" s="46"/>
      <c r="WTQ100" s="46"/>
      <c r="WTR100" s="46"/>
      <c r="WTS100" s="46"/>
      <c r="WTT100" s="46"/>
      <c r="WTU100" s="46"/>
      <c r="WTV100" s="46"/>
      <c r="WTW100" s="46"/>
      <c r="WTX100" s="46"/>
      <c r="WTY100" s="46"/>
      <c r="WTZ100" s="46"/>
      <c r="WUA100" s="46"/>
      <c r="WUB100" s="46"/>
      <c r="WUC100" s="46"/>
      <c r="WUD100" s="46"/>
      <c r="WUE100" s="46"/>
      <c r="WUF100" s="46"/>
      <c r="WUG100" s="46"/>
      <c r="WUH100" s="46"/>
      <c r="WUI100" s="46"/>
      <c r="WUJ100" s="46"/>
      <c r="WUK100" s="46"/>
      <c r="WUL100" s="46"/>
      <c r="WUM100" s="46"/>
      <c r="WUN100" s="46"/>
      <c r="WUO100" s="46"/>
      <c r="WUP100" s="46"/>
      <c r="WUQ100" s="46"/>
      <c r="WUR100" s="46"/>
      <c r="WUS100" s="46"/>
      <c r="WUT100" s="46"/>
      <c r="WUU100" s="46"/>
      <c r="WUV100" s="46"/>
      <c r="WUW100" s="46"/>
      <c r="WUX100" s="46"/>
      <c r="WUY100" s="46"/>
      <c r="WUZ100" s="46"/>
      <c r="WVA100" s="46"/>
      <c r="WVB100" s="46"/>
      <c r="WVC100" s="46"/>
      <c r="WVD100" s="46"/>
      <c r="WVE100" s="46"/>
      <c r="WVF100" s="46"/>
      <c r="WVG100" s="46"/>
      <c r="WVH100" s="46"/>
      <c r="WVI100" s="46"/>
      <c r="WVJ100" s="46"/>
      <c r="WVK100" s="46"/>
      <c r="WVL100" s="46"/>
      <c r="WVM100" s="46"/>
      <c r="WVN100" s="46"/>
      <c r="WVO100" s="46"/>
      <c r="WVP100" s="46"/>
      <c r="WVQ100" s="46"/>
      <c r="WVR100" s="46"/>
      <c r="WVS100" s="46"/>
      <c r="WVT100" s="46"/>
      <c r="WVU100" s="46"/>
      <c r="WVV100" s="46"/>
      <c r="WVW100" s="46"/>
      <c r="WVX100" s="46"/>
      <c r="WVY100" s="46"/>
      <c r="WVZ100" s="46"/>
      <c r="WWA100" s="46"/>
      <c r="WWB100" s="46"/>
      <c r="WWC100" s="46"/>
      <c r="WWD100" s="46"/>
      <c r="WWE100" s="46"/>
      <c r="WWF100" s="46"/>
      <c r="WWG100" s="46"/>
      <c r="WWH100" s="46"/>
      <c r="WWI100" s="46"/>
      <c r="WWJ100" s="46"/>
      <c r="WWK100" s="46"/>
      <c r="WWL100" s="46"/>
      <c r="WWM100" s="46"/>
      <c r="WWN100" s="46"/>
      <c r="WWO100" s="46"/>
      <c r="WWP100" s="46"/>
      <c r="WWQ100" s="46"/>
      <c r="WWR100" s="46"/>
      <c r="WWS100" s="46"/>
      <c r="WWT100" s="46"/>
      <c r="WWU100" s="46"/>
      <c r="WWV100" s="46"/>
      <c r="WWW100" s="46"/>
      <c r="WWX100" s="46"/>
      <c r="WWY100" s="46"/>
      <c r="WWZ100" s="46"/>
      <c r="WXA100" s="46"/>
      <c r="WXB100" s="46"/>
      <c r="WXC100" s="46"/>
      <c r="WXD100" s="46"/>
      <c r="WXE100" s="46"/>
      <c r="WXF100" s="46"/>
      <c r="WXG100" s="46"/>
      <c r="WXH100" s="46"/>
      <c r="WXI100" s="46"/>
      <c r="WXJ100" s="46"/>
      <c r="WXK100" s="46"/>
      <c r="WXL100" s="46"/>
      <c r="WXM100" s="46"/>
      <c r="WXN100" s="46"/>
      <c r="WXO100" s="46"/>
      <c r="WXP100" s="46"/>
      <c r="WXQ100" s="46"/>
      <c r="WXR100" s="46"/>
      <c r="WXS100" s="46"/>
      <c r="WXT100" s="46"/>
      <c r="WXU100" s="46"/>
      <c r="WXV100" s="46"/>
      <c r="WXW100" s="46"/>
      <c r="WXX100" s="46"/>
      <c r="WXY100" s="46"/>
      <c r="WXZ100" s="46"/>
      <c r="WYA100" s="46"/>
      <c r="WYB100" s="46"/>
      <c r="WYC100" s="46"/>
      <c r="WYD100" s="46"/>
      <c r="WYE100" s="46"/>
      <c r="WYF100" s="46"/>
      <c r="WYG100" s="46"/>
      <c r="WYH100" s="46"/>
      <c r="WYI100" s="46"/>
      <c r="WYJ100" s="46"/>
      <c r="WYK100" s="46"/>
      <c r="WYL100" s="46"/>
      <c r="WYM100" s="46"/>
      <c r="WYN100" s="46"/>
      <c r="WYO100" s="46"/>
      <c r="WYP100" s="46"/>
      <c r="WYQ100" s="46"/>
      <c r="WYR100" s="46"/>
      <c r="WYS100" s="46"/>
      <c r="WYT100" s="46"/>
      <c r="WYU100" s="46"/>
      <c r="WYV100" s="46"/>
      <c r="WYW100" s="46"/>
      <c r="WYX100" s="46"/>
      <c r="WYY100" s="46"/>
      <c r="WYZ100" s="46"/>
      <c r="WZA100" s="46"/>
      <c r="WZB100" s="46"/>
      <c r="WZC100" s="46"/>
      <c r="WZD100" s="46"/>
      <c r="WZE100" s="46"/>
      <c r="WZF100" s="46"/>
      <c r="WZG100" s="46"/>
      <c r="WZH100" s="46"/>
      <c r="WZI100" s="46"/>
      <c r="WZJ100" s="46"/>
      <c r="WZK100" s="46"/>
      <c r="WZL100" s="46"/>
      <c r="WZM100" s="46"/>
      <c r="WZN100" s="46"/>
      <c r="WZO100" s="46"/>
      <c r="WZP100" s="46"/>
      <c r="WZQ100" s="46"/>
      <c r="WZR100" s="46"/>
      <c r="WZS100" s="46"/>
      <c r="WZT100" s="46"/>
      <c r="WZU100" s="46"/>
      <c r="WZV100" s="46"/>
      <c r="WZW100" s="46"/>
      <c r="WZX100" s="46"/>
      <c r="WZY100" s="46"/>
      <c r="WZZ100" s="46"/>
      <c r="XAA100" s="46"/>
      <c r="XAB100" s="46"/>
      <c r="XAC100" s="46"/>
      <c r="XAD100" s="46"/>
      <c r="XAE100" s="46"/>
      <c r="XAF100" s="46"/>
      <c r="XAG100" s="46"/>
      <c r="XAH100" s="46"/>
      <c r="XAI100" s="46"/>
      <c r="XAJ100" s="46"/>
      <c r="XAK100" s="46"/>
      <c r="XAL100" s="46"/>
      <c r="XAM100" s="46"/>
      <c r="XAN100" s="46"/>
      <c r="XAO100" s="46"/>
      <c r="XAP100" s="46"/>
      <c r="XAQ100" s="46"/>
      <c r="XAR100" s="46"/>
      <c r="XAS100" s="46"/>
      <c r="XAT100" s="46"/>
      <c r="XAU100" s="46"/>
      <c r="XAV100" s="46"/>
      <c r="XAW100" s="46"/>
      <c r="XAX100" s="46"/>
      <c r="XAY100" s="46"/>
      <c r="XAZ100" s="46"/>
      <c r="XBA100" s="46"/>
      <c r="XBB100" s="46"/>
      <c r="XBC100" s="46"/>
      <c r="XBD100" s="46"/>
      <c r="XBE100" s="46"/>
      <c r="XBF100" s="46"/>
      <c r="XBG100" s="46"/>
      <c r="XBH100" s="46"/>
      <c r="XBI100" s="46"/>
      <c r="XBJ100" s="46"/>
      <c r="XBK100" s="46"/>
      <c r="XBL100" s="46"/>
      <c r="XBM100" s="46"/>
      <c r="XBN100" s="46"/>
      <c r="XBO100" s="46"/>
      <c r="XBP100" s="46"/>
      <c r="XBQ100" s="46"/>
      <c r="XBR100" s="46"/>
      <c r="XBS100" s="46"/>
      <c r="XBT100" s="46"/>
      <c r="XBU100" s="46"/>
      <c r="XBV100" s="46"/>
      <c r="XBW100" s="46"/>
      <c r="XBX100" s="46"/>
      <c r="XBY100" s="46"/>
      <c r="XBZ100" s="46"/>
      <c r="XCA100" s="46"/>
      <c r="XCB100" s="46"/>
      <c r="XCC100" s="46"/>
      <c r="XCD100" s="46"/>
      <c r="XCE100" s="46"/>
      <c r="XCF100" s="46"/>
      <c r="XCG100" s="46"/>
      <c r="XCH100" s="46"/>
      <c r="XCI100" s="46"/>
      <c r="XCJ100" s="46"/>
      <c r="XCK100" s="46"/>
      <c r="XCL100" s="46"/>
      <c r="XCM100" s="46"/>
      <c r="XCN100" s="46"/>
      <c r="XCO100" s="46"/>
      <c r="XCP100" s="46"/>
      <c r="XCQ100" s="46"/>
      <c r="XCR100" s="46"/>
      <c r="XCS100" s="46"/>
      <c r="XCT100" s="46"/>
      <c r="XCU100" s="46"/>
      <c r="XCV100" s="46"/>
      <c r="XCW100" s="46"/>
      <c r="XCX100" s="46"/>
      <c r="XCY100" s="46"/>
      <c r="XCZ100" s="46"/>
      <c r="XDA100" s="46"/>
      <c r="XDB100" s="46"/>
      <c r="XDC100" s="46"/>
      <c r="XDD100" s="46"/>
      <c r="XDE100" s="46"/>
      <c r="XDF100" s="46"/>
      <c r="XDG100" s="46"/>
      <c r="XDH100" s="46"/>
      <c r="XDI100" s="46"/>
      <c r="XDJ100" s="46"/>
      <c r="XDK100" s="46"/>
      <c r="XDL100" s="46"/>
      <c r="XDM100" s="46"/>
      <c r="XDN100" s="46"/>
      <c r="XDO100" s="46"/>
      <c r="XDP100" s="46"/>
      <c r="XDQ100" s="46"/>
      <c r="XDR100" s="46"/>
      <c r="XDS100" s="46"/>
      <c r="XDT100" s="46"/>
      <c r="XDU100" s="46"/>
      <c r="XDV100" s="46"/>
      <c r="XDW100" s="46"/>
      <c r="XDX100" s="46"/>
      <c r="XDY100" s="46"/>
      <c r="XDZ100" s="46"/>
      <c r="XEA100" s="46"/>
      <c r="XEB100" s="46"/>
      <c r="XEC100" s="46"/>
      <c r="XED100" s="46"/>
      <c r="XEE100" s="46"/>
      <c r="XEF100" s="46"/>
      <c r="XEG100" s="46"/>
      <c r="XEH100" s="46"/>
      <c r="XEI100" s="46"/>
      <c r="XEJ100" s="46"/>
      <c r="XEK100" s="46"/>
      <c r="XEL100" s="46"/>
      <c r="XEM100" s="46"/>
      <c r="XEN100" s="46"/>
      <c r="XEO100" s="46"/>
      <c r="XEP100" s="46"/>
      <c r="XEQ100" s="46"/>
      <c r="XER100" s="46"/>
    </row>
    <row r="101" spans="1:16372" s="47" customFormat="1" x14ac:dyDescent="0.2">
      <c r="A101" s="1" t="s">
        <v>90</v>
      </c>
      <c r="B101" s="5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  <c r="MH101" s="15"/>
      <c r="MI101" s="15"/>
      <c r="MJ101" s="15"/>
      <c r="MK101" s="15"/>
      <c r="ML101" s="15"/>
      <c r="MM101" s="15"/>
      <c r="MN101" s="15"/>
      <c r="MO101" s="15"/>
      <c r="MP101" s="15"/>
      <c r="MQ101" s="15"/>
      <c r="MR101" s="15"/>
      <c r="MS101" s="15"/>
      <c r="MT101" s="15"/>
      <c r="MU101" s="15"/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  <c r="OA101" s="15"/>
      <c r="OB101" s="15"/>
      <c r="OC101" s="15"/>
      <c r="OD101" s="15"/>
      <c r="OE101" s="15"/>
      <c r="OF101" s="15"/>
      <c r="OG101" s="15"/>
      <c r="OH101" s="15"/>
      <c r="OI101" s="15"/>
      <c r="OJ101" s="15"/>
      <c r="OK101" s="15"/>
      <c r="OL101" s="15"/>
      <c r="OM101" s="15"/>
      <c r="ON101" s="15"/>
      <c r="OO101" s="15"/>
      <c r="OP101" s="15"/>
      <c r="OQ101" s="15"/>
      <c r="OR101" s="15"/>
      <c r="OS101" s="15"/>
      <c r="OT101" s="15"/>
      <c r="OU101" s="15"/>
      <c r="OV101" s="15"/>
      <c r="OW101" s="15"/>
      <c r="OX101" s="15"/>
      <c r="OY101" s="15"/>
      <c r="OZ101" s="15"/>
      <c r="PA101" s="15"/>
      <c r="PB101" s="15"/>
      <c r="PC101" s="15"/>
      <c r="PD101" s="15"/>
      <c r="PE101" s="15"/>
      <c r="PF101" s="15"/>
      <c r="PG101" s="15"/>
      <c r="PH101" s="15"/>
      <c r="PI101" s="15"/>
      <c r="PJ101" s="15"/>
      <c r="PK101" s="15"/>
      <c r="PL101" s="15"/>
      <c r="PM101" s="15"/>
      <c r="PN101" s="15"/>
      <c r="PO101" s="15"/>
      <c r="PP101" s="15"/>
      <c r="PQ101" s="15"/>
      <c r="PR101" s="15"/>
      <c r="PS101" s="15"/>
      <c r="PT101" s="15"/>
      <c r="PU101" s="15"/>
      <c r="PV101" s="15"/>
      <c r="PW101" s="15"/>
      <c r="PX101" s="15"/>
      <c r="PY101" s="15"/>
      <c r="PZ101" s="15"/>
      <c r="QA101" s="15"/>
      <c r="QB101" s="15"/>
      <c r="QC101" s="15"/>
      <c r="QD101" s="15"/>
      <c r="QE101" s="15"/>
      <c r="QF101" s="15"/>
      <c r="QG101" s="15"/>
      <c r="QH101" s="15"/>
      <c r="QI101" s="15"/>
      <c r="QJ101" s="15"/>
      <c r="QK101" s="15"/>
      <c r="QL101" s="15"/>
      <c r="QM101" s="15"/>
      <c r="QN101" s="15"/>
      <c r="QO101" s="15"/>
      <c r="QP101" s="15"/>
      <c r="QQ101" s="15"/>
      <c r="QR101" s="15"/>
      <c r="QS101" s="15"/>
      <c r="QT101" s="15"/>
      <c r="QU101" s="15"/>
      <c r="QV101" s="15"/>
      <c r="QW101" s="15"/>
      <c r="QX101" s="15"/>
      <c r="QY101" s="15"/>
      <c r="QZ101" s="15"/>
      <c r="RA101" s="15"/>
      <c r="RB101" s="15"/>
      <c r="RC101" s="15"/>
      <c r="RD101" s="15"/>
      <c r="RE101" s="15"/>
      <c r="RF101" s="15"/>
      <c r="RG101" s="15"/>
      <c r="RH101" s="15"/>
      <c r="RI101" s="15"/>
      <c r="RJ101" s="15"/>
      <c r="RK101" s="15"/>
      <c r="RL101" s="15"/>
      <c r="RM101" s="15"/>
      <c r="RN101" s="15"/>
      <c r="RO101" s="15"/>
      <c r="RP101" s="15"/>
      <c r="RQ101" s="15"/>
      <c r="RR101" s="15"/>
      <c r="RS101" s="15"/>
      <c r="RT101" s="15"/>
      <c r="RU101" s="15"/>
      <c r="RV101" s="15"/>
      <c r="RW101" s="15"/>
      <c r="RX101" s="15"/>
      <c r="RY101" s="15"/>
      <c r="RZ101" s="15"/>
      <c r="SA101" s="15"/>
      <c r="SB101" s="15"/>
      <c r="SC101" s="15"/>
      <c r="SD101" s="15"/>
      <c r="SE101" s="15"/>
      <c r="SF101" s="15"/>
      <c r="SG101" s="15"/>
      <c r="SH101" s="15"/>
      <c r="SI101" s="15"/>
      <c r="SJ101" s="15"/>
      <c r="SK101" s="15"/>
      <c r="SL101" s="15"/>
      <c r="SM101" s="15"/>
      <c r="SN101" s="15"/>
      <c r="SO101" s="15"/>
      <c r="SP101" s="15"/>
      <c r="SQ101" s="15"/>
      <c r="SR101" s="15"/>
      <c r="SS101" s="15"/>
      <c r="ST101" s="15"/>
      <c r="SU101" s="15"/>
      <c r="SV101" s="15"/>
      <c r="SW101" s="15"/>
      <c r="SX101" s="15"/>
      <c r="SY101" s="15"/>
      <c r="SZ101" s="15"/>
      <c r="TA101" s="15"/>
      <c r="TB101" s="15"/>
      <c r="TC101" s="15"/>
      <c r="TD101" s="15"/>
      <c r="TE101" s="15"/>
      <c r="TF101" s="15"/>
      <c r="TG101" s="15"/>
      <c r="TH101" s="15"/>
      <c r="TI101" s="15"/>
      <c r="TJ101" s="15"/>
      <c r="TK101" s="15"/>
      <c r="TL101" s="15"/>
      <c r="TM101" s="15"/>
      <c r="TN101" s="15"/>
      <c r="TO101" s="15"/>
      <c r="TP101" s="15"/>
      <c r="TQ101" s="15"/>
      <c r="TR101" s="15"/>
      <c r="TS101" s="15"/>
      <c r="TT101" s="15"/>
      <c r="TU101" s="15"/>
      <c r="TV101" s="15"/>
      <c r="TW101" s="15"/>
      <c r="TX101" s="15"/>
      <c r="TY101" s="15"/>
      <c r="TZ101" s="15"/>
      <c r="UA101" s="15"/>
      <c r="UB101" s="15"/>
      <c r="UC101" s="15"/>
      <c r="UD101" s="15"/>
      <c r="UE101" s="15"/>
      <c r="UF101" s="15"/>
      <c r="UG101" s="15"/>
      <c r="UH101" s="15"/>
      <c r="UI101" s="15"/>
      <c r="UJ101" s="15"/>
      <c r="UK101" s="15"/>
      <c r="UL101" s="15"/>
      <c r="UM101" s="15"/>
      <c r="UN101" s="15"/>
      <c r="UO101" s="15"/>
      <c r="UP101" s="15"/>
      <c r="UQ101" s="15"/>
      <c r="UR101" s="15"/>
      <c r="US101" s="15"/>
      <c r="UT101" s="15"/>
      <c r="UU101" s="15"/>
      <c r="UV101" s="15"/>
      <c r="UW101" s="15"/>
      <c r="UX101" s="15"/>
      <c r="UY101" s="15"/>
      <c r="UZ101" s="15"/>
      <c r="VA101" s="15"/>
      <c r="VB101" s="15"/>
      <c r="VC101" s="15"/>
      <c r="VD101" s="15"/>
      <c r="VE101" s="15"/>
      <c r="VF101" s="15"/>
      <c r="VG101" s="15"/>
      <c r="VH101" s="15"/>
      <c r="VI101" s="15"/>
      <c r="VJ101" s="15"/>
      <c r="VK101" s="15"/>
      <c r="VL101" s="15"/>
      <c r="VM101" s="15"/>
      <c r="VN101" s="15"/>
      <c r="VO101" s="15"/>
      <c r="VP101" s="15"/>
      <c r="VQ101" s="15"/>
      <c r="VR101" s="15"/>
      <c r="VS101" s="15"/>
      <c r="VT101" s="15"/>
      <c r="VU101" s="15"/>
      <c r="VV101" s="15"/>
      <c r="VW101" s="15"/>
      <c r="VX101" s="15"/>
      <c r="VY101" s="15"/>
      <c r="VZ101" s="15"/>
      <c r="WA101" s="15"/>
      <c r="WB101" s="15"/>
      <c r="WC101" s="15"/>
      <c r="WD101" s="15"/>
      <c r="WE101" s="15"/>
      <c r="WF101" s="15"/>
      <c r="WG101" s="15"/>
      <c r="WH101" s="15"/>
      <c r="WI101" s="15"/>
      <c r="WJ101" s="15"/>
      <c r="WK101" s="15"/>
      <c r="WL101" s="15"/>
      <c r="WM101" s="15"/>
      <c r="WN101" s="15"/>
      <c r="WO101" s="15"/>
      <c r="WP101" s="15"/>
      <c r="WQ101" s="15"/>
      <c r="WR101" s="15"/>
      <c r="WS101" s="15"/>
      <c r="WT101" s="15"/>
      <c r="WU101" s="15"/>
      <c r="WV101" s="15"/>
      <c r="WW101" s="15"/>
      <c r="WX101" s="15"/>
      <c r="WY101" s="15"/>
      <c r="WZ101" s="15"/>
      <c r="XA101" s="15"/>
      <c r="XB101" s="15"/>
      <c r="XC101" s="15"/>
      <c r="XD101" s="15"/>
      <c r="XE101" s="15"/>
      <c r="XF101" s="15"/>
      <c r="XG101" s="15"/>
      <c r="XH101" s="15"/>
      <c r="XI101" s="15"/>
      <c r="XJ101" s="15"/>
      <c r="XK101" s="15"/>
      <c r="XL101" s="15"/>
      <c r="XM101" s="15"/>
      <c r="XN101" s="15"/>
      <c r="XO101" s="15"/>
      <c r="XP101" s="15"/>
      <c r="XQ101" s="15"/>
      <c r="XR101" s="15"/>
      <c r="XS101" s="15"/>
      <c r="XT101" s="15"/>
      <c r="XU101" s="15"/>
      <c r="XV101" s="15"/>
      <c r="XW101" s="15"/>
      <c r="XX101" s="15"/>
      <c r="XY101" s="15"/>
      <c r="XZ101" s="15"/>
      <c r="YA101" s="15"/>
      <c r="YB101" s="15"/>
      <c r="YC101" s="15"/>
      <c r="YD101" s="15"/>
      <c r="YE101" s="15"/>
      <c r="YF101" s="15"/>
      <c r="YG101" s="15"/>
      <c r="YH101" s="15"/>
      <c r="YI101" s="15"/>
      <c r="YJ101" s="15"/>
      <c r="YK101" s="15"/>
      <c r="YL101" s="15"/>
      <c r="YM101" s="15"/>
      <c r="YN101" s="15"/>
      <c r="YO101" s="15"/>
      <c r="YP101" s="15"/>
      <c r="YQ101" s="15"/>
      <c r="YR101" s="15"/>
      <c r="YS101" s="15"/>
      <c r="YT101" s="15"/>
      <c r="YU101" s="15"/>
      <c r="YV101" s="15"/>
      <c r="YW101" s="15"/>
      <c r="YX101" s="15"/>
      <c r="YY101" s="15"/>
      <c r="YZ101" s="15"/>
      <c r="ZA101" s="15"/>
      <c r="ZB101" s="15"/>
      <c r="ZC101" s="15"/>
      <c r="ZD101" s="15"/>
      <c r="ZE101" s="15"/>
      <c r="ZF101" s="15"/>
      <c r="ZG101" s="15"/>
      <c r="ZH101" s="15"/>
      <c r="ZI101" s="15"/>
      <c r="ZJ101" s="15"/>
      <c r="ZK101" s="15"/>
      <c r="ZL101" s="15"/>
      <c r="ZM101" s="15"/>
      <c r="ZN101" s="15"/>
      <c r="ZO101" s="15"/>
      <c r="ZP101" s="15"/>
      <c r="ZQ101" s="15"/>
      <c r="ZR101" s="15"/>
      <c r="ZS101" s="15"/>
      <c r="ZT101" s="15"/>
      <c r="ZU101" s="15"/>
      <c r="ZV101" s="15"/>
      <c r="ZW101" s="15"/>
      <c r="ZX101" s="15"/>
      <c r="ZY101" s="15"/>
      <c r="ZZ101" s="15"/>
      <c r="AAA101" s="15"/>
      <c r="AAB101" s="15"/>
      <c r="AAC101" s="15"/>
      <c r="AAD101" s="15"/>
      <c r="AAE101" s="15"/>
      <c r="AAF101" s="15"/>
      <c r="AAG101" s="15"/>
      <c r="AAH101" s="15"/>
      <c r="AAI101" s="15"/>
      <c r="AAJ101" s="15"/>
      <c r="AAK101" s="15"/>
      <c r="AAL101" s="15"/>
      <c r="AAM101" s="15"/>
      <c r="AAN101" s="15"/>
      <c r="AAO101" s="15"/>
      <c r="AAP101" s="15"/>
      <c r="AAQ101" s="15"/>
      <c r="AAR101" s="15"/>
      <c r="AAS101" s="15"/>
      <c r="AAT101" s="15"/>
      <c r="AAU101" s="15"/>
      <c r="AAV101" s="15"/>
      <c r="AAW101" s="15"/>
      <c r="AAX101" s="15"/>
      <c r="AAY101" s="15"/>
      <c r="AAZ101" s="15"/>
      <c r="ABA101" s="15"/>
      <c r="ABB101" s="15"/>
      <c r="ABC101" s="15"/>
      <c r="ABD101" s="15"/>
      <c r="ABE101" s="15"/>
      <c r="ABF101" s="15"/>
      <c r="ABG101" s="15"/>
      <c r="ABH101" s="15"/>
      <c r="ABI101" s="15"/>
      <c r="ABJ101" s="15"/>
      <c r="ABK101" s="15"/>
      <c r="ABL101" s="15"/>
      <c r="ABM101" s="15"/>
      <c r="ABN101" s="15"/>
      <c r="ABO101" s="15"/>
      <c r="ABP101" s="15"/>
      <c r="ABQ101" s="15"/>
      <c r="ABR101" s="15"/>
      <c r="ABS101" s="15"/>
      <c r="ABT101" s="15"/>
      <c r="ABU101" s="15"/>
      <c r="ABV101" s="15"/>
      <c r="ABW101" s="15"/>
      <c r="ABX101" s="15"/>
      <c r="ABY101" s="15"/>
      <c r="ABZ101" s="15"/>
      <c r="ACA101" s="15"/>
      <c r="ACB101" s="15"/>
      <c r="ACC101" s="15"/>
      <c r="ACD101" s="15"/>
      <c r="ACE101" s="15"/>
      <c r="ACF101" s="15"/>
      <c r="ACG101" s="15"/>
      <c r="ACH101" s="15"/>
      <c r="ACI101" s="15"/>
      <c r="ACJ101" s="15"/>
      <c r="ACK101" s="15"/>
      <c r="ACL101" s="15"/>
      <c r="ACM101" s="15"/>
      <c r="ACN101" s="15"/>
      <c r="ACO101" s="15"/>
      <c r="ACP101" s="15"/>
      <c r="ACQ101" s="15"/>
      <c r="ACR101" s="15"/>
      <c r="ACS101" s="15"/>
      <c r="ACT101" s="15"/>
      <c r="ACU101" s="15"/>
      <c r="ACV101" s="15"/>
      <c r="ACW101" s="15"/>
      <c r="ACX101" s="15"/>
      <c r="ACY101" s="15"/>
      <c r="ACZ101" s="15"/>
      <c r="ADA101" s="15"/>
      <c r="ADB101" s="15"/>
      <c r="ADC101" s="15"/>
      <c r="ADD101" s="15"/>
      <c r="ADE101" s="15"/>
      <c r="ADF101" s="15"/>
      <c r="ADG101" s="15"/>
      <c r="ADH101" s="15"/>
      <c r="ADI101" s="15"/>
      <c r="ADJ101" s="15"/>
      <c r="ADK101" s="15"/>
      <c r="ADL101" s="15"/>
      <c r="ADM101" s="15"/>
      <c r="ADN101" s="15"/>
      <c r="ADO101" s="15"/>
      <c r="ADP101" s="15"/>
      <c r="ADQ101" s="15"/>
      <c r="ADR101" s="15"/>
      <c r="ADS101" s="15"/>
      <c r="ADT101" s="15"/>
      <c r="ADU101" s="15"/>
      <c r="ADV101" s="15"/>
      <c r="ADW101" s="15"/>
      <c r="ADX101" s="15"/>
      <c r="ADY101" s="15"/>
      <c r="ADZ101" s="15"/>
      <c r="AEA101" s="15"/>
      <c r="AEB101" s="15"/>
      <c r="AEC101" s="15"/>
      <c r="AED101" s="15"/>
      <c r="AEE101" s="15"/>
      <c r="AEF101" s="15"/>
      <c r="AEG101" s="15"/>
      <c r="AEH101" s="15"/>
      <c r="AEI101" s="15"/>
      <c r="AEJ101" s="15"/>
      <c r="AEK101" s="15"/>
      <c r="AEL101" s="15"/>
      <c r="AEM101" s="15"/>
      <c r="AEN101" s="15"/>
      <c r="AEO101" s="15"/>
      <c r="AEP101" s="15"/>
      <c r="AEQ101" s="15"/>
      <c r="AER101" s="15"/>
      <c r="AES101" s="15"/>
      <c r="AET101" s="15"/>
      <c r="AEU101" s="15"/>
      <c r="AEV101" s="15"/>
      <c r="AEW101" s="15"/>
      <c r="AEX101" s="15"/>
      <c r="AEY101" s="15"/>
      <c r="AEZ101" s="15"/>
      <c r="AFA101" s="15"/>
      <c r="AFB101" s="15"/>
      <c r="AFC101" s="15"/>
      <c r="AFD101" s="15"/>
      <c r="AFE101" s="15"/>
      <c r="AFF101" s="15"/>
      <c r="AFG101" s="15"/>
      <c r="AFH101" s="15"/>
      <c r="AFI101" s="15"/>
      <c r="AFJ101" s="15"/>
      <c r="AFK101" s="15"/>
      <c r="AFL101" s="15"/>
      <c r="AFM101" s="15"/>
      <c r="AFN101" s="15"/>
      <c r="AFO101" s="15"/>
      <c r="AFP101" s="15"/>
      <c r="AFQ101" s="15"/>
      <c r="AFR101" s="15"/>
      <c r="AFS101" s="15"/>
      <c r="AFT101" s="15"/>
      <c r="AFU101" s="15"/>
      <c r="AFV101" s="15"/>
      <c r="AFW101" s="15"/>
      <c r="AFX101" s="15"/>
      <c r="AFY101" s="15"/>
      <c r="AFZ101" s="15"/>
      <c r="AGA101" s="15"/>
      <c r="AGB101" s="15"/>
      <c r="AGC101" s="15"/>
      <c r="AGD101" s="15"/>
      <c r="AGE101" s="15"/>
      <c r="AGF101" s="15"/>
      <c r="AGG101" s="15"/>
      <c r="AGH101" s="15"/>
      <c r="AGI101" s="15"/>
      <c r="AGJ101" s="15"/>
      <c r="AGK101" s="15"/>
      <c r="AGL101" s="15"/>
      <c r="AGM101" s="15"/>
      <c r="AGN101" s="15"/>
      <c r="AGO101" s="15"/>
      <c r="AGP101" s="15"/>
      <c r="AGQ101" s="15"/>
      <c r="AGR101" s="15"/>
      <c r="AGS101" s="15"/>
      <c r="AGT101" s="15"/>
      <c r="AGU101" s="15"/>
      <c r="AGV101" s="15"/>
      <c r="AGW101" s="15"/>
      <c r="AGX101" s="15"/>
      <c r="AGY101" s="15"/>
      <c r="AGZ101" s="15"/>
      <c r="AHA101" s="15"/>
      <c r="AHB101" s="15"/>
      <c r="AHC101" s="15"/>
      <c r="AHD101" s="15"/>
      <c r="AHE101" s="15"/>
      <c r="AHF101" s="15"/>
      <c r="AHG101" s="15"/>
      <c r="AHH101" s="15"/>
      <c r="AHI101" s="15"/>
      <c r="AHJ101" s="15"/>
      <c r="AHK101" s="15"/>
      <c r="AHL101" s="15"/>
      <c r="AHM101" s="15"/>
      <c r="AHN101" s="15"/>
      <c r="AHO101" s="15"/>
      <c r="AHP101" s="15"/>
      <c r="AHQ101" s="15"/>
      <c r="AHR101" s="15"/>
      <c r="AHS101" s="15"/>
      <c r="AHT101" s="15"/>
      <c r="AHU101" s="15"/>
      <c r="AHV101" s="15"/>
      <c r="AHW101" s="15"/>
      <c r="AHX101" s="15"/>
      <c r="AHY101" s="15"/>
      <c r="AHZ101" s="15"/>
      <c r="AIA101" s="15"/>
      <c r="AIB101" s="15"/>
      <c r="AIC101" s="15"/>
      <c r="AID101" s="15"/>
      <c r="AIE101" s="15"/>
      <c r="AIF101" s="15"/>
      <c r="AIG101" s="15"/>
      <c r="AIH101" s="15"/>
      <c r="AII101" s="15"/>
      <c r="AIJ101" s="15"/>
      <c r="AIK101" s="15"/>
      <c r="AIL101" s="15"/>
      <c r="AIM101" s="15"/>
      <c r="AIN101" s="15"/>
      <c r="AIO101" s="15"/>
      <c r="AIP101" s="15"/>
      <c r="AIQ101" s="15"/>
      <c r="AIR101" s="15"/>
      <c r="AIS101" s="15"/>
      <c r="AIT101" s="15"/>
      <c r="AIU101" s="15"/>
      <c r="AIV101" s="15"/>
      <c r="AIW101" s="15"/>
      <c r="AIX101" s="15"/>
      <c r="AIY101" s="15"/>
      <c r="AIZ101" s="15"/>
      <c r="AJA101" s="15"/>
      <c r="AJB101" s="15"/>
      <c r="AJC101" s="15"/>
      <c r="AJD101" s="15"/>
      <c r="AJE101" s="15"/>
      <c r="AJF101" s="15"/>
      <c r="AJG101" s="15"/>
      <c r="AJH101" s="15"/>
      <c r="AJI101" s="15"/>
      <c r="AJJ101" s="15"/>
      <c r="AJK101" s="15"/>
      <c r="AJL101" s="15"/>
      <c r="AJM101" s="15"/>
      <c r="AJN101" s="15"/>
      <c r="AJO101" s="15"/>
      <c r="AJP101" s="15"/>
      <c r="AJQ101" s="15"/>
      <c r="AJR101" s="15"/>
      <c r="AJS101" s="15"/>
      <c r="AJT101" s="15"/>
      <c r="AJU101" s="15"/>
      <c r="AJV101" s="15"/>
      <c r="AJW101" s="15"/>
      <c r="AJX101" s="15"/>
      <c r="AJY101" s="15"/>
      <c r="AJZ101" s="15"/>
      <c r="AKA101" s="15"/>
      <c r="AKB101" s="15"/>
      <c r="AKC101" s="15"/>
      <c r="AKD101" s="15"/>
      <c r="AKE101" s="15"/>
      <c r="AKF101" s="15"/>
      <c r="AKG101" s="15"/>
      <c r="AKH101" s="15"/>
      <c r="AKI101" s="15"/>
      <c r="AKJ101" s="15"/>
      <c r="AKK101" s="15"/>
      <c r="AKL101" s="15"/>
      <c r="AKM101" s="15"/>
      <c r="AKN101" s="15"/>
      <c r="AKO101" s="15"/>
      <c r="AKP101" s="15"/>
      <c r="AKQ101" s="15"/>
      <c r="AKR101" s="15"/>
      <c r="AKS101" s="15"/>
      <c r="AKT101" s="15"/>
      <c r="AKU101" s="15"/>
      <c r="AKV101" s="15"/>
      <c r="AKW101" s="15"/>
      <c r="AKX101" s="15"/>
      <c r="AKY101" s="15"/>
      <c r="AKZ101" s="15"/>
      <c r="ALA101" s="15"/>
      <c r="ALB101" s="15"/>
      <c r="ALC101" s="15"/>
      <c r="ALD101" s="15"/>
      <c r="ALE101" s="15"/>
      <c r="ALF101" s="15"/>
      <c r="ALG101" s="15"/>
      <c r="ALH101" s="15"/>
      <c r="ALI101" s="15"/>
      <c r="ALJ101" s="15"/>
      <c r="ALK101" s="15"/>
      <c r="ALL101" s="15"/>
      <c r="ALM101" s="15"/>
      <c r="ALN101" s="15"/>
      <c r="ALO101" s="15"/>
      <c r="ALP101" s="15"/>
      <c r="ALQ101" s="15"/>
      <c r="ALR101" s="15"/>
      <c r="ALS101" s="15"/>
      <c r="ALT101" s="15"/>
      <c r="ALU101" s="15"/>
      <c r="ALV101" s="15"/>
      <c r="ALW101" s="15"/>
      <c r="ALX101" s="15"/>
      <c r="ALY101" s="15"/>
      <c r="ALZ101" s="15"/>
      <c r="AMA101" s="15"/>
      <c r="AMB101" s="15"/>
      <c r="AMC101" s="15"/>
      <c r="AMD101" s="15"/>
      <c r="AME101" s="15"/>
      <c r="AMF101" s="15"/>
      <c r="AMG101" s="15"/>
      <c r="AMH101" s="15"/>
      <c r="AMI101" s="15"/>
      <c r="AMJ101" s="15"/>
      <c r="AMK101" s="15"/>
      <c r="AML101" s="15"/>
      <c r="AMM101" s="15"/>
      <c r="AMN101" s="15"/>
      <c r="AMO101" s="15"/>
      <c r="AMP101" s="15"/>
      <c r="AMQ101" s="15"/>
      <c r="AMR101" s="15"/>
      <c r="AMS101" s="15"/>
      <c r="AMT101" s="15"/>
      <c r="AMU101" s="15"/>
      <c r="AMV101" s="15"/>
      <c r="AMW101" s="15"/>
      <c r="AMX101" s="15"/>
      <c r="AMY101" s="15"/>
      <c r="AMZ101" s="15"/>
      <c r="ANA101" s="15"/>
      <c r="ANB101" s="15"/>
      <c r="ANC101" s="15"/>
      <c r="AND101" s="15"/>
      <c r="ANE101" s="15"/>
      <c r="ANF101" s="15"/>
      <c r="ANG101" s="15"/>
      <c r="ANH101" s="15"/>
      <c r="ANI101" s="15"/>
      <c r="ANJ101" s="15"/>
      <c r="ANK101" s="15"/>
      <c r="ANL101" s="15"/>
      <c r="ANM101" s="15"/>
      <c r="ANN101" s="15"/>
      <c r="ANO101" s="15"/>
      <c r="ANP101" s="15"/>
      <c r="ANQ101" s="15"/>
      <c r="ANR101" s="15"/>
      <c r="ANS101" s="15"/>
      <c r="ANT101" s="15"/>
      <c r="ANU101" s="15"/>
      <c r="ANV101" s="15"/>
      <c r="ANW101" s="15"/>
      <c r="ANX101" s="15"/>
      <c r="ANY101" s="15"/>
      <c r="ANZ101" s="15"/>
      <c r="AOA101" s="15"/>
      <c r="AOB101" s="15"/>
      <c r="AOC101" s="15"/>
      <c r="AOD101" s="15"/>
      <c r="AOE101" s="15"/>
      <c r="AOF101" s="15"/>
      <c r="AOG101" s="15"/>
      <c r="AOH101" s="15"/>
      <c r="AOI101" s="15"/>
      <c r="AOJ101" s="15"/>
      <c r="AOK101" s="15"/>
      <c r="AOL101" s="15"/>
      <c r="AOM101" s="15"/>
      <c r="AON101" s="15"/>
      <c r="AOO101" s="15"/>
      <c r="AOP101" s="15"/>
      <c r="AOQ101" s="15"/>
      <c r="AOR101" s="15"/>
      <c r="AOS101" s="15"/>
      <c r="AOT101" s="15"/>
      <c r="AOU101" s="15"/>
      <c r="AOV101" s="15"/>
      <c r="AOW101" s="15"/>
      <c r="AOX101" s="15"/>
      <c r="AOY101" s="15"/>
      <c r="AOZ101" s="15"/>
      <c r="APA101" s="15"/>
      <c r="APB101" s="15"/>
      <c r="APC101" s="15"/>
      <c r="APD101" s="15"/>
      <c r="APE101" s="15"/>
      <c r="APF101" s="15"/>
      <c r="APG101" s="15"/>
      <c r="APH101" s="15"/>
      <c r="API101" s="15"/>
      <c r="APJ101" s="15"/>
      <c r="APK101" s="15"/>
      <c r="APL101" s="15"/>
      <c r="APM101" s="15"/>
      <c r="APN101" s="15"/>
      <c r="APO101" s="15"/>
      <c r="APP101" s="15"/>
      <c r="APQ101" s="15"/>
      <c r="APR101" s="15"/>
      <c r="APS101" s="15"/>
      <c r="APT101" s="15"/>
      <c r="APU101" s="15"/>
      <c r="APV101" s="15"/>
      <c r="APW101" s="15"/>
      <c r="APX101" s="15"/>
      <c r="APY101" s="15"/>
      <c r="APZ101" s="15"/>
      <c r="AQA101" s="15"/>
      <c r="AQB101" s="15"/>
      <c r="AQC101" s="15"/>
      <c r="AQD101" s="15"/>
      <c r="AQE101" s="15"/>
      <c r="AQF101" s="15"/>
      <c r="AQG101" s="15"/>
      <c r="AQH101" s="15"/>
      <c r="AQI101" s="15"/>
      <c r="AQJ101" s="15"/>
      <c r="AQK101" s="15"/>
      <c r="AQL101" s="15"/>
      <c r="AQM101" s="15"/>
      <c r="AQN101" s="15"/>
      <c r="AQO101" s="15"/>
      <c r="AQP101" s="15"/>
      <c r="AQQ101" s="15"/>
      <c r="AQR101" s="15"/>
      <c r="AQS101" s="15"/>
      <c r="AQT101" s="15"/>
      <c r="AQU101" s="15"/>
      <c r="AQV101" s="15"/>
      <c r="AQW101" s="15"/>
      <c r="AQX101" s="15"/>
      <c r="AQY101" s="15"/>
      <c r="AQZ101" s="15"/>
      <c r="ARA101" s="15"/>
      <c r="ARB101" s="15"/>
      <c r="ARC101" s="15"/>
      <c r="ARD101" s="15"/>
      <c r="ARE101" s="15"/>
      <c r="ARF101" s="15"/>
      <c r="ARG101" s="15"/>
      <c r="ARH101" s="15"/>
      <c r="ARI101" s="15"/>
      <c r="ARJ101" s="15"/>
      <c r="ARK101" s="15"/>
      <c r="ARL101" s="15"/>
      <c r="ARM101" s="15"/>
      <c r="ARN101" s="15"/>
      <c r="ARO101" s="15"/>
      <c r="ARP101" s="15"/>
      <c r="ARQ101" s="15"/>
      <c r="ARR101" s="15"/>
      <c r="ARS101" s="15"/>
      <c r="ART101" s="15"/>
      <c r="ARU101" s="15"/>
      <c r="ARV101" s="15"/>
      <c r="ARW101" s="15"/>
      <c r="ARX101" s="15"/>
      <c r="ARY101" s="15"/>
      <c r="ARZ101" s="15"/>
      <c r="ASA101" s="15"/>
      <c r="ASB101" s="15"/>
      <c r="ASC101" s="15"/>
      <c r="ASD101" s="15"/>
      <c r="ASE101" s="15"/>
      <c r="ASF101" s="15"/>
      <c r="ASG101" s="15"/>
      <c r="ASH101" s="15"/>
      <c r="ASI101" s="15"/>
      <c r="ASJ101" s="15"/>
      <c r="ASK101" s="15"/>
      <c r="ASL101" s="15"/>
      <c r="ASM101" s="15"/>
      <c r="ASN101" s="15"/>
      <c r="ASO101" s="15"/>
      <c r="ASP101" s="15"/>
      <c r="ASQ101" s="15"/>
      <c r="ASR101" s="15"/>
      <c r="ASS101" s="15"/>
      <c r="AST101" s="15"/>
      <c r="ASU101" s="15"/>
      <c r="ASV101" s="15"/>
      <c r="ASW101" s="15"/>
      <c r="ASX101" s="15"/>
      <c r="ASY101" s="15"/>
      <c r="ASZ101" s="15"/>
      <c r="ATA101" s="15"/>
      <c r="ATB101" s="15"/>
      <c r="ATC101" s="15"/>
      <c r="ATD101" s="15"/>
      <c r="ATE101" s="15"/>
      <c r="ATF101" s="15"/>
      <c r="ATG101" s="15"/>
      <c r="ATH101" s="15"/>
      <c r="ATI101" s="15"/>
      <c r="ATJ101" s="15"/>
      <c r="ATK101" s="15"/>
      <c r="ATL101" s="15"/>
      <c r="ATM101" s="15"/>
      <c r="ATN101" s="15"/>
      <c r="ATO101" s="15"/>
      <c r="ATP101" s="15"/>
      <c r="ATQ101" s="15"/>
      <c r="ATR101" s="15"/>
      <c r="ATS101" s="15"/>
      <c r="ATT101" s="15"/>
      <c r="ATU101" s="15"/>
      <c r="ATV101" s="15"/>
      <c r="ATW101" s="15"/>
      <c r="ATX101" s="15"/>
      <c r="ATY101" s="15"/>
      <c r="ATZ101" s="15"/>
      <c r="AUA101" s="15"/>
      <c r="AUB101" s="15"/>
      <c r="AUC101" s="15"/>
      <c r="AUD101" s="15"/>
      <c r="AUE101" s="15"/>
      <c r="AUF101" s="15"/>
      <c r="AUG101" s="15"/>
      <c r="AUH101" s="15"/>
      <c r="AUI101" s="15"/>
      <c r="AUJ101" s="15"/>
      <c r="AUK101" s="15"/>
      <c r="AUL101" s="15"/>
      <c r="AUM101" s="15"/>
      <c r="AUN101" s="15"/>
      <c r="AUO101" s="15"/>
      <c r="AUP101" s="15"/>
      <c r="AUQ101" s="15"/>
      <c r="AUR101" s="15"/>
      <c r="AUS101" s="15"/>
      <c r="AUT101" s="15"/>
      <c r="AUU101" s="15"/>
      <c r="AUV101" s="15"/>
      <c r="AUW101" s="15"/>
      <c r="AUX101" s="15"/>
      <c r="AUY101" s="15"/>
      <c r="AUZ101" s="15"/>
      <c r="AVA101" s="15"/>
      <c r="AVB101" s="15"/>
      <c r="AVC101" s="15"/>
      <c r="AVD101" s="15"/>
      <c r="AVE101" s="15"/>
      <c r="AVF101" s="15"/>
      <c r="AVG101" s="15"/>
      <c r="AVH101" s="15"/>
      <c r="AVI101" s="15"/>
      <c r="AVJ101" s="15"/>
      <c r="AVK101" s="15"/>
      <c r="AVL101" s="15"/>
      <c r="AVM101" s="15"/>
      <c r="AVN101" s="15"/>
      <c r="AVO101" s="15"/>
      <c r="AVP101" s="15"/>
      <c r="AVQ101" s="15"/>
      <c r="AVR101" s="15"/>
      <c r="AVS101" s="15"/>
      <c r="AVT101" s="15"/>
      <c r="AVU101" s="15"/>
      <c r="AVV101" s="15"/>
      <c r="AVW101" s="15"/>
      <c r="AVX101" s="15"/>
      <c r="AVY101" s="15"/>
      <c r="AVZ101" s="15"/>
      <c r="AWA101" s="15"/>
      <c r="AWB101" s="15"/>
      <c r="AWC101" s="15"/>
      <c r="AWD101" s="15"/>
      <c r="AWE101" s="15"/>
      <c r="AWF101" s="15"/>
      <c r="AWG101" s="15"/>
      <c r="AWH101" s="15"/>
      <c r="AWI101" s="15"/>
      <c r="AWJ101" s="15"/>
      <c r="AWK101" s="15"/>
      <c r="AWL101" s="15"/>
      <c r="AWM101" s="15"/>
      <c r="AWN101" s="15"/>
      <c r="AWO101" s="15"/>
      <c r="AWP101" s="15"/>
      <c r="AWQ101" s="15"/>
      <c r="AWR101" s="15"/>
      <c r="AWS101" s="15"/>
      <c r="AWT101" s="15"/>
      <c r="AWU101" s="15"/>
      <c r="AWV101" s="15"/>
      <c r="AWW101" s="15"/>
      <c r="AWX101" s="15"/>
      <c r="AWY101" s="15"/>
      <c r="AWZ101" s="15"/>
      <c r="AXA101" s="15"/>
      <c r="AXB101" s="15"/>
      <c r="AXC101" s="15"/>
      <c r="AXD101" s="15"/>
      <c r="AXE101" s="15"/>
      <c r="AXF101" s="15"/>
      <c r="AXG101" s="15"/>
      <c r="AXH101" s="15"/>
      <c r="AXI101" s="15"/>
      <c r="AXJ101" s="15"/>
      <c r="AXK101" s="15"/>
      <c r="AXL101" s="15"/>
      <c r="AXM101" s="15"/>
      <c r="AXN101" s="15"/>
      <c r="AXO101" s="15"/>
      <c r="AXP101" s="15"/>
      <c r="AXQ101" s="15"/>
      <c r="AXR101" s="15"/>
      <c r="AXS101" s="15"/>
      <c r="AXT101" s="15"/>
      <c r="AXU101" s="15"/>
      <c r="AXV101" s="15"/>
      <c r="AXW101" s="15"/>
      <c r="AXX101" s="15"/>
      <c r="AXY101" s="15"/>
      <c r="AXZ101" s="15"/>
      <c r="AYA101" s="15"/>
      <c r="AYB101" s="15"/>
      <c r="AYC101" s="15"/>
      <c r="AYD101" s="15"/>
      <c r="AYE101" s="15"/>
      <c r="AYF101" s="15"/>
      <c r="AYG101" s="15"/>
      <c r="AYH101" s="15"/>
      <c r="AYI101" s="15"/>
      <c r="AYJ101" s="15"/>
      <c r="AYK101" s="15"/>
      <c r="AYL101" s="15"/>
      <c r="AYM101" s="15"/>
      <c r="AYN101" s="15"/>
      <c r="AYO101" s="15"/>
      <c r="AYP101" s="15"/>
      <c r="AYQ101" s="15"/>
      <c r="AYR101" s="15"/>
      <c r="AYS101" s="15"/>
      <c r="AYT101" s="15"/>
      <c r="AYU101" s="15"/>
      <c r="AYV101" s="15"/>
      <c r="AYW101" s="15"/>
      <c r="AYX101" s="15"/>
      <c r="AYY101" s="15"/>
      <c r="AYZ101" s="15"/>
      <c r="AZA101" s="15"/>
      <c r="AZB101" s="15"/>
      <c r="AZC101" s="15"/>
      <c r="AZD101" s="15"/>
      <c r="AZE101" s="15"/>
      <c r="AZF101" s="15"/>
      <c r="AZG101" s="15"/>
      <c r="AZH101" s="15"/>
      <c r="AZI101" s="15"/>
      <c r="AZJ101" s="15"/>
      <c r="AZK101" s="15"/>
      <c r="AZL101" s="15"/>
      <c r="AZM101" s="15"/>
      <c r="AZN101" s="15"/>
      <c r="AZO101" s="15"/>
      <c r="AZP101" s="15"/>
      <c r="AZQ101" s="15"/>
      <c r="AZR101" s="15"/>
      <c r="AZS101" s="15"/>
      <c r="AZT101" s="15"/>
      <c r="AZU101" s="15"/>
      <c r="AZV101" s="15"/>
      <c r="AZW101" s="15"/>
      <c r="AZX101" s="15"/>
      <c r="AZY101" s="15"/>
      <c r="AZZ101" s="15"/>
      <c r="BAA101" s="15"/>
      <c r="BAB101" s="15"/>
      <c r="BAC101" s="15"/>
      <c r="BAD101" s="15"/>
      <c r="BAE101" s="15"/>
      <c r="BAF101" s="15"/>
      <c r="BAG101" s="15"/>
      <c r="BAH101" s="15"/>
      <c r="BAI101" s="15"/>
      <c r="BAJ101" s="15"/>
      <c r="BAK101" s="15"/>
      <c r="BAL101" s="15"/>
      <c r="BAM101" s="15"/>
      <c r="BAN101" s="15"/>
      <c r="BAO101" s="15"/>
      <c r="BAP101" s="15"/>
      <c r="BAQ101" s="15"/>
      <c r="BAR101" s="15"/>
      <c r="BAS101" s="15"/>
      <c r="BAT101" s="15"/>
      <c r="BAU101" s="15"/>
      <c r="BAV101" s="15"/>
      <c r="BAW101" s="15"/>
      <c r="BAX101" s="15"/>
      <c r="BAY101" s="15"/>
      <c r="BAZ101" s="15"/>
      <c r="BBA101" s="15"/>
      <c r="BBB101" s="15"/>
      <c r="BBC101" s="15"/>
      <c r="BBD101" s="15"/>
      <c r="BBE101" s="15"/>
      <c r="BBF101" s="15"/>
      <c r="BBG101" s="15"/>
      <c r="BBH101" s="15"/>
      <c r="BBI101" s="15"/>
      <c r="BBJ101" s="15"/>
      <c r="BBK101" s="15"/>
      <c r="BBL101" s="15"/>
      <c r="BBM101" s="15"/>
      <c r="BBN101" s="15"/>
      <c r="BBO101" s="15"/>
      <c r="BBP101" s="15"/>
      <c r="BBQ101" s="15"/>
      <c r="BBR101" s="15"/>
      <c r="BBS101" s="15"/>
      <c r="BBT101" s="15"/>
      <c r="BBU101" s="15"/>
      <c r="BBV101" s="15"/>
      <c r="BBW101" s="15"/>
      <c r="BBX101" s="15"/>
      <c r="BBY101" s="15"/>
      <c r="BBZ101" s="15"/>
      <c r="BCA101" s="15"/>
      <c r="BCB101" s="15"/>
      <c r="BCC101" s="15"/>
      <c r="BCD101" s="15"/>
      <c r="BCE101" s="15"/>
      <c r="BCF101" s="15"/>
      <c r="BCG101" s="15"/>
      <c r="BCH101" s="15"/>
      <c r="BCI101" s="15"/>
      <c r="BCJ101" s="15"/>
      <c r="BCK101" s="15"/>
      <c r="BCL101" s="15"/>
      <c r="BCM101" s="15"/>
      <c r="BCN101" s="15"/>
      <c r="BCO101" s="15"/>
      <c r="BCP101" s="15"/>
      <c r="BCQ101" s="15"/>
      <c r="BCR101" s="15"/>
      <c r="BCS101" s="15"/>
      <c r="BCT101" s="15"/>
      <c r="BCU101" s="15"/>
      <c r="BCV101" s="15"/>
      <c r="BCW101" s="15"/>
      <c r="BCX101" s="15"/>
      <c r="BCY101" s="15"/>
      <c r="BCZ101" s="15"/>
      <c r="BDA101" s="15"/>
      <c r="BDB101" s="15"/>
      <c r="BDC101" s="15"/>
      <c r="BDD101" s="15"/>
      <c r="BDE101" s="15"/>
      <c r="BDF101" s="15"/>
      <c r="BDG101" s="15"/>
      <c r="BDH101" s="15"/>
      <c r="BDI101" s="15"/>
      <c r="BDJ101" s="15"/>
      <c r="BDK101" s="15"/>
      <c r="BDL101" s="15"/>
      <c r="BDM101" s="15"/>
      <c r="BDN101" s="15"/>
      <c r="BDO101" s="15"/>
      <c r="BDP101" s="15"/>
      <c r="BDQ101" s="15"/>
      <c r="BDR101" s="15"/>
      <c r="BDS101" s="15"/>
      <c r="BDT101" s="15"/>
      <c r="BDU101" s="15"/>
      <c r="BDV101" s="15"/>
      <c r="BDW101" s="15"/>
      <c r="BDX101" s="15"/>
      <c r="BDY101" s="15"/>
      <c r="BDZ101" s="15"/>
      <c r="BEA101" s="15"/>
      <c r="BEB101" s="15"/>
      <c r="BEC101" s="15"/>
      <c r="BED101" s="15"/>
      <c r="BEE101" s="15"/>
      <c r="BEF101" s="15"/>
      <c r="BEG101" s="15"/>
      <c r="BEH101" s="15"/>
      <c r="BEI101" s="15"/>
      <c r="BEJ101" s="15"/>
      <c r="BEK101" s="15"/>
      <c r="BEL101" s="15"/>
      <c r="BEM101" s="15"/>
      <c r="BEN101" s="15"/>
      <c r="BEO101" s="15"/>
      <c r="BEP101" s="15"/>
      <c r="BEQ101" s="15"/>
      <c r="BER101" s="15"/>
      <c r="BES101" s="15"/>
      <c r="BET101" s="15"/>
      <c r="BEU101" s="15"/>
      <c r="BEV101" s="15"/>
      <c r="BEW101" s="15"/>
      <c r="BEX101" s="15"/>
      <c r="BEY101" s="15"/>
      <c r="BEZ101" s="15"/>
      <c r="BFA101" s="15"/>
      <c r="BFB101" s="15"/>
      <c r="BFC101" s="15"/>
      <c r="BFD101" s="15"/>
      <c r="BFE101" s="15"/>
      <c r="BFF101" s="15"/>
      <c r="BFG101" s="15"/>
      <c r="BFH101" s="15"/>
      <c r="BFI101" s="15"/>
      <c r="BFJ101" s="15"/>
      <c r="BFK101" s="15"/>
      <c r="BFL101" s="15"/>
      <c r="BFM101" s="15"/>
      <c r="BFN101" s="15"/>
      <c r="BFO101" s="15"/>
      <c r="BFP101" s="15"/>
      <c r="BFQ101" s="15"/>
      <c r="BFR101" s="15"/>
      <c r="BFS101" s="15"/>
      <c r="BFT101" s="15"/>
      <c r="BFU101" s="15"/>
      <c r="BFV101" s="15"/>
      <c r="BFW101" s="15"/>
      <c r="BFX101" s="15"/>
      <c r="BFY101" s="15"/>
      <c r="BFZ101" s="15"/>
      <c r="BGA101" s="15"/>
      <c r="BGB101" s="15"/>
      <c r="BGC101" s="15"/>
      <c r="BGD101" s="15"/>
      <c r="BGE101" s="15"/>
      <c r="BGF101" s="15"/>
      <c r="BGG101" s="15"/>
      <c r="BGH101" s="15"/>
      <c r="BGI101" s="15"/>
      <c r="BGJ101" s="15"/>
      <c r="BGK101" s="15"/>
      <c r="BGL101" s="15"/>
      <c r="BGM101" s="15"/>
      <c r="BGN101" s="15"/>
      <c r="BGO101" s="15"/>
      <c r="BGP101" s="15"/>
      <c r="BGQ101" s="15"/>
      <c r="BGR101" s="15"/>
      <c r="BGS101" s="15"/>
      <c r="BGT101" s="15"/>
      <c r="BGU101" s="15"/>
      <c r="BGV101" s="15"/>
      <c r="BGW101" s="15"/>
      <c r="BGX101" s="15"/>
      <c r="BGY101" s="15"/>
      <c r="BGZ101" s="15"/>
      <c r="BHA101" s="15"/>
      <c r="BHB101" s="15"/>
      <c r="BHC101" s="15"/>
      <c r="BHD101" s="15"/>
      <c r="BHE101" s="15"/>
      <c r="BHF101" s="15"/>
      <c r="BHG101" s="15"/>
      <c r="BHH101" s="15"/>
      <c r="BHI101" s="15"/>
      <c r="BHJ101" s="15"/>
      <c r="BHK101" s="15"/>
      <c r="BHL101" s="15"/>
      <c r="BHM101" s="15"/>
      <c r="BHN101" s="15"/>
      <c r="BHO101" s="15"/>
      <c r="BHP101" s="15"/>
      <c r="BHQ101" s="15"/>
      <c r="BHR101" s="15"/>
      <c r="BHS101" s="15"/>
      <c r="BHT101" s="15"/>
      <c r="BHU101" s="15"/>
      <c r="BHV101" s="15"/>
      <c r="BHW101" s="15"/>
      <c r="BHX101" s="15"/>
      <c r="BHY101" s="15"/>
      <c r="BHZ101" s="15"/>
      <c r="BIA101" s="15"/>
      <c r="BIB101" s="15"/>
      <c r="BIC101" s="15"/>
      <c r="BID101" s="15"/>
      <c r="BIE101" s="15"/>
      <c r="BIF101" s="15"/>
      <c r="BIG101" s="15"/>
      <c r="BIH101" s="15"/>
      <c r="BII101" s="15"/>
      <c r="BIJ101" s="15"/>
      <c r="BIK101" s="15"/>
      <c r="BIL101" s="15"/>
      <c r="BIM101" s="15"/>
      <c r="BIN101" s="15"/>
      <c r="BIO101" s="15"/>
      <c r="BIP101" s="15"/>
      <c r="BIQ101" s="15"/>
      <c r="BIR101" s="15"/>
      <c r="BIS101" s="15"/>
      <c r="BIT101" s="15"/>
      <c r="BIU101" s="15"/>
      <c r="BIV101" s="15"/>
      <c r="BIW101" s="15"/>
      <c r="BIX101" s="15"/>
      <c r="BIY101" s="15"/>
      <c r="BIZ101" s="15"/>
      <c r="BJA101" s="15"/>
      <c r="BJB101" s="15"/>
      <c r="BJC101" s="15"/>
      <c r="BJD101" s="15"/>
      <c r="BJE101" s="15"/>
      <c r="BJF101" s="15"/>
      <c r="BJG101" s="15"/>
      <c r="BJH101" s="15"/>
      <c r="BJI101" s="15"/>
      <c r="BJJ101" s="15"/>
      <c r="BJK101" s="15"/>
      <c r="BJL101" s="15"/>
      <c r="BJM101" s="15"/>
      <c r="BJN101" s="15"/>
      <c r="BJO101" s="15"/>
      <c r="BJP101" s="15"/>
      <c r="BJQ101" s="15"/>
      <c r="BJR101" s="15"/>
      <c r="BJS101" s="15"/>
      <c r="BJT101" s="15"/>
      <c r="BJU101" s="15"/>
      <c r="BJV101" s="15"/>
      <c r="BJW101" s="15"/>
      <c r="BJX101" s="15"/>
      <c r="BJY101" s="15"/>
      <c r="BJZ101" s="15"/>
      <c r="BKA101" s="15"/>
      <c r="BKB101" s="15"/>
      <c r="BKC101" s="15"/>
      <c r="BKD101" s="15"/>
      <c r="BKE101" s="15"/>
      <c r="BKF101" s="15"/>
      <c r="BKG101" s="15"/>
      <c r="BKH101" s="15"/>
      <c r="BKI101" s="15"/>
      <c r="BKJ101" s="15"/>
      <c r="BKK101" s="15"/>
      <c r="BKL101" s="15"/>
      <c r="BKM101" s="15"/>
      <c r="BKN101" s="15"/>
      <c r="BKO101" s="15"/>
      <c r="BKP101" s="15"/>
      <c r="BKQ101" s="15"/>
      <c r="BKR101" s="15"/>
      <c r="BKS101" s="15"/>
      <c r="BKT101" s="15"/>
      <c r="BKU101" s="15"/>
      <c r="BKV101" s="15"/>
      <c r="BKW101" s="15"/>
      <c r="BKX101" s="15"/>
      <c r="BKY101" s="15"/>
      <c r="BKZ101" s="15"/>
      <c r="BLA101" s="15"/>
      <c r="BLB101" s="15"/>
      <c r="BLC101" s="15"/>
      <c r="BLD101" s="15"/>
      <c r="BLE101" s="15"/>
      <c r="BLF101" s="15"/>
      <c r="BLG101" s="15"/>
      <c r="BLH101" s="15"/>
      <c r="BLI101" s="15"/>
      <c r="BLJ101" s="15"/>
      <c r="BLK101" s="15"/>
      <c r="BLL101" s="15"/>
      <c r="BLM101" s="15"/>
      <c r="BLN101" s="15"/>
      <c r="BLO101" s="15"/>
      <c r="BLP101" s="15"/>
      <c r="BLQ101" s="15"/>
      <c r="BLR101" s="15"/>
      <c r="BLS101" s="15"/>
      <c r="BLT101" s="15"/>
      <c r="BLU101" s="15"/>
      <c r="BLV101" s="15"/>
      <c r="BLW101" s="15"/>
      <c r="BLX101" s="15"/>
      <c r="BLY101" s="15"/>
      <c r="BLZ101" s="15"/>
      <c r="BMA101" s="15"/>
      <c r="BMB101" s="15"/>
      <c r="BMC101" s="15"/>
      <c r="BMD101" s="15"/>
      <c r="BME101" s="15"/>
      <c r="BMF101" s="15"/>
      <c r="BMG101" s="15"/>
      <c r="BMH101" s="15"/>
      <c r="BMI101" s="15"/>
      <c r="BMJ101" s="15"/>
      <c r="BMK101" s="15"/>
      <c r="BML101" s="15"/>
      <c r="BMM101" s="15"/>
      <c r="BMN101" s="15"/>
      <c r="BMO101" s="15"/>
      <c r="BMP101" s="15"/>
      <c r="BMQ101" s="15"/>
      <c r="BMR101" s="15"/>
      <c r="BMS101" s="15"/>
      <c r="BMT101" s="15"/>
      <c r="BMU101" s="15"/>
      <c r="BMV101" s="15"/>
      <c r="BMW101" s="15"/>
      <c r="BMX101" s="15"/>
      <c r="BMY101" s="15"/>
      <c r="BMZ101" s="15"/>
      <c r="BNA101" s="15"/>
      <c r="BNB101" s="15"/>
      <c r="BNC101" s="15"/>
      <c r="BND101" s="15"/>
      <c r="BNE101" s="15"/>
      <c r="BNF101" s="15"/>
      <c r="BNG101" s="15"/>
      <c r="BNH101" s="15"/>
      <c r="BNI101" s="15"/>
      <c r="BNJ101" s="15"/>
      <c r="BNK101" s="15"/>
      <c r="BNL101" s="15"/>
      <c r="BNM101" s="15"/>
      <c r="BNN101" s="15"/>
      <c r="BNO101" s="15"/>
      <c r="BNP101" s="15"/>
      <c r="BNQ101" s="15"/>
      <c r="BNR101" s="15"/>
      <c r="BNS101" s="15"/>
      <c r="BNT101" s="15"/>
      <c r="BNU101" s="15"/>
      <c r="BNV101" s="15"/>
      <c r="BNW101" s="15"/>
      <c r="BNX101" s="15"/>
      <c r="BNY101" s="15"/>
      <c r="BNZ101" s="15"/>
      <c r="BOA101" s="15"/>
      <c r="BOB101" s="15"/>
      <c r="BOC101" s="15"/>
      <c r="BOD101" s="15"/>
      <c r="BOE101" s="15"/>
      <c r="BOF101" s="15"/>
      <c r="BOG101" s="15"/>
      <c r="BOH101" s="15"/>
      <c r="BOI101" s="15"/>
      <c r="BOJ101" s="15"/>
      <c r="BOK101" s="15"/>
      <c r="BOL101" s="15"/>
      <c r="BOM101" s="15"/>
      <c r="BON101" s="15"/>
      <c r="BOO101" s="15"/>
      <c r="BOP101" s="15"/>
      <c r="BOQ101" s="15"/>
      <c r="BOR101" s="15"/>
      <c r="BOS101" s="15"/>
      <c r="BOT101" s="15"/>
      <c r="BOU101" s="15"/>
      <c r="BOV101" s="15"/>
      <c r="BOW101" s="15"/>
      <c r="BOX101" s="15"/>
      <c r="BOY101" s="15"/>
      <c r="BOZ101" s="15"/>
      <c r="BPA101" s="15"/>
      <c r="BPB101" s="15"/>
      <c r="BPC101" s="15"/>
      <c r="BPD101" s="15"/>
      <c r="BPE101" s="15"/>
      <c r="BPF101" s="15"/>
      <c r="BPG101" s="15"/>
      <c r="BPH101" s="15"/>
      <c r="BPI101" s="15"/>
      <c r="BPJ101" s="15"/>
      <c r="BPK101" s="15"/>
      <c r="BPL101" s="15"/>
      <c r="BPM101" s="15"/>
      <c r="BPN101" s="15"/>
      <c r="BPO101" s="15"/>
      <c r="BPP101" s="15"/>
      <c r="BPQ101" s="15"/>
      <c r="BPR101" s="15"/>
      <c r="BPS101" s="15"/>
      <c r="BPT101" s="15"/>
      <c r="BPU101" s="15"/>
      <c r="BPV101" s="15"/>
      <c r="BPW101" s="15"/>
      <c r="BPX101" s="15"/>
      <c r="BPY101" s="15"/>
      <c r="BPZ101" s="15"/>
      <c r="BQA101" s="15"/>
      <c r="BQB101" s="15"/>
      <c r="BQC101" s="15"/>
      <c r="BQD101" s="15"/>
      <c r="BQE101" s="15"/>
      <c r="BQF101" s="15"/>
      <c r="BQG101" s="15"/>
      <c r="BQH101" s="15"/>
      <c r="BQI101" s="15"/>
      <c r="BQJ101" s="15"/>
      <c r="BQK101" s="15"/>
      <c r="BQL101" s="15"/>
      <c r="BQM101" s="15"/>
      <c r="BQN101" s="15"/>
      <c r="BQO101" s="15"/>
      <c r="BQP101" s="15"/>
      <c r="BQQ101" s="15"/>
      <c r="BQR101" s="15"/>
      <c r="BQS101" s="15"/>
      <c r="BQT101" s="15"/>
      <c r="BQU101" s="15"/>
      <c r="BQV101" s="15"/>
      <c r="BQW101" s="15"/>
      <c r="BQX101" s="15"/>
      <c r="BQY101" s="15"/>
      <c r="BQZ101" s="15"/>
      <c r="BRA101" s="15"/>
      <c r="BRB101" s="15"/>
      <c r="BRC101" s="15"/>
      <c r="BRD101" s="15"/>
      <c r="BRE101" s="15"/>
      <c r="BRF101" s="15"/>
      <c r="BRG101" s="15"/>
      <c r="BRH101" s="15"/>
      <c r="BRI101" s="15"/>
      <c r="BRJ101" s="15"/>
      <c r="BRK101" s="15"/>
      <c r="BRL101" s="15"/>
      <c r="BRM101" s="15"/>
      <c r="BRN101" s="15"/>
      <c r="BRO101" s="15"/>
      <c r="BRP101" s="15"/>
      <c r="BRQ101" s="15"/>
      <c r="BRR101" s="15"/>
      <c r="BRS101" s="15"/>
      <c r="BRT101" s="15"/>
      <c r="BRU101" s="15"/>
      <c r="BRV101" s="15"/>
      <c r="BRW101" s="15"/>
      <c r="BRX101" s="15"/>
      <c r="BRY101" s="15"/>
      <c r="BRZ101" s="15"/>
      <c r="BSA101" s="15"/>
      <c r="BSB101" s="15"/>
      <c r="BSC101" s="15"/>
      <c r="BSD101" s="15"/>
      <c r="BSE101" s="15"/>
      <c r="BSF101" s="15"/>
      <c r="BSG101" s="15"/>
      <c r="BSH101" s="15"/>
      <c r="BSI101" s="15"/>
      <c r="BSJ101" s="15"/>
      <c r="BSK101" s="15"/>
      <c r="BSL101" s="15"/>
      <c r="BSM101" s="15"/>
      <c r="BSN101" s="15"/>
      <c r="BSO101" s="15"/>
      <c r="BSP101" s="15"/>
      <c r="BSQ101" s="15"/>
      <c r="BSR101" s="15"/>
      <c r="BSS101" s="15"/>
      <c r="BST101" s="15"/>
      <c r="BSU101" s="15"/>
      <c r="BSV101" s="15"/>
      <c r="BSW101" s="15"/>
      <c r="BSX101" s="15"/>
      <c r="BSY101" s="15"/>
      <c r="BSZ101" s="15"/>
      <c r="BTA101" s="15"/>
      <c r="BTB101" s="15"/>
      <c r="BTC101" s="15"/>
      <c r="BTD101" s="15"/>
      <c r="BTE101" s="15"/>
      <c r="BTF101" s="15"/>
      <c r="BTG101" s="15"/>
      <c r="BTH101" s="15"/>
      <c r="BTI101" s="15"/>
      <c r="BTJ101" s="15"/>
      <c r="BTK101" s="15"/>
      <c r="BTL101" s="15"/>
      <c r="BTM101" s="15"/>
      <c r="BTN101" s="15"/>
      <c r="BTO101" s="15"/>
      <c r="BTP101" s="15"/>
      <c r="BTQ101" s="15"/>
      <c r="BTR101" s="15"/>
      <c r="BTS101" s="15"/>
      <c r="BTT101" s="15"/>
      <c r="BTU101" s="15"/>
      <c r="BTV101" s="15"/>
      <c r="BTW101" s="15"/>
      <c r="BTX101" s="15"/>
      <c r="BTY101" s="15"/>
      <c r="BTZ101" s="15"/>
      <c r="BUA101" s="15"/>
      <c r="BUB101" s="15"/>
      <c r="BUC101" s="15"/>
      <c r="BUD101" s="15"/>
      <c r="BUE101" s="15"/>
      <c r="BUF101" s="15"/>
      <c r="BUG101" s="15"/>
      <c r="BUH101" s="15"/>
      <c r="BUI101" s="15"/>
      <c r="BUJ101" s="15"/>
      <c r="BUK101" s="15"/>
      <c r="BUL101" s="15"/>
      <c r="BUM101" s="15"/>
      <c r="BUN101" s="15"/>
      <c r="BUO101" s="15"/>
      <c r="BUP101" s="15"/>
      <c r="BUQ101" s="15"/>
      <c r="BUR101" s="15"/>
      <c r="BUS101" s="15"/>
      <c r="BUT101" s="15"/>
      <c r="BUU101" s="15"/>
      <c r="BUV101" s="15"/>
      <c r="BUW101" s="15"/>
      <c r="BUX101" s="15"/>
      <c r="BUY101" s="15"/>
      <c r="BUZ101" s="15"/>
      <c r="BVA101" s="15"/>
      <c r="BVB101" s="15"/>
      <c r="BVC101" s="15"/>
      <c r="BVD101" s="15"/>
      <c r="BVE101" s="15"/>
      <c r="BVF101" s="15"/>
      <c r="BVG101" s="15"/>
      <c r="BVH101" s="15"/>
      <c r="BVI101" s="15"/>
      <c r="BVJ101" s="15"/>
      <c r="BVK101" s="15"/>
      <c r="BVL101" s="15"/>
      <c r="BVM101" s="15"/>
      <c r="BVN101" s="15"/>
      <c r="BVO101" s="15"/>
      <c r="BVP101" s="15"/>
      <c r="BVQ101" s="15"/>
      <c r="BVR101" s="15"/>
      <c r="BVS101" s="15"/>
      <c r="BVT101" s="15"/>
      <c r="BVU101" s="15"/>
      <c r="BVV101" s="15"/>
      <c r="BVW101" s="15"/>
      <c r="BVX101" s="15"/>
      <c r="BVY101" s="15"/>
      <c r="BVZ101" s="15"/>
      <c r="BWA101" s="15"/>
      <c r="BWB101" s="15"/>
      <c r="BWC101" s="15"/>
      <c r="BWD101" s="15"/>
      <c r="BWE101" s="15"/>
      <c r="BWF101" s="15"/>
      <c r="BWG101" s="15"/>
      <c r="BWH101" s="15"/>
      <c r="BWI101" s="15"/>
      <c r="BWJ101" s="15"/>
      <c r="BWK101" s="15"/>
      <c r="BWL101" s="15"/>
      <c r="BWM101" s="15"/>
      <c r="BWN101" s="15"/>
      <c r="BWO101" s="15"/>
      <c r="BWP101" s="15"/>
      <c r="BWQ101" s="15"/>
      <c r="BWR101" s="15"/>
      <c r="BWS101" s="15"/>
      <c r="BWT101" s="15"/>
      <c r="BWU101" s="15"/>
      <c r="BWV101" s="15"/>
      <c r="BWW101" s="15"/>
      <c r="BWX101" s="15"/>
      <c r="BWY101" s="15"/>
      <c r="BWZ101" s="15"/>
      <c r="BXA101" s="15"/>
      <c r="BXB101" s="15"/>
      <c r="BXC101" s="15"/>
      <c r="BXD101" s="15"/>
      <c r="BXE101" s="15"/>
      <c r="BXF101" s="15"/>
      <c r="BXG101" s="15"/>
      <c r="BXH101" s="15"/>
      <c r="BXI101" s="15"/>
      <c r="BXJ101" s="15"/>
      <c r="BXK101" s="15"/>
      <c r="BXL101" s="15"/>
      <c r="BXM101" s="15"/>
      <c r="BXN101" s="15"/>
      <c r="BXO101" s="15"/>
      <c r="BXP101" s="15"/>
      <c r="BXQ101" s="15"/>
      <c r="BXR101" s="15"/>
      <c r="BXS101" s="15"/>
      <c r="BXT101" s="15"/>
      <c r="BXU101" s="15"/>
      <c r="BXV101" s="15"/>
      <c r="BXW101" s="15"/>
      <c r="BXX101" s="15"/>
      <c r="BXY101" s="15"/>
      <c r="BXZ101" s="15"/>
      <c r="BYA101" s="15"/>
      <c r="BYB101" s="15"/>
      <c r="BYC101" s="15"/>
      <c r="BYD101" s="15"/>
      <c r="BYE101" s="15"/>
      <c r="BYF101" s="15"/>
      <c r="BYG101" s="15"/>
      <c r="BYH101" s="15"/>
      <c r="BYI101" s="15"/>
      <c r="BYJ101" s="15"/>
      <c r="BYK101" s="15"/>
      <c r="BYL101" s="15"/>
      <c r="BYM101" s="15"/>
      <c r="BYN101" s="15"/>
      <c r="BYO101" s="15"/>
      <c r="BYP101" s="15"/>
      <c r="BYQ101" s="15"/>
      <c r="BYR101" s="15"/>
      <c r="BYS101" s="15"/>
      <c r="BYT101" s="15"/>
      <c r="BYU101" s="15"/>
      <c r="BYV101" s="15"/>
      <c r="BYW101" s="15"/>
      <c r="BYX101" s="15"/>
      <c r="BYY101" s="15"/>
      <c r="BYZ101" s="15"/>
      <c r="BZA101" s="15"/>
      <c r="BZB101" s="15"/>
      <c r="BZC101" s="15"/>
      <c r="BZD101" s="15"/>
      <c r="BZE101" s="15"/>
      <c r="BZF101" s="15"/>
      <c r="BZG101" s="15"/>
      <c r="BZH101" s="15"/>
      <c r="BZI101" s="15"/>
      <c r="BZJ101" s="15"/>
      <c r="BZK101" s="15"/>
      <c r="BZL101" s="15"/>
      <c r="BZM101" s="15"/>
      <c r="BZN101" s="15"/>
      <c r="BZO101" s="15"/>
      <c r="BZP101" s="15"/>
      <c r="BZQ101" s="15"/>
      <c r="BZR101" s="15"/>
      <c r="BZS101" s="15"/>
      <c r="BZT101" s="15"/>
      <c r="BZU101" s="15"/>
      <c r="BZV101" s="15"/>
      <c r="BZW101" s="15"/>
      <c r="BZX101" s="15"/>
      <c r="BZY101" s="15"/>
      <c r="BZZ101" s="15"/>
      <c r="CAA101" s="15"/>
      <c r="CAB101" s="15"/>
      <c r="CAC101" s="15"/>
      <c r="CAD101" s="15"/>
      <c r="CAE101" s="15"/>
      <c r="CAF101" s="15"/>
      <c r="CAG101" s="15"/>
      <c r="CAH101" s="15"/>
      <c r="CAI101" s="15"/>
      <c r="CAJ101" s="15"/>
      <c r="CAK101" s="15"/>
      <c r="CAL101" s="15"/>
      <c r="CAM101" s="15"/>
      <c r="CAN101" s="15"/>
      <c r="CAO101" s="15"/>
      <c r="CAP101" s="15"/>
      <c r="CAQ101" s="15"/>
      <c r="CAR101" s="15"/>
      <c r="CAS101" s="15"/>
      <c r="CAT101" s="15"/>
      <c r="CAU101" s="15"/>
      <c r="CAV101" s="15"/>
      <c r="CAW101" s="15"/>
      <c r="CAX101" s="15"/>
      <c r="CAY101" s="15"/>
      <c r="CAZ101" s="15"/>
      <c r="CBA101" s="15"/>
      <c r="CBB101" s="15"/>
      <c r="CBC101" s="15"/>
      <c r="CBD101" s="15"/>
      <c r="CBE101" s="15"/>
      <c r="CBF101" s="15"/>
      <c r="CBG101" s="15"/>
      <c r="CBH101" s="15"/>
      <c r="CBI101" s="46"/>
      <c r="CBJ101" s="46"/>
      <c r="CBK101" s="46"/>
      <c r="CBL101" s="46"/>
      <c r="CBM101" s="46"/>
      <c r="CBN101" s="46"/>
      <c r="CBO101" s="46"/>
      <c r="CBP101" s="46"/>
      <c r="CBQ101" s="46"/>
      <c r="CBR101" s="46"/>
      <c r="CBS101" s="46"/>
      <c r="CBT101" s="46"/>
      <c r="CBU101" s="46"/>
      <c r="CBV101" s="46"/>
      <c r="CBW101" s="46"/>
      <c r="CBX101" s="46"/>
      <c r="CBY101" s="46"/>
      <c r="CBZ101" s="46"/>
      <c r="CCA101" s="46"/>
      <c r="CCB101" s="46"/>
      <c r="CCC101" s="46"/>
      <c r="CCD101" s="46"/>
      <c r="CCE101" s="46"/>
      <c r="CCF101" s="46"/>
      <c r="CCG101" s="46"/>
      <c r="CCH101" s="46"/>
      <c r="CCI101" s="46"/>
      <c r="CCJ101" s="46"/>
      <c r="CCK101" s="46"/>
      <c r="CCL101" s="46"/>
      <c r="CCM101" s="46"/>
      <c r="CCN101" s="46"/>
      <c r="CCO101" s="46"/>
      <c r="CCP101" s="46"/>
      <c r="CCQ101" s="46"/>
      <c r="CCR101" s="46"/>
      <c r="CCS101" s="46"/>
      <c r="CCT101" s="46"/>
      <c r="CCU101" s="46"/>
      <c r="CCV101" s="46"/>
      <c r="CCW101" s="46"/>
      <c r="CCX101" s="46"/>
      <c r="CCY101" s="46"/>
      <c r="CCZ101" s="46"/>
      <c r="CDA101" s="46"/>
      <c r="CDB101" s="46"/>
      <c r="CDC101" s="46"/>
      <c r="CDD101" s="46"/>
      <c r="CDE101" s="46"/>
      <c r="CDF101" s="46"/>
      <c r="CDG101" s="46"/>
      <c r="CDH101" s="46"/>
      <c r="CDI101" s="46"/>
      <c r="CDJ101" s="46"/>
      <c r="CDK101" s="46"/>
      <c r="CDL101" s="46"/>
      <c r="CDM101" s="46"/>
      <c r="CDN101" s="46"/>
      <c r="CDO101" s="46"/>
      <c r="CDP101" s="46"/>
      <c r="CDQ101" s="46"/>
      <c r="CDR101" s="46"/>
      <c r="CDS101" s="46"/>
      <c r="CDT101" s="46"/>
      <c r="CDU101" s="46"/>
      <c r="CDV101" s="46"/>
      <c r="CDW101" s="46"/>
      <c r="CDX101" s="46"/>
      <c r="CDY101" s="46"/>
      <c r="CDZ101" s="46"/>
      <c r="CEA101" s="46"/>
      <c r="CEB101" s="46"/>
      <c r="CEC101" s="46"/>
      <c r="CED101" s="46"/>
      <c r="CEE101" s="46"/>
      <c r="CEF101" s="46"/>
      <c r="CEG101" s="46"/>
      <c r="CEH101" s="46"/>
      <c r="CEI101" s="46"/>
      <c r="CEJ101" s="46"/>
      <c r="CEK101" s="46"/>
      <c r="CEL101" s="46"/>
      <c r="CEM101" s="46"/>
      <c r="CEN101" s="46"/>
      <c r="CEO101" s="46"/>
      <c r="CEP101" s="46"/>
      <c r="CEQ101" s="46"/>
      <c r="CER101" s="46"/>
      <c r="CES101" s="46"/>
      <c r="CET101" s="46"/>
      <c r="CEU101" s="46"/>
      <c r="CEV101" s="46"/>
      <c r="CEW101" s="46"/>
      <c r="CEX101" s="46"/>
      <c r="CEY101" s="46"/>
      <c r="CEZ101" s="46"/>
      <c r="CFA101" s="46"/>
      <c r="CFB101" s="46"/>
      <c r="CFC101" s="46"/>
      <c r="CFD101" s="46"/>
      <c r="CFE101" s="46"/>
      <c r="CFF101" s="46"/>
      <c r="CFG101" s="46"/>
      <c r="CFH101" s="46"/>
      <c r="CFI101" s="46"/>
      <c r="CFJ101" s="46"/>
      <c r="CFK101" s="46"/>
      <c r="CFL101" s="46"/>
      <c r="CFM101" s="46"/>
      <c r="CFN101" s="46"/>
      <c r="CFO101" s="46"/>
      <c r="CFP101" s="46"/>
      <c r="CFQ101" s="46"/>
      <c r="CFR101" s="46"/>
      <c r="CFS101" s="46"/>
      <c r="CFT101" s="46"/>
      <c r="CFU101" s="46"/>
      <c r="CFV101" s="46"/>
      <c r="CFW101" s="46"/>
      <c r="CFX101" s="46"/>
      <c r="CFY101" s="46"/>
      <c r="CFZ101" s="46"/>
      <c r="CGA101" s="46"/>
      <c r="CGB101" s="46"/>
      <c r="CGC101" s="46"/>
      <c r="CGD101" s="46"/>
      <c r="CGE101" s="46"/>
      <c r="CGF101" s="46"/>
      <c r="CGG101" s="46"/>
      <c r="CGH101" s="46"/>
      <c r="CGI101" s="46"/>
      <c r="CGJ101" s="46"/>
      <c r="CGK101" s="46"/>
      <c r="CGL101" s="46"/>
      <c r="CGM101" s="46"/>
      <c r="CGN101" s="46"/>
      <c r="CGO101" s="46"/>
      <c r="CGP101" s="46"/>
      <c r="CGQ101" s="46"/>
      <c r="CGR101" s="46"/>
      <c r="CGS101" s="46"/>
      <c r="CGT101" s="46"/>
      <c r="CGU101" s="46"/>
      <c r="CGV101" s="46"/>
      <c r="CGW101" s="46"/>
      <c r="CGX101" s="46"/>
      <c r="CGY101" s="46"/>
      <c r="CGZ101" s="46"/>
      <c r="CHA101" s="46"/>
      <c r="CHB101" s="46"/>
      <c r="CHC101" s="46"/>
      <c r="CHD101" s="46"/>
      <c r="CHE101" s="46"/>
      <c r="CHF101" s="46"/>
      <c r="CHG101" s="46"/>
      <c r="CHH101" s="46"/>
      <c r="CHI101" s="46"/>
      <c r="CHJ101" s="46"/>
      <c r="CHK101" s="46"/>
      <c r="CHL101" s="46"/>
      <c r="CHM101" s="46"/>
      <c r="CHN101" s="46"/>
      <c r="CHO101" s="46"/>
      <c r="CHP101" s="46"/>
      <c r="CHQ101" s="46"/>
      <c r="CHR101" s="46"/>
      <c r="CHS101" s="46"/>
      <c r="CHT101" s="46"/>
      <c r="CHU101" s="46"/>
      <c r="CHV101" s="46"/>
      <c r="CHW101" s="46"/>
      <c r="CHX101" s="46"/>
      <c r="CHY101" s="46"/>
      <c r="CHZ101" s="46"/>
      <c r="CIA101" s="46"/>
      <c r="CIB101" s="46"/>
      <c r="CIC101" s="46"/>
      <c r="CID101" s="46"/>
      <c r="CIE101" s="46"/>
      <c r="CIF101" s="46"/>
      <c r="CIG101" s="46"/>
      <c r="CIH101" s="46"/>
      <c r="CII101" s="46"/>
      <c r="CIJ101" s="46"/>
      <c r="CIK101" s="46"/>
      <c r="CIL101" s="46"/>
      <c r="CIM101" s="46"/>
      <c r="CIN101" s="46"/>
      <c r="CIO101" s="46"/>
      <c r="CIP101" s="46"/>
      <c r="CIQ101" s="46"/>
      <c r="CIR101" s="46"/>
      <c r="CIS101" s="46"/>
      <c r="CIT101" s="46"/>
      <c r="CIU101" s="46"/>
      <c r="CIV101" s="46"/>
      <c r="CIW101" s="46"/>
      <c r="CIX101" s="46"/>
      <c r="CIY101" s="46"/>
      <c r="CIZ101" s="46"/>
      <c r="CJA101" s="46"/>
      <c r="CJB101" s="46"/>
      <c r="CJC101" s="46"/>
      <c r="CJD101" s="46"/>
      <c r="CJE101" s="46"/>
      <c r="CJF101" s="46"/>
      <c r="CJG101" s="46"/>
      <c r="CJH101" s="46"/>
      <c r="CJI101" s="46"/>
      <c r="CJJ101" s="46"/>
      <c r="CJK101" s="46"/>
      <c r="CJL101" s="46"/>
      <c r="CJM101" s="46"/>
      <c r="CJN101" s="46"/>
      <c r="CJO101" s="46"/>
      <c r="CJP101" s="46"/>
      <c r="CJQ101" s="46"/>
      <c r="CJR101" s="46"/>
      <c r="CJS101" s="46"/>
      <c r="CJT101" s="46"/>
      <c r="CJU101" s="46"/>
      <c r="CJV101" s="46"/>
      <c r="CJW101" s="46"/>
      <c r="CJX101" s="46"/>
      <c r="CJY101" s="46"/>
      <c r="CJZ101" s="46"/>
      <c r="CKA101" s="46"/>
      <c r="CKB101" s="46"/>
      <c r="CKC101" s="46"/>
      <c r="CKD101" s="46"/>
      <c r="CKE101" s="46"/>
      <c r="CKF101" s="46"/>
      <c r="CKG101" s="46"/>
      <c r="CKH101" s="46"/>
      <c r="CKI101" s="46"/>
      <c r="CKJ101" s="46"/>
      <c r="CKK101" s="46"/>
      <c r="CKL101" s="46"/>
      <c r="CKM101" s="46"/>
      <c r="CKN101" s="46"/>
      <c r="CKO101" s="46"/>
      <c r="CKP101" s="46"/>
      <c r="CKQ101" s="46"/>
      <c r="CKR101" s="46"/>
      <c r="CKS101" s="46"/>
      <c r="CKT101" s="46"/>
      <c r="CKU101" s="46"/>
      <c r="CKV101" s="46"/>
      <c r="CKW101" s="46"/>
      <c r="CKX101" s="46"/>
      <c r="CKY101" s="46"/>
      <c r="CKZ101" s="46"/>
      <c r="CLA101" s="46"/>
      <c r="CLB101" s="46"/>
      <c r="CLC101" s="46"/>
      <c r="CLD101" s="46"/>
      <c r="CLE101" s="46"/>
      <c r="CLF101" s="46"/>
      <c r="CLG101" s="46"/>
      <c r="CLH101" s="46"/>
      <c r="CLI101" s="46"/>
      <c r="CLJ101" s="46"/>
      <c r="CLK101" s="46"/>
      <c r="CLL101" s="46"/>
      <c r="CLM101" s="46"/>
      <c r="CLN101" s="46"/>
      <c r="CLO101" s="46"/>
      <c r="CLP101" s="46"/>
      <c r="CLQ101" s="46"/>
      <c r="CLR101" s="46"/>
      <c r="CLS101" s="46"/>
      <c r="CLT101" s="46"/>
      <c r="CLU101" s="46"/>
      <c r="CLV101" s="46"/>
      <c r="CLW101" s="46"/>
      <c r="CLX101" s="46"/>
      <c r="CLY101" s="46"/>
      <c r="CLZ101" s="46"/>
      <c r="CMA101" s="46"/>
      <c r="CMB101" s="46"/>
      <c r="CMC101" s="46"/>
      <c r="CMD101" s="46"/>
      <c r="CME101" s="46"/>
      <c r="CMF101" s="46"/>
      <c r="CMG101" s="46"/>
      <c r="CMH101" s="46"/>
      <c r="CMI101" s="46"/>
      <c r="CMJ101" s="46"/>
      <c r="CMK101" s="46"/>
      <c r="CML101" s="46"/>
      <c r="CMM101" s="46"/>
      <c r="CMN101" s="46"/>
      <c r="CMO101" s="46"/>
      <c r="CMP101" s="46"/>
      <c r="CMQ101" s="46"/>
      <c r="CMR101" s="46"/>
      <c r="CMS101" s="46"/>
      <c r="CMT101" s="46"/>
      <c r="CMU101" s="46"/>
      <c r="CMV101" s="46"/>
      <c r="CMW101" s="46"/>
      <c r="CMX101" s="46"/>
      <c r="CMY101" s="46"/>
      <c r="CMZ101" s="46"/>
      <c r="CNA101" s="46"/>
      <c r="CNB101" s="46"/>
      <c r="CNC101" s="46"/>
      <c r="CND101" s="46"/>
      <c r="CNE101" s="46"/>
      <c r="CNF101" s="46"/>
      <c r="CNG101" s="46"/>
      <c r="CNH101" s="46"/>
      <c r="CNI101" s="46"/>
      <c r="CNJ101" s="46"/>
      <c r="CNK101" s="46"/>
      <c r="CNL101" s="46"/>
      <c r="CNM101" s="46"/>
      <c r="CNN101" s="46"/>
      <c r="CNO101" s="46"/>
      <c r="CNP101" s="46"/>
      <c r="CNQ101" s="46"/>
      <c r="CNR101" s="46"/>
      <c r="CNS101" s="46"/>
      <c r="CNT101" s="46"/>
      <c r="CNU101" s="46"/>
      <c r="CNV101" s="46"/>
      <c r="CNW101" s="46"/>
      <c r="CNX101" s="46"/>
      <c r="CNY101" s="46"/>
      <c r="CNZ101" s="46"/>
      <c r="COA101" s="46"/>
      <c r="COB101" s="46"/>
      <c r="COC101" s="46"/>
      <c r="COD101" s="46"/>
      <c r="COE101" s="46"/>
      <c r="COF101" s="46"/>
      <c r="COG101" s="46"/>
      <c r="COH101" s="46"/>
      <c r="COI101" s="46"/>
      <c r="COJ101" s="46"/>
      <c r="COK101" s="46"/>
      <c r="COL101" s="46"/>
      <c r="COM101" s="46"/>
      <c r="CON101" s="46"/>
      <c r="COO101" s="46"/>
      <c r="COP101" s="46"/>
      <c r="COQ101" s="46"/>
      <c r="COR101" s="46"/>
      <c r="COS101" s="46"/>
      <c r="COT101" s="46"/>
      <c r="COU101" s="46"/>
      <c r="COV101" s="46"/>
      <c r="COW101" s="46"/>
      <c r="COX101" s="46"/>
      <c r="COY101" s="46"/>
      <c r="COZ101" s="46"/>
      <c r="CPA101" s="46"/>
      <c r="CPB101" s="46"/>
      <c r="CPC101" s="46"/>
      <c r="CPD101" s="46"/>
      <c r="CPE101" s="46"/>
      <c r="CPF101" s="46"/>
      <c r="CPG101" s="46"/>
      <c r="CPH101" s="46"/>
      <c r="CPI101" s="46"/>
      <c r="CPJ101" s="46"/>
      <c r="CPK101" s="46"/>
      <c r="CPL101" s="46"/>
      <c r="CPM101" s="46"/>
      <c r="CPN101" s="46"/>
      <c r="CPO101" s="46"/>
      <c r="CPP101" s="46"/>
      <c r="CPQ101" s="46"/>
      <c r="CPR101" s="46"/>
      <c r="CPS101" s="46"/>
      <c r="CPT101" s="46"/>
      <c r="CPU101" s="46"/>
      <c r="CPV101" s="46"/>
      <c r="CPW101" s="46"/>
      <c r="CPX101" s="46"/>
      <c r="CPY101" s="46"/>
      <c r="CPZ101" s="46"/>
      <c r="CQA101" s="46"/>
      <c r="CQB101" s="46"/>
      <c r="CQC101" s="46"/>
      <c r="CQD101" s="46"/>
      <c r="CQE101" s="46"/>
      <c r="CQF101" s="46"/>
      <c r="CQG101" s="46"/>
      <c r="CQH101" s="46"/>
      <c r="CQI101" s="46"/>
      <c r="CQJ101" s="46"/>
      <c r="CQK101" s="46"/>
      <c r="CQL101" s="46"/>
      <c r="CQM101" s="46"/>
      <c r="CQN101" s="46"/>
      <c r="CQO101" s="46"/>
      <c r="CQP101" s="46"/>
      <c r="CQQ101" s="46"/>
      <c r="CQR101" s="46"/>
      <c r="CQS101" s="46"/>
      <c r="CQT101" s="46"/>
      <c r="CQU101" s="46"/>
      <c r="CQV101" s="46"/>
      <c r="CQW101" s="46"/>
      <c r="CQX101" s="46"/>
      <c r="CQY101" s="46"/>
      <c r="CQZ101" s="46"/>
      <c r="CRA101" s="46"/>
      <c r="CRB101" s="46"/>
      <c r="CRC101" s="46"/>
      <c r="CRD101" s="46"/>
      <c r="CRE101" s="46"/>
      <c r="CRF101" s="46"/>
      <c r="CRG101" s="46"/>
      <c r="CRH101" s="46"/>
      <c r="CRI101" s="46"/>
      <c r="CRJ101" s="46"/>
      <c r="CRK101" s="46"/>
      <c r="CRL101" s="46"/>
      <c r="CRM101" s="46"/>
      <c r="CRN101" s="46"/>
      <c r="CRO101" s="46"/>
      <c r="CRP101" s="46"/>
      <c r="CRQ101" s="46"/>
      <c r="CRR101" s="46"/>
      <c r="CRS101" s="46"/>
      <c r="CRT101" s="46"/>
      <c r="CRU101" s="46"/>
      <c r="CRV101" s="46"/>
      <c r="CRW101" s="46"/>
      <c r="CRX101" s="46"/>
      <c r="CRY101" s="46"/>
      <c r="CRZ101" s="46"/>
      <c r="CSA101" s="46"/>
      <c r="CSB101" s="46"/>
      <c r="CSC101" s="46"/>
      <c r="CSD101" s="46"/>
      <c r="CSE101" s="46"/>
      <c r="CSF101" s="46"/>
      <c r="CSG101" s="46"/>
      <c r="CSH101" s="46"/>
      <c r="CSI101" s="46"/>
      <c r="CSJ101" s="46"/>
      <c r="CSK101" s="46"/>
      <c r="CSL101" s="46"/>
      <c r="CSM101" s="46"/>
      <c r="CSN101" s="46"/>
      <c r="CSO101" s="46"/>
      <c r="CSP101" s="46"/>
      <c r="CSQ101" s="46"/>
      <c r="CSR101" s="46"/>
      <c r="CSS101" s="46"/>
      <c r="CST101" s="46"/>
      <c r="CSU101" s="46"/>
      <c r="CSV101" s="46"/>
      <c r="CSW101" s="46"/>
      <c r="CSX101" s="46"/>
      <c r="CSY101" s="46"/>
      <c r="CSZ101" s="46"/>
      <c r="CTA101" s="46"/>
      <c r="CTB101" s="46"/>
      <c r="CTC101" s="46"/>
      <c r="CTD101" s="46"/>
      <c r="CTE101" s="46"/>
      <c r="CTF101" s="46"/>
      <c r="CTG101" s="46"/>
      <c r="CTH101" s="46"/>
      <c r="CTI101" s="46"/>
      <c r="CTJ101" s="46"/>
      <c r="CTK101" s="46"/>
      <c r="CTL101" s="46"/>
      <c r="CTM101" s="46"/>
      <c r="CTN101" s="46"/>
      <c r="CTO101" s="46"/>
      <c r="CTP101" s="46"/>
      <c r="CTQ101" s="46"/>
      <c r="CTR101" s="46"/>
      <c r="CTS101" s="46"/>
      <c r="CTT101" s="46"/>
      <c r="CTU101" s="46"/>
      <c r="CTV101" s="46"/>
      <c r="CTW101" s="46"/>
      <c r="CTX101" s="46"/>
      <c r="CTY101" s="46"/>
      <c r="CTZ101" s="46"/>
      <c r="CUA101" s="46"/>
      <c r="CUB101" s="46"/>
      <c r="CUC101" s="46"/>
      <c r="CUD101" s="46"/>
      <c r="CUE101" s="46"/>
      <c r="CUF101" s="46"/>
      <c r="CUG101" s="46"/>
      <c r="CUH101" s="46"/>
      <c r="CUI101" s="46"/>
      <c r="CUJ101" s="46"/>
      <c r="CUK101" s="46"/>
      <c r="CUL101" s="46"/>
      <c r="CUM101" s="46"/>
      <c r="CUN101" s="46"/>
      <c r="CUO101" s="46"/>
      <c r="CUP101" s="46"/>
      <c r="CUQ101" s="46"/>
      <c r="CUR101" s="46"/>
      <c r="CUS101" s="46"/>
      <c r="CUT101" s="46"/>
      <c r="CUU101" s="46"/>
      <c r="CUV101" s="46"/>
      <c r="CUW101" s="46"/>
      <c r="CUX101" s="46"/>
      <c r="CUY101" s="46"/>
      <c r="CUZ101" s="46"/>
      <c r="CVA101" s="46"/>
      <c r="CVB101" s="46"/>
      <c r="CVC101" s="46"/>
      <c r="CVD101" s="46"/>
      <c r="CVE101" s="46"/>
      <c r="CVF101" s="46"/>
      <c r="CVG101" s="46"/>
      <c r="CVH101" s="46"/>
      <c r="CVI101" s="46"/>
      <c r="CVJ101" s="46"/>
      <c r="CVK101" s="46"/>
      <c r="CVL101" s="46"/>
      <c r="CVM101" s="46"/>
      <c r="CVN101" s="46"/>
      <c r="CVO101" s="46"/>
      <c r="CVP101" s="46"/>
      <c r="CVQ101" s="46"/>
      <c r="CVR101" s="46"/>
      <c r="CVS101" s="46"/>
      <c r="CVT101" s="46"/>
      <c r="CVU101" s="46"/>
      <c r="CVV101" s="46"/>
      <c r="CVW101" s="46"/>
      <c r="CVX101" s="46"/>
      <c r="CVY101" s="46"/>
      <c r="CVZ101" s="46"/>
      <c r="CWA101" s="46"/>
      <c r="CWB101" s="46"/>
      <c r="CWC101" s="46"/>
      <c r="CWD101" s="46"/>
      <c r="CWE101" s="46"/>
      <c r="CWF101" s="46"/>
      <c r="CWG101" s="46"/>
      <c r="CWH101" s="46"/>
      <c r="CWI101" s="46"/>
      <c r="CWJ101" s="46"/>
      <c r="CWK101" s="46"/>
      <c r="CWL101" s="46"/>
      <c r="CWM101" s="46"/>
      <c r="CWN101" s="46"/>
      <c r="CWO101" s="46"/>
      <c r="CWP101" s="46"/>
      <c r="CWQ101" s="46"/>
      <c r="CWR101" s="46"/>
      <c r="CWS101" s="46"/>
      <c r="CWT101" s="46"/>
      <c r="CWU101" s="46"/>
      <c r="CWV101" s="46"/>
      <c r="CWW101" s="46"/>
      <c r="CWX101" s="46"/>
      <c r="CWY101" s="46"/>
      <c r="CWZ101" s="46"/>
      <c r="CXA101" s="46"/>
      <c r="CXB101" s="46"/>
      <c r="CXC101" s="46"/>
      <c r="CXD101" s="46"/>
      <c r="CXE101" s="46"/>
      <c r="CXF101" s="46"/>
      <c r="CXG101" s="46"/>
      <c r="CXH101" s="46"/>
      <c r="CXI101" s="46"/>
      <c r="CXJ101" s="46"/>
      <c r="CXK101" s="46"/>
      <c r="CXL101" s="46"/>
      <c r="CXM101" s="46"/>
      <c r="CXN101" s="46"/>
      <c r="CXO101" s="46"/>
      <c r="CXP101" s="46"/>
      <c r="CXQ101" s="46"/>
      <c r="CXR101" s="46"/>
      <c r="CXS101" s="46"/>
      <c r="CXT101" s="46"/>
      <c r="CXU101" s="46"/>
      <c r="CXV101" s="46"/>
      <c r="CXW101" s="46"/>
      <c r="CXX101" s="46"/>
      <c r="CXY101" s="46"/>
      <c r="CXZ101" s="46"/>
      <c r="CYA101" s="46"/>
      <c r="CYB101" s="46"/>
      <c r="CYC101" s="46"/>
      <c r="CYD101" s="46"/>
      <c r="CYE101" s="46"/>
      <c r="CYF101" s="46"/>
      <c r="CYG101" s="46"/>
      <c r="CYH101" s="46"/>
      <c r="CYI101" s="46"/>
      <c r="CYJ101" s="46"/>
      <c r="CYK101" s="46"/>
      <c r="CYL101" s="46"/>
      <c r="CYM101" s="46"/>
      <c r="CYN101" s="46"/>
      <c r="CYO101" s="46"/>
      <c r="CYP101" s="46"/>
      <c r="CYQ101" s="46"/>
      <c r="CYR101" s="46"/>
      <c r="CYS101" s="46"/>
      <c r="CYT101" s="46"/>
      <c r="CYU101" s="46"/>
      <c r="CYV101" s="46"/>
      <c r="CYW101" s="46"/>
      <c r="CYX101" s="46"/>
      <c r="CYY101" s="46"/>
      <c r="CYZ101" s="46"/>
      <c r="CZA101" s="46"/>
      <c r="CZB101" s="46"/>
      <c r="CZC101" s="46"/>
      <c r="CZD101" s="46"/>
      <c r="CZE101" s="46"/>
      <c r="CZF101" s="46"/>
      <c r="CZG101" s="46"/>
      <c r="CZH101" s="46"/>
      <c r="CZI101" s="46"/>
      <c r="CZJ101" s="46"/>
      <c r="CZK101" s="46"/>
      <c r="CZL101" s="46"/>
      <c r="CZM101" s="46"/>
      <c r="CZN101" s="46"/>
      <c r="CZO101" s="46"/>
      <c r="CZP101" s="46"/>
      <c r="CZQ101" s="46"/>
      <c r="CZR101" s="46"/>
      <c r="CZS101" s="46"/>
      <c r="CZT101" s="46"/>
      <c r="CZU101" s="46"/>
      <c r="CZV101" s="46"/>
      <c r="CZW101" s="46"/>
      <c r="CZX101" s="46"/>
      <c r="CZY101" s="46"/>
      <c r="CZZ101" s="46"/>
      <c r="DAA101" s="46"/>
      <c r="DAB101" s="46"/>
      <c r="DAC101" s="46"/>
      <c r="DAD101" s="46"/>
      <c r="DAE101" s="46"/>
      <c r="DAF101" s="46"/>
      <c r="DAG101" s="46"/>
      <c r="DAH101" s="46"/>
      <c r="DAI101" s="46"/>
      <c r="DAJ101" s="46"/>
      <c r="DAK101" s="46"/>
      <c r="DAL101" s="46"/>
      <c r="DAM101" s="46"/>
      <c r="DAN101" s="46"/>
      <c r="DAO101" s="46"/>
      <c r="DAP101" s="46"/>
      <c r="DAQ101" s="46"/>
      <c r="DAR101" s="46"/>
      <c r="DAS101" s="46"/>
      <c r="DAT101" s="46"/>
      <c r="DAU101" s="46"/>
      <c r="DAV101" s="46"/>
      <c r="DAW101" s="46"/>
      <c r="DAX101" s="46"/>
      <c r="DAY101" s="46"/>
      <c r="DAZ101" s="46"/>
      <c r="DBA101" s="46"/>
      <c r="DBB101" s="46"/>
      <c r="DBC101" s="46"/>
      <c r="DBD101" s="46"/>
      <c r="DBE101" s="46"/>
      <c r="DBF101" s="46"/>
      <c r="DBG101" s="46"/>
      <c r="DBH101" s="46"/>
      <c r="DBI101" s="46"/>
      <c r="DBJ101" s="46"/>
      <c r="DBK101" s="46"/>
      <c r="DBL101" s="46"/>
      <c r="DBM101" s="46"/>
      <c r="DBN101" s="46"/>
      <c r="DBO101" s="46"/>
      <c r="DBP101" s="46"/>
      <c r="DBQ101" s="46"/>
      <c r="DBR101" s="46"/>
      <c r="DBS101" s="46"/>
      <c r="DBT101" s="46"/>
      <c r="DBU101" s="46"/>
      <c r="DBV101" s="46"/>
      <c r="DBW101" s="46"/>
      <c r="DBX101" s="46"/>
      <c r="DBY101" s="46"/>
      <c r="DBZ101" s="46"/>
      <c r="DCA101" s="46"/>
      <c r="DCB101" s="46"/>
      <c r="DCC101" s="46"/>
      <c r="DCD101" s="46"/>
      <c r="DCE101" s="46"/>
      <c r="DCF101" s="46"/>
      <c r="DCG101" s="46"/>
      <c r="DCH101" s="46"/>
      <c r="DCI101" s="46"/>
      <c r="DCJ101" s="46"/>
      <c r="DCK101" s="46"/>
      <c r="DCL101" s="46"/>
      <c r="DCM101" s="46"/>
      <c r="DCN101" s="46"/>
      <c r="DCO101" s="46"/>
      <c r="DCP101" s="46"/>
      <c r="DCQ101" s="46"/>
      <c r="DCR101" s="46"/>
      <c r="DCS101" s="46"/>
      <c r="DCT101" s="46"/>
      <c r="DCU101" s="46"/>
      <c r="DCV101" s="46"/>
      <c r="DCW101" s="46"/>
      <c r="DCX101" s="46"/>
      <c r="DCY101" s="46"/>
      <c r="DCZ101" s="46"/>
      <c r="DDA101" s="46"/>
      <c r="DDB101" s="46"/>
      <c r="DDC101" s="46"/>
      <c r="DDD101" s="46"/>
      <c r="DDE101" s="46"/>
      <c r="DDF101" s="46"/>
      <c r="DDG101" s="46"/>
      <c r="DDH101" s="46"/>
      <c r="DDI101" s="46"/>
      <c r="DDJ101" s="46"/>
      <c r="DDK101" s="46"/>
      <c r="DDL101" s="46"/>
      <c r="DDM101" s="46"/>
      <c r="DDN101" s="46"/>
      <c r="DDO101" s="46"/>
      <c r="DDP101" s="46"/>
      <c r="DDQ101" s="46"/>
      <c r="DDR101" s="46"/>
      <c r="DDS101" s="46"/>
      <c r="DDT101" s="46"/>
      <c r="DDU101" s="46"/>
      <c r="DDV101" s="46"/>
      <c r="DDW101" s="46"/>
      <c r="DDX101" s="46"/>
      <c r="DDY101" s="46"/>
      <c r="DDZ101" s="46"/>
      <c r="DEA101" s="46"/>
      <c r="DEB101" s="46"/>
      <c r="DEC101" s="46"/>
      <c r="DED101" s="46"/>
      <c r="DEE101" s="46"/>
      <c r="DEF101" s="46"/>
      <c r="DEG101" s="46"/>
      <c r="DEH101" s="46"/>
      <c r="DEI101" s="46"/>
      <c r="DEJ101" s="46"/>
      <c r="DEK101" s="46"/>
      <c r="DEL101" s="46"/>
      <c r="DEM101" s="46"/>
      <c r="DEN101" s="46"/>
      <c r="DEO101" s="46"/>
      <c r="DEP101" s="46"/>
      <c r="DEQ101" s="46"/>
      <c r="DER101" s="46"/>
      <c r="DES101" s="46"/>
      <c r="DET101" s="46"/>
      <c r="DEU101" s="46"/>
      <c r="DEV101" s="46"/>
      <c r="DEW101" s="46"/>
      <c r="DEX101" s="46"/>
      <c r="DEY101" s="46"/>
      <c r="DEZ101" s="46"/>
      <c r="DFA101" s="46"/>
      <c r="DFB101" s="46"/>
      <c r="DFC101" s="46"/>
      <c r="DFD101" s="46"/>
      <c r="DFE101" s="46"/>
      <c r="DFF101" s="46"/>
      <c r="DFG101" s="46"/>
      <c r="DFH101" s="46"/>
      <c r="DFI101" s="46"/>
      <c r="DFJ101" s="46"/>
      <c r="DFK101" s="46"/>
      <c r="DFL101" s="46"/>
      <c r="DFM101" s="46"/>
      <c r="DFN101" s="46"/>
      <c r="DFO101" s="46"/>
      <c r="DFP101" s="46"/>
      <c r="DFQ101" s="46"/>
      <c r="DFR101" s="46"/>
      <c r="DFS101" s="46"/>
      <c r="DFT101" s="46"/>
      <c r="DFU101" s="46"/>
      <c r="DFV101" s="46"/>
      <c r="DFW101" s="46"/>
      <c r="DFX101" s="46"/>
      <c r="DFY101" s="46"/>
      <c r="DFZ101" s="46"/>
      <c r="DGA101" s="46"/>
      <c r="DGB101" s="46"/>
      <c r="DGC101" s="46"/>
      <c r="DGD101" s="46"/>
      <c r="DGE101" s="46"/>
      <c r="DGF101" s="46"/>
      <c r="DGG101" s="46"/>
      <c r="DGH101" s="46"/>
      <c r="DGI101" s="46"/>
      <c r="DGJ101" s="46"/>
      <c r="DGK101" s="46"/>
      <c r="DGL101" s="46"/>
      <c r="DGM101" s="46"/>
      <c r="DGN101" s="46"/>
      <c r="DGO101" s="46"/>
      <c r="DGP101" s="46"/>
      <c r="DGQ101" s="46"/>
      <c r="DGR101" s="46"/>
      <c r="DGS101" s="46"/>
      <c r="DGT101" s="46"/>
      <c r="DGU101" s="46"/>
      <c r="DGV101" s="46"/>
      <c r="DGW101" s="46"/>
      <c r="DGX101" s="46"/>
      <c r="DGY101" s="46"/>
      <c r="DGZ101" s="46"/>
      <c r="DHA101" s="46"/>
      <c r="DHB101" s="46"/>
      <c r="DHC101" s="46"/>
      <c r="DHD101" s="46"/>
      <c r="DHE101" s="46"/>
      <c r="DHF101" s="46"/>
      <c r="DHG101" s="46"/>
      <c r="DHH101" s="46"/>
      <c r="DHI101" s="46"/>
      <c r="DHJ101" s="46"/>
      <c r="DHK101" s="46"/>
      <c r="DHL101" s="46"/>
      <c r="DHM101" s="46"/>
      <c r="DHN101" s="46"/>
      <c r="DHO101" s="46"/>
      <c r="DHP101" s="46"/>
      <c r="DHQ101" s="46"/>
      <c r="DHR101" s="46"/>
      <c r="DHS101" s="46"/>
      <c r="DHT101" s="46"/>
      <c r="DHU101" s="46"/>
      <c r="DHV101" s="46"/>
      <c r="DHW101" s="46"/>
      <c r="DHX101" s="46"/>
      <c r="DHY101" s="46"/>
      <c r="DHZ101" s="46"/>
      <c r="DIA101" s="46"/>
      <c r="DIB101" s="46"/>
      <c r="DIC101" s="46"/>
      <c r="DID101" s="46"/>
      <c r="DIE101" s="46"/>
      <c r="DIF101" s="46"/>
      <c r="DIG101" s="46"/>
      <c r="DIH101" s="46"/>
      <c r="DII101" s="46"/>
      <c r="DIJ101" s="46"/>
      <c r="DIK101" s="46"/>
      <c r="DIL101" s="46"/>
      <c r="DIM101" s="46"/>
      <c r="DIN101" s="46"/>
      <c r="DIO101" s="46"/>
      <c r="DIP101" s="46"/>
      <c r="DIQ101" s="46"/>
      <c r="DIR101" s="46"/>
      <c r="DIS101" s="46"/>
      <c r="DIT101" s="46"/>
      <c r="DIU101" s="46"/>
      <c r="DIV101" s="46"/>
      <c r="DIW101" s="46"/>
      <c r="DIX101" s="46"/>
      <c r="DIY101" s="46"/>
      <c r="DIZ101" s="46"/>
      <c r="DJA101" s="46"/>
      <c r="DJB101" s="46"/>
      <c r="DJC101" s="46"/>
      <c r="DJD101" s="46"/>
      <c r="DJE101" s="46"/>
      <c r="DJF101" s="46"/>
      <c r="DJG101" s="46"/>
      <c r="DJH101" s="46"/>
      <c r="DJI101" s="46"/>
      <c r="DJJ101" s="46"/>
      <c r="DJK101" s="46"/>
      <c r="DJL101" s="46"/>
      <c r="DJM101" s="46"/>
      <c r="DJN101" s="46"/>
      <c r="DJO101" s="46"/>
      <c r="DJP101" s="46"/>
      <c r="DJQ101" s="46"/>
      <c r="DJR101" s="46"/>
      <c r="DJS101" s="46"/>
      <c r="DJT101" s="46"/>
      <c r="DJU101" s="46"/>
      <c r="DJV101" s="46"/>
      <c r="DJW101" s="46"/>
      <c r="DJX101" s="46"/>
      <c r="DJY101" s="46"/>
      <c r="DJZ101" s="46"/>
      <c r="DKA101" s="46"/>
      <c r="DKB101" s="46"/>
      <c r="DKC101" s="46"/>
      <c r="DKD101" s="46"/>
      <c r="DKE101" s="46"/>
      <c r="DKF101" s="46"/>
      <c r="DKG101" s="46"/>
      <c r="DKH101" s="46"/>
      <c r="DKI101" s="46"/>
      <c r="DKJ101" s="46"/>
      <c r="DKK101" s="46"/>
      <c r="DKL101" s="46"/>
      <c r="DKM101" s="46"/>
      <c r="DKN101" s="46"/>
      <c r="DKO101" s="46"/>
      <c r="DKP101" s="46"/>
      <c r="DKQ101" s="46"/>
      <c r="DKR101" s="46"/>
      <c r="DKS101" s="46"/>
      <c r="DKT101" s="46"/>
      <c r="DKU101" s="46"/>
      <c r="DKV101" s="46"/>
      <c r="DKW101" s="46"/>
      <c r="DKX101" s="46"/>
      <c r="DKY101" s="46"/>
      <c r="DKZ101" s="46"/>
      <c r="DLA101" s="46"/>
      <c r="DLB101" s="46"/>
      <c r="DLC101" s="46"/>
      <c r="DLD101" s="46"/>
      <c r="DLE101" s="46"/>
      <c r="DLF101" s="46"/>
      <c r="DLG101" s="46"/>
      <c r="DLH101" s="46"/>
      <c r="DLI101" s="46"/>
      <c r="DLJ101" s="46"/>
      <c r="DLK101" s="46"/>
      <c r="DLL101" s="46"/>
      <c r="DLM101" s="46"/>
      <c r="DLN101" s="46"/>
      <c r="DLO101" s="46"/>
      <c r="DLP101" s="46"/>
      <c r="DLQ101" s="46"/>
      <c r="DLR101" s="46"/>
      <c r="DLS101" s="46"/>
      <c r="DLT101" s="46"/>
      <c r="DLU101" s="46"/>
      <c r="DLV101" s="46"/>
      <c r="DLW101" s="46"/>
      <c r="DLX101" s="46"/>
      <c r="DLY101" s="46"/>
      <c r="DLZ101" s="46"/>
      <c r="DMA101" s="46"/>
      <c r="DMB101" s="46"/>
      <c r="DMC101" s="46"/>
      <c r="DMD101" s="46"/>
      <c r="DME101" s="46"/>
      <c r="DMF101" s="46"/>
      <c r="DMG101" s="46"/>
      <c r="DMH101" s="46"/>
      <c r="DMI101" s="46"/>
      <c r="DMJ101" s="46"/>
      <c r="DMK101" s="46"/>
      <c r="DML101" s="46"/>
      <c r="DMM101" s="46"/>
      <c r="DMN101" s="46"/>
      <c r="DMO101" s="46"/>
      <c r="DMP101" s="46"/>
      <c r="DMQ101" s="46"/>
      <c r="DMR101" s="46"/>
      <c r="DMS101" s="46"/>
      <c r="DMT101" s="46"/>
      <c r="DMU101" s="46"/>
      <c r="DMV101" s="46"/>
      <c r="DMW101" s="46"/>
      <c r="DMX101" s="46"/>
      <c r="DMY101" s="46"/>
      <c r="DMZ101" s="46"/>
      <c r="DNA101" s="46"/>
      <c r="DNB101" s="46"/>
      <c r="DNC101" s="46"/>
      <c r="DND101" s="46"/>
      <c r="DNE101" s="46"/>
      <c r="DNF101" s="46"/>
      <c r="DNG101" s="46"/>
      <c r="DNH101" s="46"/>
      <c r="DNI101" s="46"/>
      <c r="DNJ101" s="46"/>
      <c r="DNK101" s="46"/>
      <c r="DNL101" s="46"/>
      <c r="DNM101" s="46"/>
      <c r="DNN101" s="46"/>
      <c r="DNO101" s="46"/>
      <c r="DNP101" s="46"/>
      <c r="DNQ101" s="46"/>
      <c r="DNR101" s="46"/>
      <c r="DNS101" s="46"/>
      <c r="DNT101" s="46"/>
      <c r="DNU101" s="46"/>
      <c r="DNV101" s="46"/>
      <c r="DNW101" s="46"/>
      <c r="DNX101" s="46"/>
      <c r="DNY101" s="46"/>
      <c r="DNZ101" s="46"/>
      <c r="DOA101" s="46"/>
      <c r="DOB101" s="46"/>
      <c r="DOC101" s="46"/>
      <c r="DOD101" s="46"/>
      <c r="DOE101" s="46"/>
      <c r="DOF101" s="46"/>
      <c r="DOG101" s="46"/>
      <c r="DOH101" s="46"/>
      <c r="DOI101" s="46"/>
      <c r="DOJ101" s="46"/>
      <c r="DOK101" s="46"/>
      <c r="DOL101" s="46"/>
      <c r="DOM101" s="46"/>
      <c r="DON101" s="46"/>
      <c r="DOO101" s="46"/>
      <c r="DOP101" s="46"/>
      <c r="DOQ101" s="46"/>
      <c r="DOR101" s="46"/>
      <c r="DOS101" s="46"/>
      <c r="DOT101" s="46"/>
      <c r="DOU101" s="46"/>
      <c r="DOV101" s="46"/>
      <c r="DOW101" s="46"/>
      <c r="DOX101" s="46"/>
      <c r="DOY101" s="46"/>
      <c r="DOZ101" s="46"/>
      <c r="DPA101" s="46"/>
      <c r="DPB101" s="46"/>
      <c r="DPC101" s="46"/>
      <c r="DPD101" s="46"/>
      <c r="DPE101" s="46"/>
      <c r="DPF101" s="46"/>
      <c r="DPG101" s="46"/>
      <c r="DPH101" s="46"/>
      <c r="DPI101" s="46"/>
      <c r="DPJ101" s="46"/>
      <c r="DPK101" s="46"/>
      <c r="DPL101" s="46"/>
      <c r="DPM101" s="46"/>
      <c r="DPN101" s="46"/>
      <c r="DPO101" s="46"/>
      <c r="DPP101" s="46"/>
      <c r="DPQ101" s="46"/>
      <c r="DPR101" s="46"/>
      <c r="DPS101" s="46"/>
      <c r="DPT101" s="46"/>
      <c r="DPU101" s="46"/>
      <c r="DPV101" s="46"/>
      <c r="DPW101" s="46"/>
      <c r="DPX101" s="46"/>
      <c r="DPY101" s="46"/>
      <c r="DPZ101" s="46"/>
      <c r="DQA101" s="46"/>
      <c r="DQB101" s="46"/>
      <c r="DQC101" s="46"/>
      <c r="DQD101" s="46"/>
      <c r="DQE101" s="46"/>
      <c r="DQF101" s="46"/>
      <c r="DQG101" s="46"/>
      <c r="DQH101" s="46"/>
      <c r="DQI101" s="46"/>
      <c r="DQJ101" s="46"/>
      <c r="DQK101" s="46"/>
      <c r="DQL101" s="46"/>
      <c r="DQM101" s="46"/>
      <c r="DQN101" s="46"/>
      <c r="DQO101" s="46"/>
      <c r="DQP101" s="46"/>
      <c r="DQQ101" s="46"/>
      <c r="DQR101" s="46"/>
      <c r="DQS101" s="46"/>
      <c r="DQT101" s="46"/>
      <c r="DQU101" s="46"/>
      <c r="DQV101" s="46"/>
      <c r="DQW101" s="46"/>
      <c r="DQX101" s="46"/>
      <c r="DQY101" s="46"/>
      <c r="DQZ101" s="46"/>
      <c r="DRA101" s="46"/>
      <c r="DRB101" s="46"/>
      <c r="DRC101" s="46"/>
      <c r="DRD101" s="46"/>
      <c r="DRE101" s="46"/>
      <c r="DRF101" s="46"/>
      <c r="DRG101" s="46"/>
      <c r="DRH101" s="46"/>
      <c r="DRI101" s="46"/>
      <c r="DRJ101" s="46"/>
      <c r="DRK101" s="46"/>
      <c r="DRL101" s="46"/>
      <c r="DRM101" s="46"/>
      <c r="DRN101" s="46"/>
      <c r="DRO101" s="46"/>
      <c r="DRP101" s="46"/>
      <c r="DRQ101" s="46"/>
      <c r="DRR101" s="46"/>
      <c r="DRS101" s="46"/>
      <c r="DRT101" s="46"/>
      <c r="DRU101" s="46"/>
      <c r="DRV101" s="46"/>
      <c r="DRW101" s="46"/>
      <c r="DRX101" s="46"/>
      <c r="DRY101" s="46"/>
      <c r="DRZ101" s="46"/>
      <c r="DSA101" s="46"/>
      <c r="DSB101" s="46"/>
      <c r="DSC101" s="46"/>
      <c r="DSD101" s="46"/>
      <c r="DSE101" s="46"/>
      <c r="DSF101" s="46"/>
      <c r="DSG101" s="46"/>
      <c r="DSH101" s="46"/>
      <c r="DSI101" s="46"/>
      <c r="DSJ101" s="46"/>
      <c r="DSK101" s="46"/>
      <c r="DSL101" s="46"/>
      <c r="DSM101" s="46"/>
      <c r="DSN101" s="46"/>
      <c r="DSO101" s="46"/>
      <c r="DSP101" s="46"/>
      <c r="DSQ101" s="46"/>
      <c r="DSR101" s="46"/>
      <c r="DSS101" s="46"/>
      <c r="DST101" s="46"/>
      <c r="DSU101" s="46"/>
      <c r="DSV101" s="46"/>
      <c r="DSW101" s="46"/>
      <c r="DSX101" s="46"/>
      <c r="DSY101" s="46"/>
      <c r="DSZ101" s="46"/>
      <c r="DTA101" s="46"/>
      <c r="DTB101" s="46"/>
      <c r="DTC101" s="46"/>
      <c r="DTD101" s="46"/>
      <c r="DTE101" s="46"/>
      <c r="DTF101" s="46"/>
      <c r="DTG101" s="46"/>
      <c r="DTH101" s="46"/>
      <c r="DTI101" s="46"/>
      <c r="DTJ101" s="46"/>
      <c r="DTK101" s="46"/>
      <c r="DTL101" s="46"/>
      <c r="DTM101" s="46"/>
      <c r="DTN101" s="46"/>
      <c r="DTO101" s="46"/>
      <c r="DTP101" s="46"/>
      <c r="DTQ101" s="46"/>
      <c r="DTR101" s="46"/>
      <c r="DTS101" s="46"/>
      <c r="DTT101" s="46"/>
      <c r="DTU101" s="46"/>
      <c r="DTV101" s="46"/>
      <c r="DTW101" s="46"/>
      <c r="DTX101" s="46"/>
      <c r="DTY101" s="46"/>
      <c r="DTZ101" s="46"/>
      <c r="DUA101" s="46"/>
      <c r="DUB101" s="46"/>
      <c r="DUC101" s="46"/>
      <c r="DUD101" s="46"/>
      <c r="DUE101" s="46"/>
      <c r="DUF101" s="46"/>
      <c r="DUG101" s="46"/>
      <c r="DUH101" s="46"/>
      <c r="DUI101" s="46"/>
      <c r="DUJ101" s="46"/>
      <c r="DUK101" s="46"/>
      <c r="DUL101" s="46"/>
      <c r="DUM101" s="46"/>
      <c r="DUN101" s="46"/>
      <c r="DUO101" s="46"/>
      <c r="DUP101" s="46"/>
      <c r="DUQ101" s="46"/>
      <c r="DUR101" s="46"/>
      <c r="DUS101" s="46"/>
      <c r="DUT101" s="46"/>
      <c r="DUU101" s="46"/>
      <c r="DUV101" s="46"/>
      <c r="DUW101" s="46"/>
      <c r="DUX101" s="46"/>
      <c r="DUY101" s="46"/>
      <c r="DUZ101" s="46"/>
      <c r="DVA101" s="46"/>
      <c r="DVB101" s="46"/>
      <c r="DVC101" s="46"/>
      <c r="DVD101" s="46"/>
      <c r="DVE101" s="46"/>
      <c r="DVF101" s="46"/>
      <c r="DVG101" s="46"/>
      <c r="DVH101" s="46"/>
      <c r="DVI101" s="46"/>
      <c r="DVJ101" s="46"/>
      <c r="DVK101" s="46"/>
      <c r="DVL101" s="46"/>
      <c r="DVM101" s="46"/>
      <c r="DVN101" s="46"/>
      <c r="DVO101" s="46"/>
      <c r="DVP101" s="46"/>
      <c r="DVQ101" s="46"/>
      <c r="DVR101" s="46"/>
      <c r="DVS101" s="46"/>
      <c r="DVT101" s="46"/>
      <c r="DVU101" s="46"/>
      <c r="DVV101" s="46"/>
      <c r="DVW101" s="46"/>
      <c r="DVX101" s="46"/>
      <c r="DVY101" s="46"/>
      <c r="DVZ101" s="46"/>
      <c r="DWA101" s="46"/>
      <c r="DWB101" s="46"/>
      <c r="DWC101" s="46"/>
      <c r="DWD101" s="46"/>
      <c r="DWE101" s="46"/>
      <c r="DWF101" s="46"/>
      <c r="DWG101" s="46"/>
      <c r="DWH101" s="46"/>
      <c r="DWI101" s="46"/>
      <c r="DWJ101" s="46"/>
      <c r="DWK101" s="46"/>
      <c r="DWL101" s="46"/>
      <c r="DWM101" s="46"/>
      <c r="DWN101" s="46"/>
      <c r="DWO101" s="46"/>
      <c r="DWP101" s="46"/>
      <c r="DWQ101" s="46"/>
      <c r="DWR101" s="46"/>
      <c r="DWS101" s="46"/>
      <c r="DWT101" s="46"/>
      <c r="DWU101" s="46"/>
      <c r="DWV101" s="46"/>
      <c r="DWW101" s="46"/>
      <c r="DWX101" s="46"/>
      <c r="DWY101" s="46"/>
      <c r="DWZ101" s="46"/>
      <c r="DXA101" s="46"/>
      <c r="DXB101" s="46"/>
      <c r="DXC101" s="46"/>
      <c r="DXD101" s="46"/>
      <c r="DXE101" s="46"/>
      <c r="DXF101" s="46"/>
      <c r="DXG101" s="46"/>
      <c r="DXH101" s="46"/>
      <c r="DXI101" s="46"/>
      <c r="DXJ101" s="46"/>
      <c r="DXK101" s="46"/>
      <c r="DXL101" s="46"/>
      <c r="DXM101" s="46"/>
      <c r="DXN101" s="46"/>
      <c r="DXO101" s="46"/>
      <c r="DXP101" s="46"/>
      <c r="DXQ101" s="46"/>
      <c r="DXR101" s="46"/>
      <c r="DXS101" s="46"/>
      <c r="DXT101" s="46"/>
      <c r="DXU101" s="46"/>
      <c r="DXV101" s="46"/>
      <c r="DXW101" s="46"/>
      <c r="DXX101" s="46"/>
      <c r="DXY101" s="46"/>
      <c r="DXZ101" s="46"/>
      <c r="DYA101" s="46"/>
      <c r="DYB101" s="46"/>
      <c r="DYC101" s="46"/>
      <c r="DYD101" s="46"/>
      <c r="DYE101" s="46"/>
      <c r="DYF101" s="46"/>
      <c r="DYG101" s="46"/>
      <c r="DYH101" s="46"/>
      <c r="DYI101" s="46"/>
      <c r="DYJ101" s="46"/>
      <c r="DYK101" s="46"/>
      <c r="DYL101" s="46"/>
      <c r="DYM101" s="46"/>
      <c r="DYN101" s="46"/>
      <c r="DYO101" s="46"/>
      <c r="DYP101" s="46"/>
      <c r="DYQ101" s="46"/>
      <c r="DYR101" s="46"/>
      <c r="DYS101" s="46"/>
      <c r="DYT101" s="46"/>
      <c r="DYU101" s="46"/>
      <c r="DYV101" s="46"/>
      <c r="DYW101" s="46"/>
      <c r="DYX101" s="46"/>
      <c r="DYY101" s="46"/>
      <c r="DYZ101" s="46"/>
      <c r="DZA101" s="46"/>
      <c r="DZB101" s="46"/>
      <c r="DZC101" s="46"/>
      <c r="DZD101" s="46"/>
      <c r="DZE101" s="46"/>
      <c r="DZF101" s="46"/>
      <c r="DZG101" s="46"/>
      <c r="DZH101" s="46"/>
      <c r="DZI101" s="46"/>
      <c r="DZJ101" s="46"/>
      <c r="DZK101" s="46"/>
      <c r="DZL101" s="46"/>
      <c r="DZM101" s="46"/>
      <c r="DZN101" s="46"/>
      <c r="DZO101" s="46"/>
      <c r="DZP101" s="46"/>
      <c r="DZQ101" s="46"/>
      <c r="DZR101" s="46"/>
      <c r="DZS101" s="46"/>
      <c r="DZT101" s="46"/>
      <c r="DZU101" s="46"/>
      <c r="DZV101" s="46"/>
      <c r="DZW101" s="46"/>
      <c r="DZX101" s="46"/>
      <c r="DZY101" s="46"/>
      <c r="DZZ101" s="46"/>
      <c r="EAA101" s="46"/>
      <c r="EAB101" s="46"/>
      <c r="EAC101" s="46"/>
      <c r="EAD101" s="46"/>
      <c r="EAE101" s="46"/>
      <c r="EAF101" s="46"/>
      <c r="EAG101" s="46"/>
      <c r="EAH101" s="46"/>
      <c r="EAI101" s="46"/>
      <c r="EAJ101" s="46"/>
      <c r="EAK101" s="46"/>
      <c r="EAL101" s="46"/>
      <c r="EAM101" s="46"/>
      <c r="EAN101" s="46"/>
      <c r="EAO101" s="46"/>
      <c r="EAP101" s="46"/>
      <c r="EAQ101" s="46"/>
      <c r="EAR101" s="46"/>
      <c r="EAS101" s="46"/>
      <c r="EAT101" s="46"/>
      <c r="EAU101" s="46"/>
      <c r="EAV101" s="46"/>
      <c r="EAW101" s="46"/>
      <c r="EAX101" s="46"/>
      <c r="EAY101" s="46"/>
      <c r="EAZ101" s="46"/>
      <c r="EBA101" s="46"/>
      <c r="EBB101" s="46"/>
      <c r="EBC101" s="46"/>
      <c r="EBD101" s="46"/>
      <c r="EBE101" s="46"/>
      <c r="EBF101" s="46"/>
      <c r="EBG101" s="46"/>
      <c r="EBH101" s="46"/>
      <c r="EBI101" s="46"/>
      <c r="EBJ101" s="46"/>
      <c r="EBK101" s="46"/>
      <c r="EBL101" s="46"/>
      <c r="EBM101" s="46"/>
      <c r="EBN101" s="46"/>
      <c r="EBO101" s="46"/>
      <c r="EBP101" s="46"/>
      <c r="EBQ101" s="46"/>
      <c r="EBR101" s="46"/>
      <c r="EBS101" s="46"/>
      <c r="EBT101" s="46"/>
      <c r="EBU101" s="46"/>
      <c r="EBV101" s="46"/>
      <c r="EBW101" s="46"/>
      <c r="EBX101" s="46"/>
      <c r="EBY101" s="46"/>
      <c r="EBZ101" s="46"/>
      <c r="ECA101" s="46"/>
      <c r="ECB101" s="46"/>
      <c r="ECC101" s="46"/>
      <c r="ECD101" s="46"/>
      <c r="ECE101" s="46"/>
      <c r="ECF101" s="46"/>
      <c r="ECG101" s="46"/>
      <c r="ECH101" s="46"/>
      <c r="ECI101" s="46"/>
      <c r="ECJ101" s="46"/>
      <c r="ECK101" s="46"/>
      <c r="ECL101" s="46"/>
      <c r="ECM101" s="46"/>
      <c r="ECN101" s="46"/>
      <c r="ECO101" s="46"/>
      <c r="ECP101" s="46"/>
      <c r="ECQ101" s="46"/>
      <c r="ECR101" s="46"/>
      <c r="ECS101" s="46"/>
      <c r="ECT101" s="46"/>
      <c r="ECU101" s="46"/>
      <c r="ECV101" s="46"/>
      <c r="ECW101" s="46"/>
      <c r="ECX101" s="46"/>
      <c r="ECY101" s="46"/>
      <c r="ECZ101" s="46"/>
      <c r="EDA101" s="46"/>
      <c r="EDB101" s="46"/>
      <c r="EDC101" s="46"/>
      <c r="EDD101" s="46"/>
      <c r="EDE101" s="46"/>
      <c r="EDF101" s="46"/>
      <c r="EDG101" s="46"/>
      <c r="EDH101" s="46"/>
      <c r="EDI101" s="46"/>
      <c r="EDJ101" s="46"/>
      <c r="EDK101" s="46"/>
      <c r="EDL101" s="46"/>
      <c r="EDM101" s="46"/>
      <c r="EDN101" s="46"/>
      <c r="EDO101" s="46"/>
      <c r="EDP101" s="46"/>
      <c r="EDQ101" s="46"/>
      <c r="EDR101" s="46"/>
      <c r="EDS101" s="46"/>
      <c r="EDT101" s="46"/>
      <c r="EDU101" s="46"/>
      <c r="EDV101" s="46"/>
      <c r="EDW101" s="46"/>
      <c r="EDX101" s="46"/>
      <c r="EDY101" s="46"/>
      <c r="EDZ101" s="46"/>
      <c r="EEA101" s="46"/>
      <c r="EEB101" s="46"/>
      <c r="EEC101" s="46"/>
      <c r="EED101" s="46"/>
      <c r="EEE101" s="46"/>
      <c r="EEF101" s="46"/>
      <c r="EEG101" s="46"/>
      <c r="EEH101" s="46"/>
      <c r="EEI101" s="46"/>
      <c r="EEJ101" s="46"/>
      <c r="EEK101" s="46"/>
      <c r="EEL101" s="46"/>
      <c r="EEM101" s="46"/>
      <c r="EEN101" s="46"/>
      <c r="EEO101" s="46"/>
      <c r="EEP101" s="46"/>
      <c r="EEQ101" s="46"/>
      <c r="EER101" s="46"/>
      <c r="EES101" s="46"/>
      <c r="EET101" s="46"/>
      <c r="EEU101" s="46"/>
      <c r="EEV101" s="46"/>
      <c r="EEW101" s="46"/>
      <c r="EEX101" s="46"/>
      <c r="EEY101" s="46"/>
      <c r="EEZ101" s="46"/>
      <c r="EFA101" s="46"/>
      <c r="EFB101" s="46"/>
      <c r="EFC101" s="46"/>
      <c r="EFD101" s="46"/>
      <c r="EFE101" s="46"/>
      <c r="EFF101" s="46"/>
      <c r="EFG101" s="46"/>
      <c r="EFH101" s="46"/>
      <c r="EFI101" s="46"/>
      <c r="EFJ101" s="46"/>
      <c r="EFK101" s="46"/>
      <c r="EFL101" s="46"/>
      <c r="EFM101" s="46"/>
      <c r="EFN101" s="46"/>
      <c r="EFO101" s="46"/>
      <c r="EFP101" s="46"/>
      <c r="EFQ101" s="46"/>
      <c r="EFR101" s="46"/>
      <c r="EFS101" s="46"/>
      <c r="EFT101" s="46"/>
      <c r="EFU101" s="46"/>
      <c r="EFV101" s="46"/>
      <c r="EFW101" s="46"/>
      <c r="EFX101" s="46"/>
      <c r="EFY101" s="46"/>
      <c r="EFZ101" s="46"/>
      <c r="EGA101" s="46"/>
      <c r="EGB101" s="46"/>
      <c r="EGC101" s="46"/>
      <c r="EGD101" s="46"/>
      <c r="EGE101" s="46"/>
      <c r="EGF101" s="46"/>
      <c r="EGG101" s="46"/>
      <c r="EGH101" s="46"/>
      <c r="EGI101" s="46"/>
      <c r="EGJ101" s="46"/>
      <c r="EGK101" s="46"/>
      <c r="EGL101" s="46"/>
      <c r="EGM101" s="46"/>
      <c r="EGN101" s="46"/>
      <c r="EGO101" s="46"/>
      <c r="EGP101" s="46"/>
      <c r="EGQ101" s="46"/>
      <c r="EGR101" s="46"/>
      <c r="EGS101" s="46"/>
      <c r="EGT101" s="46"/>
      <c r="EGU101" s="46"/>
      <c r="EGV101" s="46"/>
      <c r="EGW101" s="46"/>
      <c r="EGX101" s="46"/>
      <c r="EGY101" s="46"/>
      <c r="EGZ101" s="46"/>
      <c r="EHA101" s="46"/>
      <c r="EHB101" s="46"/>
      <c r="EHC101" s="46"/>
      <c r="EHD101" s="46"/>
      <c r="EHE101" s="46"/>
      <c r="EHF101" s="46"/>
      <c r="EHG101" s="46"/>
      <c r="EHH101" s="46"/>
      <c r="EHI101" s="46"/>
      <c r="EHJ101" s="46"/>
      <c r="EHK101" s="46"/>
      <c r="EHL101" s="46"/>
      <c r="EHM101" s="46"/>
      <c r="EHN101" s="46"/>
      <c r="EHO101" s="46"/>
      <c r="EHP101" s="46"/>
      <c r="EHQ101" s="46"/>
      <c r="EHR101" s="46"/>
      <c r="EHS101" s="46"/>
      <c r="EHT101" s="46"/>
      <c r="EHU101" s="46"/>
      <c r="EHV101" s="46"/>
      <c r="EHW101" s="46"/>
      <c r="EHX101" s="46"/>
      <c r="EHY101" s="46"/>
      <c r="EHZ101" s="46"/>
      <c r="EIA101" s="46"/>
      <c r="EIB101" s="46"/>
      <c r="EIC101" s="46"/>
      <c r="EID101" s="46"/>
      <c r="EIE101" s="46"/>
      <c r="EIF101" s="46"/>
      <c r="EIG101" s="46"/>
      <c r="EIH101" s="46"/>
      <c r="EII101" s="46"/>
      <c r="EIJ101" s="46"/>
      <c r="EIK101" s="46"/>
      <c r="EIL101" s="46"/>
      <c r="EIM101" s="46"/>
      <c r="EIN101" s="46"/>
      <c r="EIO101" s="46"/>
      <c r="EIP101" s="46"/>
      <c r="EIQ101" s="46"/>
      <c r="EIR101" s="46"/>
      <c r="EIS101" s="46"/>
      <c r="EIT101" s="46"/>
      <c r="EIU101" s="46"/>
      <c r="EIV101" s="46"/>
      <c r="EIW101" s="46"/>
      <c r="EIX101" s="46"/>
      <c r="EIY101" s="46"/>
      <c r="EIZ101" s="46"/>
      <c r="EJA101" s="46"/>
      <c r="EJB101" s="46"/>
      <c r="EJC101" s="46"/>
      <c r="EJD101" s="46"/>
      <c r="EJE101" s="46"/>
      <c r="EJF101" s="46"/>
      <c r="EJG101" s="46"/>
      <c r="EJH101" s="46"/>
      <c r="EJI101" s="46"/>
      <c r="EJJ101" s="46"/>
      <c r="EJK101" s="46"/>
      <c r="EJL101" s="46"/>
      <c r="EJM101" s="46"/>
      <c r="EJN101" s="46"/>
      <c r="EJO101" s="46"/>
      <c r="EJP101" s="46"/>
      <c r="EJQ101" s="46"/>
      <c r="EJR101" s="46"/>
      <c r="EJS101" s="46"/>
      <c r="EJT101" s="46"/>
      <c r="EJU101" s="46"/>
      <c r="EJV101" s="46"/>
      <c r="EJW101" s="46"/>
      <c r="EJX101" s="46"/>
      <c r="EJY101" s="46"/>
      <c r="EJZ101" s="46"/>
      <c r="EKA101" s="46"/>
      <c r="EKB101" s="46"/>
      <c r="EKC101" s="46"/>
      <c r="EKD101" s="46"/>
      <c r="EKE101" s="46"/>
      <c r="EKF101" s="46"/>
      <c r="EKG101" s="46"/>
      <c r="EKH101" s="46"/>
      <c r="EKI101" s="46"/>
      <c r="EKJ101" s="46"/>
      <c r="EKK101" s="46"/>
      <c r="EKL101" s="46"/>
      <c r="EKM101" s="46"/>
      <c r="EKN101" s="46"/>
      <c r="EKO101" s="46"/>
      <c r="EKP101" s="46"/>
      <c r="EKQ101" s="46"/>
      <c r="EKR101" s="46"/>
      <c r="EKS101" s="46"/>
      <c r="EKT101" s="46"/>
      <c r="EKU101" s="46"/>
      <c r="EKV101" s="46"/>
      <c r="EKW101" s="46"/>
      <c r="EKX101" s="46"/>
      <c r="EKY101" s="46"/>
      <c r="EKZ101" s="46"/>
      <c r="ELA101" s="46"/>
      <c r="ELB101" s="46"/>
      <c r="ELC101" s="46"/>
      <c r="ELD101" s="46"/>
      <c r="ELE101" s="46"/>
      <c r="ELF101" s="46"/>
      <c r="ELG101" s="46"/>
      <c r="ELH101" s="46"/>
      <c r="ELI101" s="46"/>
      <c r="ELJ101" s="46"/>
      <c r="ELK101" s="46"/>
      <c r="ELL101" s="46"/>
      <c r="ELM101" s="46"/>
      <c r="ELN101" s="46"/>
      <c r="ELO101" s="46"/>
      <c r="ELP101" s="46"/>
      <c r="ELQ101" s="46"/>
      <c r="ELR101" s="46"/>
      <c r="ELS101" s="46"/>
      <c r="ELT101" s="46"/>
      <c r="ELU101" s="46"/>
      <c r="ELV101" s="46"/>
      <c r="ELW101" s="46"/>
      <c r="ELX101" s="46"/>
      <c r="ELY101" s="46"/>
      <c r="ELZ101" s="46"/>
      <c r="EMA101" s="46"/>
      <c r="EMB101" s="46"/>
      <c r="EMC101" s="46"/>
      <c r="EMD101" s="46"/>
      <c r="EME101" s="46"/>
      <c r="EMF101" s="46"/>
      <c r="EMG101" s="46"/>
      <c r="EMH101" s="46"/>
      <c r="EMI101" s="46"/>
      <c r="EMJ101" s="46"/>
      <c r="EMK101" s="46"/>
      <c r="EML101" s="46"/>
      <c r="EMM101" s="46"/>
      <c r="EMN101" s="46"/>
      <c r="EMO101" s="46"/>
      <c r="EMP101" s="46"/>
      <c r="EMQ101" s="46"/>
      <c r="EMR101" s="46"/>
      <c r="EMS101" s="46"/>
      <c r="EMT101" s="46"/>
      <c r="EMU101" s="46"/>
      <c r="EMV101" s="46"/>
      <c r="EMW101" s="46"/>
      <c r="EMX101" s="46"/>
      <c r="EMY101" s="46"/>
      <c r="EMZ101" s="46"/>
      <c r="ENA101" s="46"/>
      <c r="ENB101" s="46"/>
      <c r="ENC101" s="46"/>
      <c r="END101" s="46"/>
      <c r="ENE101" s="46"/>
      <c r="ENF101" s="46"/>
      <c r="ENG101" s="46"/>
      <c r="ENH101" s="46"/>
      <c r="ENI101" s="46"/>
      <c r="ENJ101" s="46"/>
      <c r="ENK101" s="46"/>
      <c r="ENL101" s="46"/>
      <c r="ENM101" s="46"/>
      <c r="ENN101" s="46"/>
      <c r="ENO101" s="46"/>
      <c r="ENP101" s="46"/>
      <c r="ENQ101" s="46"/>
      <c r="ENR101" s="46"/>
      <c r="ENS101" s="46"/>
      <c r="ENT101" s="46"/>
      <c r="ENU101" s="46"/>
      <c r="ENV101" s="46"/>
      <c r="ENW101" s="46"/>
      <c r="ENX101" s="46"/>
      <c r="ENY101" s="46"/>
      <c r="ENZ101" s="46"/>
      <c r="EOA101" s="46"/>
      <c r="EOB101" s="46"/>
      <c r="EOC101" s="46"/>
      <c r="EOD101" s="46"/>
      <c r="EOE101" s="46"/>
      <c r="EOF101" s="46"/>
      <c r="EOG101" s="46"/>
      <c r="EOH101" s="46"/>
      <c r="EOI101" s="46"/>
      <c r="EOJ101" s="46"/>
      <c r="EOK101" s="46"/>
      <c r="EOL101" s="46"/>
      <c r="EOM101" s="46"/>
      <c r="EON101" s="46"/>
      <c r="EOO101" s="46"/>
      <c r="EOP101" s="46"/>
      <c r="EOQ101" s="46"/>
      <c r="EOR101" s="46"/>
      <c r="EOS101" s="46"/>
      <c r="EOT101" s="46"/>
      <c r="EOU101" s="46"/>
      <c r="EOV101" s="46"/>
      <c r="EOW101" s="46"/>
      <c r="EOX101" s="46"/>
      <c r="EOY101" s="46"/>
      <c r="EOZ101" s="46"/>
      <c r="EPA101" s="46"/>
      <c r="EPB101" s="46"/>
      <c r="EPC101" s="46"/>
      <c r="EPD101" s="46"/>
      <c r="EPE101" s="46"/>
      <c r="EPF101" s="46"/>
      <c r="EPG101" s="46"/>
      <c r="EPH101" s="46"/>
      <c r="EPI101" s="46"/>
      <c r="EPJ101" s="46"/>
      <c r="EPK101" s="46"/>
      <c r="EPL101" s="46"/>
      <c r="EPM101" s="46"/>
      <c r="EPN101" s="46"/>
      <c r="EPO101" s="46"/>
      <c r="EPP101" s="46"/>
      <c r="EPQ101" s="46"/>
      <c r="EPR101" s="46"/>
      <c r="EPS101" s="46"/>
      <c r="EPT101" s="46"/>
      <c r="EPU101" s="46"/>
      <c r="EPV101" s="46"/>
      <c r="EPW101" s="46"/>
      <c r="EPX101" s="46"/>
      <c r="EPY101" s="46"/>
      <c r="EPZ101" s="46"/>
      <c r="EQA101" s="46"/>
      <c r="EQB101" s="46"/>
      <c r="EQC101" s="46"/>
      <c r="EQD101" s="46"/>
      <c r="EQE101" s="46"/>
      <c r="EQF101" s="46"/>
      <c r="EQG101" s="46"/>
      <c r="EQH101" s="46"/>
      <c r="EQI101" s="46"/>
      <c r="EQJ101" s="46"/>
      <c r="EQK101" s="46"/>
      <c r="EQL101" s="46"/>
      <c r="EQM101" s="46"/>
      <c r="EQN101" s="46"/>
      <c r="EQO101" s="46"/>
      <c r="EQP101" s="46"/>
      <c r="EQQ101" s="46"/>
      <c r="EQR101" s="46"/>
      <c r="EQS101" s="46"/>
      <c r="EQT101" s="46"/>
      <c r="EQU101" s="46"/>
      <c r="EQV101" s="46"/>
      <c r="EQW101" s="46"/>
      <c r="EQX101" s="46"/>
      <c r="EQY101" s="46"/>
      <c r="EQZ101" s="46"/>
      <c r="ERA101" s="46"/>
      <c r="ERB101" s="46"/>
      <c r="ERC101" s="46"/>
      <c r="ERD101" s="46"/>
      <c r="ERE101" s="46"/>
      <c r="ERF101" s="46"/>
      <c r="ERG101" s="46"/>
      <c r="ERH101" s="46"/>
      <c r="ERI101" s="46"/>
      <c r="ERJ101" s="46"/>
      <c r="ERK101" s="46"/>
      <c r="ERL101" s="46"/>
      <c r="ERM101" s="46"/>
      <c r="ERN101" s="46"/>
      <c r="ERO101" s="46"/>
      <c r="ERP101" s="46"/>
      <c r="ERQ101" s="46"/>
      <c r="ERR101" s="46"/>
      <c r="ERS101" s="46"/>
      <c r="ERT101" s="46"/>
      <c r="ERU101" s="46"/>
      <c r="ERV101" s="46"/>
      <c r="ERW101" s="46"/>
      <c r="ERX101" s="46"/>
      <c r="ERY101" s="46"/>
      <c r="ERZ101" s="46"/>
      <c r="ESA101" s="46"/>
      <c r="ESB101" s="46"/>
      <c r="ESC101" s="46"/>
      <c r="ESD101" s="46"/>
      <c r="ESE101" s="46"/>
      <c r="ESF101" s="46"/>
      <c r="ESG101" s="46"/>
      <c r="ESH101" s="46"/>
      <c r="ESI101" s="46"/>
      <c r="ESJ101" s="46"/>
      <c r="ESK101" s="46"/>
      <c r="ESL101" s="46"/>
      <c r="ESM101" s="46"/>
      <c r="ESN101" s="46"/>
      <c r="ESO101" s="46"/>
      <c r="ESP101" s="46"/>
      <c r="ESQ101" s="46"/>
      <c r="ESR101" s="46"/>
      <c r="ESS101" s="46"/>
      <c r="EST101" s="46"/>
      <c r="ESU101" s="46"/>
      <c r="ESV101" s="46"/>
      <c r="ESW101" s="46"/>
      <c r="ESX101" s="46"/>
      <c r="ESY101" s="46"/>
      <c r="ESZ101" s="46"/>
      <c r="ETA101" s="46"/>
      <c r="ETB101" s="46"/>
      <c r="ETC101" s="46"/>
      <c r="ETD101" s="46"/>
      <c r="ETE101" s="46"/>
      <c r="ETF101" s="46"/>
      <c r="ETG101" s="46"/>
      <c r="ETH101" s="46"/>
      <c r="ETI101" s="46"/>
      <c r="ETJ101" s="46"/>
      <c r="ETK101" s="46"/>
      <c r="ETL101" s="46"/>
      <c r="ETM101" s="46"/>
      <c r="ETN101" s="46"/>
      <c r="ETO101" s="46"/>
      <c r="ETP101" s="46"/>
      <c r="ETQ101" s="46"/>
      <c r="ETR101" s="46"/>
      <c r="ETS101" s="46"/>
      <c r="ETT101" s="46"/>
      <c r="ETU101" s="46"/>
      <c r="ETV101" s="46"/>
      <c r="ETW101" s="46"/>
      <c r="ETX101" s="46"/>
      <c r="ETY101" s="46"/>
      <c r="ETZ101" s="46"/>
      <c r="EUA101" s="46"/>
      <c r="EUB101" s="46"/>
      <c r="EUC101" s="46"/>
      <c r="EUD101" s="46"/>
      <c r="EUE101" s="46"/>
      <c r="EUF101" s="46"/>
      <c r="EUG101" s="46"/>
      <c r="EUH101" s="46"/>
      <c r="EUI101" s="46"/>
      <c r="EUJ101" s="46"/>
      <c r="EUK101" s="46"/>
      <c r="EUL101" s="46"/>
      <c r="EUM101" s="46"/>
      <c r="EUN101" s="46"/>
      <c r="EUO101" s="46"/>
      <c r="EUP101" s="46"/>
      <c r="EUQ101" s="46"/>
      <c r="EUR101" s="46"/>
      <c r="EUS101" s="46"/>
      <c r="EUT101" s="46"/>
      <c r="EUU101" s="46"/>
      <c r="EUV101" s="46"/>
      <c r="EUW101" s="46"/>
      <c r="EUX101" s="46"/>
      <c r="EUY101" s="46"/>
      <c r="EUZ101" s="46"/>
      <c r="EVA101" s="46"/>
      <c r="EVB101" s="46"/>
      <c r="EVC101" s="46"/>
      <c r="EVD101" s="46"/>
      <c r="EVE101" s="46"/>
      <c r="EVF101" s="46"/>
      <c r="EVG101" s="46"/>
      <c r="EVH101" s="46"/>
      <c r="EVI101" s="46"/>
      <c r="EVJ101" s="46"/>
      <c r="EVK101" s="46"/>
      <c r="EVL101" s="46"/>
      <c r="EVM101" s="46"/>
      <c r="EVN101" s="46"/>
      <c r="EVO101" s="46"/>
      <c r="EVP101" s="46"/>
      <c r="EVQ101" s="46"/>
      <c r="EVR101" s="46"/>
      <c r="EVS101" s="46"/>
      <c r="EVT101" s="46"/>
      <c r="EVU101" s="46"/>
      <c r="EVV101" s="46"/>
      <c r="EVW101" s="46"/>
      <c r="EVX101" s="46"/>
      <c r="EVY101" s="46"/>
      <c r="EVZ101" s="46"/>
      <c r="EWA101" s="46"/>
      <c r="EWB101" s="46"/>
      <c r="EWC101" s="46"/>
      <c r="EWD101" s="46"/>
      <c r="EWE101" s="46"/>
      <c r="EWF101" s="46"/>
      <c r="EWG101" s="46"/>
      <c r="EWH101" s="46"/>
      <c r="EWI101" s="46"/>
      <c r="EWJ101" s="46"/>
      <c r="EWK101" s="46"/>
      <c r="EWL101" s="46"/>
      <c r="EWM101" s="46"/>
      <c r="EWN101" s="46"/>
      <c r="EWO101" s="46"/>
      <c r="EWP101" s="46"/>
      <c r="EWQ101" s="46"/>
      <c r="EWR101" s="46"/>
      <c r="EWS101" s="46"/>
      <c r="EWT101" s="46"/>
      <c r="EWU101" s="46"/>
      <c r="EWV101" s="46"/>
      <c r="EWW101" s="46"/>
      <c r="EWX101" s="46"/>
      <c r="EWY101" s="46"/>
      <c r="EWZ101" s="46"/>
      <c r="EXA101" s="46"/>
      <c r="EXB101" s="46"/>
      <c r="EXC101" s="46"/>
      <c r="EXD101" s="46"/>
      <c r="EXE101" s="46"/>
      <c r="EXF101" s="46"/>
      <c r="EXG101" s="46"/>
      <c r="EXH101" s="46"/>
      <c r="EXI101" s="46"/>
      <c r="EXJ101" s="46"/>
      <c r="EXK101" s="46"/>
      <c r="EXL101" s="46"/>
      <c r="EXM101" s="46"/>
      <c r="EXN101" s="46"/>
      <c r="EXO101" s="46"/>
      <c r="EXP101" s="46"/>
      <c r="EXQ101" s="46"/>
      <c r="EXR101" s="46"/>
      <c r="EXS101" s="46"/>
      <c r="EXT101" s="46"/>
      <c r="EXU101" s="46"/>
      <c r="EXV101" s="46"/>
      <c r="EXW101" s="46"/>
      <c r="EXX101" s="46"/>
      <c r="EXY101" s="46"/>
      <c r="EXZ101" s="46"/>
      <c r="EYA101" s="46"/>
      <c r="EYB101" s="46"/>
      <c r="EYC101" s="46"/>
      <c r="EYD101" s="46"/>
      <c r="EYE101" s="46"/>
      <c r="EYF101" s="46"/>
      <c r="EYG101" s="46"/>
      <c r="EYH101" s="46"/>
      <c r="EYI101" s="46"/>
      <c r="EYJ101" s="46"/>
      <c r="EYK101" s="46"/>
      <c r="EYL101" s="46"/>
      <c r="EYM101" s="46"/>
      <c r="EYN101" s="46"/>
      <c r="EYO101" s="46"/>
      <c r="EYP101" s="46"/>
      <c r="EYQ101" s="46"/>
      <c r="EYR101" s="46"/>
      <c r="EYS101" s="46"/>
      <c r="EYT101" s="46"/>
      <c r="EYU101" s="46"/>
      <c r="EYV101" s="46"/>
      <c r="EYW101" s="46"/>
      <c r="EYX101" s="46"/>
      <c r="EYY101" s="46"/>
      <c r="EYZ101" s="46"/>
      <c r="EZA101" s="46"/>
      <c r="EZB101" s="46"/>
      <c r="EZC101" s="46"/>
      <c r="EZD101" s="46"/>
      <c r="EZE101" s="46"/>
      <c r="EZF101" s="46"/>
      <c r="EZG101" s="46"/>
      <c r="EZH101" s="46"/>
      <c r="EZI101" s="46"/>
      <c r="EZJ101" s="46"/>
      <c r="EZK101" s="46"/>
      <c r="EZL101" s="46"/>
      <c r="EZM101" s="46"/>
      <c r="EZN101" s="46"/>
      <c r="EZO101" s="46"/>
      <c r="EZP101" s="46"/>
      <c r="EZQ101" s="46"/>
      <c r="EZR101" s="46"/>
      <c r="EZS101" s="46"/>
      <c r="EZT101" s="46"/>
      <c r="EZU101" s="46"/>
      <c r="EZV101" s="46"/>
      <c r="EZW101" s="46"/>
      <c r="EZX101" s="46"/>
      <c r="EZY101" s="46"/>
      <c r="EZZ101" s="46"/>
      <c r="FAA101" s="46"/>
      <c r="FAB101" s="46"/>
      <c r="FAC101" s="46"/>
      <c r="FAD101" s="46"/>
      <c r="FAE101" s="46"/>
      <c r="FAF101" s="46"/>
      <c r="FAG101" s="46"/>
      <c r="FAH101" s="46"/>
      <c r="FAI101" s="46"/>
      <c r="FAJ101" s="46"/>
      <c r="FAK101" s="46"/>
      <c r="FAL101" s="46"/>
      <c r="FAM101" s="46"/>
      <c r="FAN101" s="46"/>
      <c r="FAO101" s="46"/>
      <c r="FAP101" s="46"/>
      <c r="FAQ101" s="46"/>
      <c r="FAR101" s="46"/>
      <c r="FAS101" s="46"/>
      <c r="FAT101" s="46"/>
      <c r="FAU101" s="46"/>
      <c r="FAV101" s="46"/>
      <c r="FAW101" s="46"/>
      <c r="FAX101" s="46"/>
      <c r="FAY101" s="46"/>
      <c r="FAZ101" s="46"/>
      <c r="FBA101" s="46"/>
      <c r="FBB101" s="46"/>
      <c r="FBC101" s="46"/>
      <c r="FBD101" s="46"/>
      <c r="FBE101" s="46"/>
      <c r="FBF101" s="46"/>
      <c r="FBG101" s="46"/>
      <c r="FBH101" s="46"/>
      <c r="FBI101" s="46"/>
      <c r="FBJ101" s="46"/>
      <c r="FBK101" s="46"/>
      <c r="FBL101" s="46"/>
      <c r="FBM101" s="46"/>
      <c r="FBN101" s="46"/>
      <c r="FBO101" s="46"/>
      <c r="FBP101" s="46"/>
      <c r="FBQ101" s="46"/>
      <c r="FBR101" s="46"/>
      <c r="FBS101" s="46"/>
      <c r="FBT101" s="46"/>
      <c r="FBU101" s="46"/>
      <c r="FBV101" s="46"/>
      <c r="FBW101" s="46"/>
      <c r="FBX101" s="46"/>
      <c r="FBY101" s="46"/>
      <c r="FBZ101" s="46"/>
      <c r="FCA101" s="46"/>
      <c r="FCB101" s="46"/>
      <c r="FCC101" s="46"/>
      <c r="FCD101" s="46"/>
      <c r="FCE101" s="46"/>
      <c r="FCF101" s="46"/>
      <c r="FCG101" s="46"/>
      <c r="FCH101" s="46"/>
      <c r="FCI101" s="46"/>
      <c r="FCJ101" s="46"/>
      <c r="FCK101" s="46"/>
      <c r="FCL101" s="46"/>
      <c r="FCM101" s="46"/>
      <c r="FCN101" s="46"/>
      <c r="FCO101" s="46"/>
      <c r="FCP101" s="46"/>
      <c r="FCQ101" s="46"/>
      <c r="FCR101" s="46"/>
      <c r="FCS101" s="46"/>
      <c r="FCT101" s="46"/>
      <c r="FCU101" s="46"/>
      <c r="FCV101" s="46"/>
      <c r="FCW101" s="46"/>
      <c r="FCX101" s="46"/>
      <c r="FCY101" s="46"/>
      <c r="FCZ101" s="46"/>
      <c r="FDA101" s="46"/>
      <c r="FDB101" s="46"/>
      <c r="FDC101" s="46"/>
      <c r="FDD101" s="46"/>
      <c r="FDE101" s="46"/>
      <c r="FDF101" s="46"/>
      <c r="FDG101" s="46"/>
      <c r="FDH101" s="46"/>
      <c r="FDI101" s="46"/>
      <c r="FDJ101" s="46"/>
      <c r="FDK101" s="46"/>
      <c r="FDL101" s="46"/>
      <c r="FDM101" s="46"/>
      <c r="FDN101" s="46"/>
      <c r="FDO101" s="46"/>
      <c r="FDP101" s="46"/>
      <c r="FDQ101" s="46"/>
      <c r="FDR101" s="46"/>
      <c r="FDS101" s="46"/>
      <c r="FDT101" s="46"/>
      <c r="FDU101" s="46"/>
      <c r="FDV101" s="46"/>
      <c r="FDW101" s="46"/>
      <c r="FDX101" s="46"/>
      <c r="FDY101" s="46"/>
      <c r="FDZ101" s="46"/>
      <c r="FEA101" s="46"/>
      <c r="FEB101" s="46"/>
      <c r="FEC101" s="46"/>
      <c r="FED101" s="46"/>
      <c r="FEE101" s="46"/>
      <c r="FEF101" s="46"/>
      <c r="FEG101" s="46"/>
      <c r="FEH101" s="46"/>
      <c r="FEI101" s="46"/>
      <c r="FEJ101" s="46"/>
      <c r="FEK101" s="46"/>
      <c r="FEL101" s="46"/>
      <c r="FEM101" s="46"/>
      <c r="FEN101" s="46"/>
      <c r="FEO101" s="46"/>
      <c r="FEP101" s="46"/>
      <c r="FEQ101" s="46"/>
      <c r="FER101" s="46"/>
      <c r="FES101" s="46"/>
      <c r="FET101" s="46"/>
      <c r="FEU101" s="46"/>
      <c r="FEV101" s="46"/>
      <c r="FEW101" s="46"/>
      <c r="FEX101" s="46"/>
      <c r="FEY101" s="46"/>
      <c r="FEZ101" s="46"/>
      <c r="FFA101" s="46"/>
      <c r="FFB101" s="46"/>
      <c r="FFC101" s="46"/>
      <c r="FFD101" s="46"/>
      <c r="FFE101" s="46"/>
      <c r="FFF101" s="46"/>
      <c r="FFG101" s="46"/>
      <c r="FFH101" s="46"/>
      <c r="FFI101" s="46"/>
      <c r="FFJ101" s="46"/>
      <c r="FFK101" s="46"/>
      <c r="FFL101" s="46"/>
      <c r="FFM101" s="46"/>
      <c r="FFN101" s="46"/>
      <c r="FFO101" s="46"/>
      <c r="FFP101" s="46"/>
      <c r="FFQ101" s="46"/>
      <c r="FFR101" s="46"/>
      <c r="FFS101" s="46"/>
      <c r="FFT101" s="46"/>
      <c r="FFU101" s="46"/>
      <c r="FFV101" s="46"/>
      <c r="FFW101" s="46"/>
      <c r="FFX101" s="46"/>
      <c r="FFY101" s="46"/>
      <c r="FFZ101" s="46"/>
      <c r="FGA101" s="46"/>
      <c r="FGB101" s="46"/>
      <c r="FGC101" s="46"/>
      <c r="FGD101" s="46"/>
      <c r="FGE101" s="46"/>
      <c r="FGF101" s="46"/>
      <c r="FGG101" s="46"/>
      <c r="FGH101" s="46"/>
      <c r="FGI101" s="46"/>
      <c r="FGJ101" s="46"/>
      <c r="FGK101" s="46"/>
      <c r="FGL101" s="46"/>
      <c r="FGM101" s="46"/>
      <c r="FGN101" s="46"/>
      <c r="FGO101" s="46"/>
      <c r="FGP101" s="46"/>
      <c r="FGQ101" s="46"/>
      <c r="FGR101" s="46"/>
      <c r="FGS101" s="46"/>
      <c r="FGT101" s="46"/>
      <c r="FGU101" s="46"/>
      <c r="FGV101" s="46"/>
      <c r="FGW101" s="46"/>
      <c r="FGX101" s="46"/>
      <c r="FGY101" s="46"/>
      <c r="FGZ101" s="46"/>
      <c r="FHA101" s="46"/>
      <c r="FHB101" s="46"/>
      <c r="FHC101" s="46"/>
      <c r="FHD101" s="46"/>
      <c r="FHE101" s="46"/>
      <c r="FHF101" s="46"/>
      <c r="FHG101" s="46"/>
      <c r="FHH101" s="46"/>
      <c r="FHI101" s="46"/>
      <c r="FHJ101" s="46"/>
      <c r="FHK101" s="46"/>
      <c r="FHL101" s="46"/>
      <c r="FHM101" s="46"/>
      <c r="FHN101" s="46"/>
      <c r="FHO101" s="46"/>
      <c r="FHP101" s="46"/>
      <c r="FHQ101" s="46"/>
      <c r="FHR101" s="46"/>
      <c r="FHS101" s="46"/>
      <c r="FHT101" s="46"/>
      <c r="FHU101" s="46"/>
      <c r="FHV101" s="46"/>
      <c r="FHW101" s="46"/>
      <c r="FHX101" s="46"/>
      <c r="FHY101" s="46"/>
      <c r="FHZ101" s="46"/>
      <c r="FIA101" s="46"/>
      <c r="FIB101" s="46"/>
      <c r="FIC101" s="46"/>
      <c r="FID101" s="46"/>
      <c r="FIE101" s="46"/>
      <c r="FIF101" s="46"/>
      <c r="FIG101" s="46"/>
      <c r="FIH101" s="46"/>
      <c r="FII101" s="46"/>
      <c r="FIJ101" s="46"/>
      <c r="FIK101" s="46"/>
      <c r="FIL101" s="46"/>
      <c r="FIM101" s="46"/>
      <c r="FIN101" s="46"/>
      <c r="FIO101" s="46"/>
      <c r="FIP101" s="46"/>
      <c r="FIQ101" s="46"/>
      <c r="FIR101" s="46"/>
      <c r="FIS101" s="46"/>
      <c r="FIT101" s="46"/>
      <c r="FIU101" s="46"/>
      <c r="FIV101" s="46"/>
      <c r="FIW101" s="46"/>
      <c r="FIX101" s="46"/>
      <c r="FIY101" s="46"/>
      <c r="FIZ101" s="46"/>
      <c r="FJA101" s="46"/>
      <c r="FJB101" s="46"/>
      <c r="FJC101" s="46"/>
      <c r="FJD101" s="46"/>
      <c r="FJE101" s="46"/>
      <c r="FJF101" s="46"/>
      <c r="FJG101" s="46"/>
      <c r="FJH101" s="46"/>
      <c r="FJI101" s="46"/>
      <c r="FJJ101" s="46"/>
      <c r="FJK101" s="46"/>
      <c r="FJL101" s="46"/>
      <c r="FJM101" s="46"/>
      <c r="FJN101" s="46"/>
      <c r="FJO101" s="46"/>
      <c r="FJP101" s="46"/>
      <c r="FJQ101" s="46"/>
      <c r="FJR101" s="46"/>
      <c r="FJS101" s="46"/>
      <c r="FJT101" s="46"/>
      <c r="FJU101" s="46"/>
      <c r="FJV101" s="46"/>
      <c r="FJW101" s="46"/>
      <c r="FJX101" s="46"/>
      <c r="FJY101" s="46"/>
      <c r="FJZ101" s="46"/>
      <c r="FKA101" s="46"/>
      <c r="FKB101" s="46"/>
      <c r="FKC101" s="46"/>
      <c r="FKD101" s="46"/>
      <c r="FKE101" s="46"/>
      <c r="FKF101" s="46"/>
      <c r="FKG101" s="46"/>
      <c r="FKH101" s="46"/>
      <c r="FKI101" s="46"/>
      <c r="FKJ101" s="46"/>
      <c r="FKK101" s="46"/>
      <c r="FKL101" s="46"/>
      <c r="FKM101" s="46"/>
      <c r="FKN101" s="46"/>
      <c r="FKO101" s="46"/>
      <c r="FKP101" s="46"/>
      <c r="FKQ101" s="46"/>
      <c r="FKR101" s="46"/>
      <c r="FKS101" s="46"/>
      <c r="FKT101" s="46"/>
      <c r="FKU101" s="46"/>
      <c r="FKV101" s="46"/>
      <c r="FKW101" s="46"/>
      <c r="FKX101" s="46"/>
      <c r="FKY101" s="46"/>
      <c r="FKZ101" s="46"/>
      <c r="FLA101" s="46"/>
      <c r="FLB101" s="46"/>
      <c r="FLC101" s="46"/>
      <c r="FLD101" s="46"/>
      <c r="FLE101" s="46"/>
      <c r="FLF101" s="46"/>
      <c r="FLG101" s="46"/>
      <c r="FLH101" s="46"/>
      <c r="FLI101" s="46"/>
      <c r="FLJ101" s="46"/>
      <c r="FLK101" s="46"/>
      <c r="FLL101" s="46"/>
      <c r="FLM101" s="46"/>
      <c r="FLN101" s="46"/>
      <c r="FLO101" s="46"/>
      <c r="FLP101" s="46"/>
      <c r="FLQ101" s="46"/>
      <c r="FLR101" s="46"/>
      <c r="FLS101" s="46"/>
      <c r="FLT101" s="46"/>
      <c r="FLU101" s="46"/>
      <c r="FLV101" s="46"/>
      <c r="FLW101" s="46"/>
      <c r="FLX101" s="46"/>
      <c r="FLY101" s="46"/>
      <c r="FLZ101" s="46"/>
      <c r="FMA101" s="46"/>
      <c r="FMB101" s="46"/>
      <c r="FMC101" s="46"/>
      <c r="FMD101" s="46"/>
      <c r="FME101" s="46"/>
      <c r="FMF101" s="46"/>
      <c r="FMG101" s="46"/>
      <c r="FMH101" s="46"/>
      <c r="FMI101" s="46"/>
      <c r="FMJ101" s="46"/>
      <c r="FMK101" s="46"/>
      <c r="FML101" s="46"/>
      <c r="FMM101" s="46"/>
      <c r="FMN101" s="46"/>
      <c r="FMO101" s="46"/>
      <c r="FMP101" s="46"/>
      <c r="FMQ101" s="46"/>
      <c r="FMR101" s="46"/>
      <c r="FMS101" s="46"/>
      <c r="FMT101" s="46"/>
      <c r="FMU101" s="46"/>
      <c r="FMV101" s="46"/>
      <c r="FMW101" s="46"/>
      <c r="FMX101" s="46"/>
      <c r="FMY101" s="46"/>
      <c r="FMZ101" s="46"/>
      <c r="FNA101" s="46"/>
      <c r="FNB101" s="46"/>
      <c r="FNC101" s="46"/>
      <c r="FND101" s="46"/>
      <c r="FNE101" s="46"/>
      <c r="FNF101" s="46"/>
      <c r="FNG101" s="46"/>
      <c r="FNH101" s="46"/>
      <c r="FNI101" s="46"/>
      <c r="FNJ101" s="46"/>
      <c r="FNK101" s="46"/>
      <c r="FNL101" s="46"/>
      <c r="FNM101" s="46"/>
      <c r="FNN101" s="46"/>
      <c r="FNO101" s="46"/>
      <c r="FNP101" s="46"/>
      <c r="FNQ101" s="46"/>
      <c r="FNR101" s="46"/>
      <c r="FNS101" s="46"/>
      <c r="FNT101" s="46"/>
      <c r="FNU101" s="46"/>
      <c r="FNV101" s="46"/>
      <c r="FNW101" s="46"/>
      <c r="FNX101" s="46"/>
      <c r="FNY101" s="46"/>
      <c r="FNZ101" s="46"/>
      <c r="FOA101" s="46"/>
      <c r="FOB101" s="46"/>
      <c r="FOC101" s="46"/>
      <c r="FOD101" s="46"/>
      <c r="FOE101" s="46"/>
      <c r="FOF101" s="46"/>
      <c r="FOG101" s="46"/>
      <c r="FOH101" s="46"/>
      <c r="FOI101" s="46"/>
      <c r="FOJ101" s="46"/>
      <c r="FOK101" s="46"/>
      <c r="FOL101" s="46"/>
      <c r="FOM101" s="46"/>
      <c r="FON101" s="46"/>
      <c r="FOO101" s="46"/>
      <c r="FOP101" s="46"/>
      <c r="FOQ101" s="46"/>
      <c r="FOR101" s="46"/>
      <c r="FOS101" s="46"/>
      <c r="FOT101" s="46"/>
      <c r="FOU101" s="46"/>
      <c r="FOV101" s="46"/>
      <c r="FOW101" s="46"/>
      <c r="FOX101" s="46"/>
      <c r="FOY101" s="46"/>
      <c r="FOZ101" s="46"/>
      <c r="FPA101" s="46"/>
      <c r="FPB101" s="46"/>
      <c r="FPC101" s="46"/>
      <c r="FPD101" s="46"/>
      <c r="FPE101" s="46"/>
      <c r="FPF101" s="46"/>
      <c r="FPG101" s="46"/>
      <c r="FPH101" s="46"/>
      <c r="FPI101" s="46"/>
      <c r="FPJ101" s="46"/>
      <c r="FPK101" s="46"/>
      <c r="FPL101" s="46"/>
      <c r="FPM101" s="46"/>
      <c r="FPN101" s="46"/>
      <c r="FPO101" s="46"/>
      <c r="FPP101" s="46"/>
      <c r="FPQ101" s="46"/>
      <c r="FPR101" s="46"/>
      <c r="FPS101" s="46"/>
      <c r="FPT101" s="46"/>
      <c r="FPU101" s="46"/>
      <c r="FPV101" s="46"/>
      <c r="FPW101" s="46"/>
      <c r="FPX101" s="46"/>
      <c r="FPY101" s="46"/>
      <c r="FPZ101" s="46"/>
      <c r="FQA101" s="46"/>
      <c r="FQB101" s="46"/>
      <c r="FQC101" s="46"/>
      <c r="FQD101" s="46"/>
      <c r="FQE101" s="46"/>
      <c r="FQF101" s="46"/>
      <c r="FQG101" s="46"/>
      <c r="FQH101" s="46"/>
      <c r="FQI101" s="46"/>
      <c r="FQJ101" s="46"/>
      <c r="FQK101" s="46"/>
      <c r="FQL101" s="46"/>
      <c r="FQM101" s="46"/>
      <c r="FQN101" s="46"/>
      <c r="FQO101" s="46"/>
      <c r="FQP101" s="46"/>
      <c r="FQQ101" s="46"/>
      <c r="FQR101" s="46"/>
      <c r="FQS101" s="46"/>
      <c r="FQT101" s="46"/>
      <c r="FQU101" s="46"/>
      <c r="FQV101" s="46"/>
      <c r="FQW101" s="46"/>
      <c r="FQX101" s="46"/>
      <c r="FQY101" s="46"/>
      <c r="FQZ101" s="46"/>
      <c r="FRA101" s="46"/>
      <c r="FRB101" s="46"/>
      <c r="FRC101" s="46"/>
      <c r="FRD101" s="46"/>
      <c r="FRE101" s="46"/>
      <c r="FRF101" s="46"/>
      <c r="FRG101" s="46"/>
      <c r="FRH101" s="46"/>
      <c r="FRI101" s="46"/>
      <c r="FRJ101" s="46"/>
      <c r="FRK101" s="46"/>
      <c r="FRL101" s="46"/>
      <c r="FRM101" s="46"/>
      <c r="FRN101" s="46"/>
      <c r="FRO101" s="46"/>
      <c r="FRP101" s="46"/>
      <c r="FRQ101" s="46"/>
      <c r="FRR101" s="46"/>
      <c r="FRS101" s="46"/>
      <c r="FRT101" s="46"/>
      <c r="FRU101" s="46"/>
      <c r="FRV101" s="46"/>
      <c r="FRW101" s="46"/>
      <c r="FRX101" s="46"/>
      <c r="FRY101" s="46"/>
      <c r="FRZ101" s="46"/>
      <c r="FSA101" s="46"/>
      <c r="FSB101" s="46"/>
      <c r="FSC101" s="46"/>
      <c r="FSD101" s="46"/>
      <c r="FSE101" s="46"/>
      <c r="FSF101" s="46"/>
      <c r="FSG101" s="46"/>
      <c r="FSH101" s="46"/>
      <c r="FSI101" s="46"/>
      <c r="FSJ101" s="46"/>
      <c r="FSK101" s="46"/>
      <c r="FSL101" s="46"/>
      <c r="FSM101" s="46"/>
      <c r="FSN101" s="46"/>
      <c r="FSO101" s="46"/>
      <c r="FSP101" s="46"/>
      <c r="FSQ101" s="46"/>
      <c r="FSR101" s="46"/>
      <c r="FSS101" s="46"/>
      <c r="FST101" s="46"/>
      <c r="FSU101" s="46"/>
      <c r="FSV101" s="46"/>
      <c r="FSW101" s="46"/>
      <c r="FSX101" s="46"/>
      <c r="FSY101" s="46"/>
      <c r="FSZ101" s="46"/>
      <c r="FTA101" s="46"/>
      <c r="FTB101" s="46"/>
      <c r="FTC101" s="46"/>
      <c r="FTD101" s="46"/>
      <c r="FTE101" s="46"/>
      <c r="FTF101" s="46"/>
      <c r="FTG101" s="46"/>
      <c r="FTH101" s="46"/>
      <c r="FTI101" s="46"/>
      <c r="FTJ101" s="46"/>
      <c r="FTK101" s="46"/>
      <c r="FTL101" s="46"/>
      <c r="FTM101" s="46"/>
      <c r="FTN101" s="46"/>
      <c r="FTO101" s="46"/>
      <c r="FTP101" s="46"/>
      <c r="FTQ101" s="46"/>
      <c r="FTR101" s="46"/>
      <c r="FTS101" s="46"/>
      <c r="FTT101" s="46"/>
      <c r="FTU101" s="46"/>
      <c r="FTV101" s="46"/>
      <c r="FTW101" s="46"/>
      <c r="FTX101" s="46"/>
      <c r="FTY101" s="46"/>
      <c r="FTZ101" s="46"/>
      <c r="FUA101" s="46"/>
      <c r="FUB101" s="46"/>
      <c r="FUC101" s="46"/>
      <c r="FUD101" s="46"/>
      <c r="FUE101" s="46"/>
      <c r="FUF101" s="46"/>
      <c r="FUG101" s="46"/>
      <c r="FUH101" s="46"/>
      <c r="FUI101" s="46"/>
      <c r="FUJ101" s="46"/>
      <c r="FUK101" s="46"/>
      <c r="FUL101" s="46"/>
      <c r="FUM101" s="46"/>
      <c r="FUN101" s="46"/>
      <c r="FUO101" s="46"/>
      <c r="FUP101" s="46"/>
      <c r="FUQ101" s="46"/>
      <c r="FUR101" s="46"/>
      <c r="FUS101" s="46"/>
      <c r="FUT101" s="46"/>
      <c r="FUU101" s="46"/>
      <c r="FUV101" s="46"/>
      <c r="FUW101" s="46"/>
      <c r="FUX101" s="46"/>
      <c r="FUY101" s="46"/>
      <c r="FUZ101" s="46"/>
      <c r="FVA101" s="46"/>
      <c r="FVB101" s="46"/>
      <c r="FVC101" s="46"/>
      <c r="FVD101" s="46"/>
      <c r="FVE101" s="46"/>
      <c r="FVF101" s="46"/>
      <c r="FVG101" s="46"/>
      <c r="FVH101" s="46"/>
      <c r="FVI101" s="46"/>
      <c r="FVJ101" s="46"/>
      <c r="FVK101" s="46"/>
      <c r="FVL101" s="46"/>
      <c r="FVM101" s="46"/>
      <c r="FVN101" s="46"/>
      <c r="FVO101" s="46"/>
      <c r="FVP101" s="46"/>
      <c r="FVQ101" s="46"/>
      <c r="FVR101" s="46"/>
      <c r="FVS101" s="46"/>
      <c r="FVT101" s="46"/>
      <c r="FVU101" s="46"/>
      <c r="FVV101" s="46"/>
      <c r="FVW101" s="46"/>
      <c r="FVX101" s="46"/>
      <c r="FVY101" s="46"/>
      <c r="FVZ101" s="46"/>
      <c r="FWA101" s="46"/>
      <c r="FWB101" s="46"/>
      <c r="FWC101" s="46"/>
      <c r="FWD101" s="46"/>
      <c r="FWE101" s="46"/>
      <c r="FWF101" s="46"/>
      <c r="FWG101" s="46"/>
      <c r="FWH101" s="46"/>
      <c r="FWI101" s="46"/>
      <c r="FWJ101" s="46"/>
      <c r="FWK101" s="46"/>
      <c r="FWL101" s="46"/>
      <c r="FWM101" s="46"/>
      <c r="FWN101" s="46"/>
      <c r="FWO101" s="46"/>
      <c r="FWP101" s="46"/>
      <c r="FWQ101" s="46"/>
      <c r="FWR101" s="46"/>
      <c r="FWS101" s="46"/>
      <c r="FWT101" s="46"/>
      <c r="FWU101" s="46"/>
      <c r="FWV101" s="46"/>
      <c r="FWW101" s="46"/>
      <c r="FWX101" s="46"/>
      <c r="FWY101" s="46"/>
      <c r="FWZ101" s="46"/>
      <c r="FXA101" s="46"/>
      <c r="FXB101" s="46"/>
      <c r="FXC101" s="46"/>
      <c r="FXD101" s="46"/>
      <c r="FXE101" s="46"/>
      <c r="FXF101" s="46"/>
      <c r="FXG101" s="46"/>
      <c r="FXH101" s="46"/>
      <c r="FXI101" s="46"/>
      <c r="FXJ101" s="46"/>
      <c r="FXK101" s="46"/>
      <c r="FXL101" s="46"/>
      <c r="FXM101" s="46"/>
      <c r="FXN101" s="46"/>
      <c r="FXO101" s="46"/>
      <c r="FXP101" s="46"/>
      <c r="FXQ101" s="46"/>
      <c r="FXR101" s="46"/>
      <c r="FXS101" s="46"/>
      <c r="FXT101" s="46"/>
      <c r="FXU101" s="46"/>
      <c r="FXV101" s="46"/>
      <c r="FXW101" s="46"/>
      <c r="FXX101" s="46"/>
      <c r="FXY101" s="46"/>
      <c r="FXZ101" s="46"/>
      <c r="FYA101" s="46"/>
      <c r="FYB101" s="46"/>
      <c r="FYC101" s="46"/>
      <c r="FYD101" s="46"/>
      <c r="FYE101" s="46"/>
      <c r="FYF101" s="46"/>
      <c r="FYG101" s="46"/>
      <c r="FYH101" s="46"/>
      <c r="FYI101" s="46"/>
      <c r="FYJ101" s="46"/>
      <c r="FYK101" s="46"/>
      <c r="FYL101" s="46"/>
      <c r="FYM101" s="46"/>
      <c r="FYN101" s="46"/>
      <c r="FYO101" s="46"/>
      <c r="FYP101" s="46"/>
      <c r="FYQ101" s="46"/>
      <c r="FYR101" s="46"/>
      <c r="FYS101" s="46"/>
      <c r="FYT101" s="46"/>
      <c r="FYU101" s="46"/>
      <c r="FYV101" s="46"/>
      <c r="FYW101" s="46"/>
      <c r="FYX101" s="46"/>
      <c r="FYY101" s="46"/>
      <c r="FYZ101" s="46"/>
      <c r="FZA101" s="46"/>
      <c r="FZB101" s="46"/>
      <c r="FZC101" s="46"/>
      <c r="FZD101" s="46"/>
      <c r="FZE101" s="46"/>
      <c r="FZF101" s="46"/>
      <c r="FZG101" s="46"/>
      <c r="FZH101" s="46"/>
      <c r="FZI101" s="46"/>
      <c r="FZJ101" s="46"/>
      <c r="FZK101" s="46"/>
      <c r="FZL101" s="46"/>
      <c r="FZM101" s="46"/>
      <c r="FZN101" s="46"/>
      <c r="FZO101" s="46"/>
      <c r="FZP101" s="46"/>
      <c r="FZQ101" s="46"/>
      <c r="FZR101" s="46"/>
      <c r="FZS101" s="46"/>
      <c r="FZT101" s="46"/>
      <c r="FZU101" s="46"/>
      <c r="FZV101" s="46"/>
      <c r="FZW101" s="46"/>
      <c r="FZX101" s="46"/>
      <c r="FZY101" s="46"/>
      <c r="FZZ101" s="46"/>
      <c r="GAA101" s="46"/>
      <c r="GAB101" s="46"/>
      <c r="GAC101" s="46"/>
      <c r="GAD101" s="46"/>
      <c r="GAE101" s="46"/>
      <c r="GAF101" s="46"/>
      <c r="GAG101" s="46"/>
      <c r="GAH101" s="46"/>
      <c r="GAI101" s="46"/>
      <c r="GAJ101" s="46"/>
      <c r="GAK101" s="46"/>
      <c r="GAL101" s="46"/>
      <c r="GAM101" s="46"/>
      <c r="GAN101" s="46"/>
      <c r="GAO101" s="46"/>
      <c r="GAP101" s="46"/>
      <c r="GAQ101" s="46"/>
      <c r="GAR101" s="46"/>
      <c r="GAS101" s="46"/>
      <c r="GAT101" s="46"/>
      <c r="GAU101" s="46"/>
      <c r="GAV101" s="46"/>
      <c r="GAW101" s="46"/>
      <c r="GAX101" s="46"/>
      <c r="GAY101" s="46"/>
      <c r="GAZ101" s="46"/>
      <c r="GBA101" s="46"/>
      <c r="GBB101" s="46"/>
      <c r="GBC101" s="46"/>
      <c r="GBD101" s="46"/>
      <c r="GBE101" s="46"/>
      <c r="GBF101" s="46"/>
      <c r="GBG101" s="46"/>
      <c r="GBH101" s="46"/>
      <c r="GBI101" s="46"/>
      <c r="GBJ101" s="46"/>
      <c r="GBK101" s="46"/>
      <c r="GBL101" s="46"/>
      <c r="GBM101" s="46"/>
      <c r="GBN101" s="46"/>
      <c r="GBO101" s="46"/>
      <c r="GBP101" s="46"/>
      <c r="GBQ101" s="46"/>
      <c r="GBR101" s="46"/>
      <c r="GBS101" s="46"/>
      <c r="GBT101" s="46"/>
      <c r="GBU101" s="46"/>
      <c r="GBV101" s="46"/>
      <c r="GBW101" s="46"/>
      <c r="GBX101" s="46"/>
      <c r="GBY101" s="46"/>
      <c r="GBZ101" s="46"/>
      <c r="GCA101" s="46"/>
      <c r="GCB101" s="46"/>
      <c r="GCC101" s="46"/>
      <c r="GCD101" s="46"/>
      <c r="GCE101" s="46"/>
      <c r="GCF101" s="46"/>
      <c r="GCG101" s="46"/>
      <c r="GCH101" s="46"/>
      <c r="GCI101" s="46"/>
      <c r="GCJ101" s="46"/>
      <c r="GCK101" s="46"/>
      <c r="GCL101" s="46"/>
      <c r="GCM101" s="46"/>
      <c r="GCN101" s="46"/>
      <c r="GCO101" s="46"/>
      <c r="GCP101" s="46"/>
      <c r="GCQ101" s="46"/>
      <c r="GCR101" s="46"/>
      <c r="GCS101" s="46"/>
      <c r="GCT101" s="46"/>
      <c r="GCU101" s="46"/>
      <c r="GCV101" s="46"/>
      <c r="GCW101" s="46"/>
      <c r="GCX101" s="46"/>
      <c r="GCY101" s="46"/>
      <c r="GCZ101" s="46"/>
      <c r="GDA101" s="46"/>
      <c r="GDB101" s="46"/>
      <c r="GDC101" s="46"/>
      <c r="GDD101" s="46"/>
      <c r="GDE101" s="46"/>
      <c r="GDF101" s="46"/>
      <c r="GDG101" s="46"/>
      <c r="GDH101" s="46"/>
      <c r="GDI101" s="46"/>
      <c r="GDJ101" s="46"/>
      <c r="GDK101" s="46"/>
      <c r="GDL101" s="46"/>
      <c r="GDM101" s="46"/>
      <c r="GDN101" s="46"/>
      <c r="GDO101" s="46"/>
      <c r="GDP101" s="46"/>
      <c r="GDQ101" s="46"/>
      <c r="GDR101" s="46"/>
      <c r="GDS101" s="46"/>
      <c r="GDT101" s="46"/>
      <c r="GDU101" s="46"/>
      <c r="GDV101" s="46"/>
      <c r="GDW101" s="46"/>
      <c r="GDX101" s="46"/>
      <c r="GDY101" s="46"/>
      <c r="GDZ101" s="46"/>
      <c r="GEA101" s="46"/>
      <c r="GEB101" s="46"/>
      <c r="GEC101" s="46"/>
      <c r="GED101" s="46"/>
      <c r="GEE101" s="46"/>
      <c r="GEF101" s="46"/>
      <c r="GEG101" s="46"/>
      <c r="GEH101" s="46"/>
      <c r="GEI101" s="46"/>
      <c r="GEJ101" s="46"/>
      <c r="GEK101" s="46"/>
      <c r="GEL101" s="46"/>
      <c r="GEM101" s="46"/>
      <c r="GEN101" s="46"/>
      <c r="GEO101" s="46"/>
      <c r="GEP101" s="46"/>
      <c r="GEQ101" s="46"/>
      <c r="GER101" s="46"/>
      <c r="GES101" s="46"/>
      <c r="GET101" s="46"/>
      <c r="GEU101" s="46"/>
      <c r="GEV101" s="46"/>
      <c r="GEW101" s="46"/>
      <c r="GEX101" s="46"/>
      <c r="GEY101" s="46"/>
      <c r="GEZ101" s="46"/>
      <c r="GFA101" s="46"/>
      <c r="GFB101" s="46"/>
      <c r="GFC101" s="46"/>
      <c r="GFD101" s="46"/>
      <c r="GFE101" s="46"/>
      <c r="GFF101" s="46"/>
      <c r="GFG101" s="46"/>
      <c r="GFH101" s="46"/>
      <c r="GFI101" s="46"/>
      <c r="GFJ101" s="46"/>
      <c r="GFK101" s="46"/>
      <c r="GFL101" s="46"/>
      <c r="GFM101" s="46"/>
      <c r="GFN101" s="46"/>
      <c r="GFO101" s="46"/>
      <c r="GFP101" s="46"/>
      <c r="GFQ101" s="46"/>
      <c r="GFR101" s="46"/>
      <c r="GFS101" s="46"/>
      <c r="GFT101" s="46"/>
      <c r="GFU101" s="46"/>
      <c r="GFV101" s="46"/>
      <c r="GFW101" s="46"/>
      <c r="GFX101" s="46"/>
      <c r="GFY101" s="46"/>
      <c r="GFZ101" s="46"/>
      <c r="GGA101" s="46"/>
      <c r="GGB101" s="46"/>
      <c r="GGC101" s="46"/>
      <c r="GGD101" s="46"/>
      <c r="GGE101" s="46"/>
      <c r="GGF101" s="46"/>
      <c r="GGG101" s="46"/>
      <c r="GGH101" s="46"/>
      <c r="GGI101" s="46"/>
      <c r="GGJ101" s="46"/>
      <c r="GGK101" s="46"/>
      <c r="GGL101" s="46"/>
      <c r="GGM101" s="46"/>
      <c r="GGN101" s="46"/>
      <c r="GGO101" s="46"/>
      <c r="GGP101" s="46"/>
      <c r="GGQ101" s="46"/>
      <c r="GGR101" s="46"/>
      <c r="GGS101" s="46"/>
      <c r="GGT101" s="46"/>
      <c r="GGU101" s="46"/>
      <c r="GGV101" s="46"/>
      <c r="GGW101" s="46"/>
      <c r="GGX101" s="46"/>
      <c r="GGY101" s="46"/>
      <c r="GGZ101" s="46"/>
      <c r="GHA101" s="46"/>
      <c r="GHB101" s="46"/>
      <c r="GHC101" s="46"/>
      <c r="GHD101" s="46"/>
      <c r="GHE101" s="46"/>
      <c r="GHF101" s="46"/>
      <c r="GHG101" s="46"/>
      <c r="GHH101" s="46"/>
      <c r="GHI101" s="46"/>
      <c r="GHJ101" s="46"/>
      <c r="GHK101" s="46"/>
      <c r="GHL101" s="46"/>
      <c r="GHM101" s="46"/>
      <c r="GHN101" s="46"/>
      <c r="GHO101" s="46"/>
      <c r="GHP101" s="46"/>
      <c r="GHQ101" s="46"/>
      <c r="GHR101" s="46"/>
      <c r="GHS101" s="46"/>
      <c r="GHT101" s="46"/>
      <c r="GHU101" s="46"/>
      <c r="GHV101" s="46"/>
      <c r="GHW101" s="46"/>
      <c r="GHX101" s="46"/>
      <c r="GHY101" s="46"/>
      <c r="GHZ101" s="46"/>
      <c r="GIA101" s="46"/>
      <c r="GIB101" s="46"/>
      <c r="GIC101" s="46"/>
      <c r="GID101" s="46"/>
      <c r="GIE101" s="46"/>
      <c r="GIF101" s="46"/>
      <c r="GIG101" s="46"/>
      <c r="GIH101" s="46"/>
      <c r="GII101" s="46"/>
      <c r="GIJ101" s="46"/>
      <c r="GIK101" s="46"/>
      <c r="GIL101" s="46"/>
      <c r="GIM101" s="46"/>
      <c r="GIN101" s="46"/>
      <c r="GIO101" s="46"/>
      <c r="GIP101" s="46"/>
      <c r="GIQ101" s="46"/>
      <c r="GIR101" s="46"/>
      <c r="GIS101" s="46"/>
      <c r="GIT101" s="46"/>
      <c r="GIU101" s="46"/>
      <c r="GIV101" s="46"/>
      <c r="GIW101" s="46"/>
      <c r="GIX101" s="46"/>
      <c r="GIY101" s="46"/>
      <c r="GIZ101" s="46"/>
      <c r="GJA101" s="46"/>
      <c r="GJB101" s="46"/>
      <c r="GJC101" s="46"/>
      <c r="GJD101" s="46"/>
      <c r="GJE101" s="46"/>
      <c r="GJF101" s="46"/>
      <c r="GJG101" s="46"/>
      <c r="GJH101" s="46"/>
      <c r="GJI101" s="46"/>
      <c r="GJJ101" s="46"/>
      <c r="GJK101" s="46"/>
      <c r="GJL101" s="46"/>
      <c r="GJM101" s="46"/>
      <c r="GJN101" s="46"/>
      <c r="GJO101" s="46"/>
      <c r="GJP101" s="46"/>
      <c r="GJQ101" s="46"/>
      <c r="GJR101" s="46"/>
      <c r="GJS101" s="46"/>
      <c r="GJT101" s="46"/>
      <c r="GJU101" s="46"/>
      <c r="GJV101" s="46"/>
      <c r="GJW101" s="46"/>
      <c r="GJX101" s="46"/>
      <c r="GJY101" s="46"/>
      <c r="GJZ101" s="46"/>
      <c r="GKA101" s="46"/>
      <c r="GKB101" s="46"/>
      <c r="GKC101" s="46"/>
      <c r="GKD101" s="46"/>
      <c r="GKE101" s="46"/>
      <c r="GKF101" s="46"/>
      <c r="GKG101" s="46"/>
      <c r="GKH101" s="46"/>
      <c r="GKI101" s="46"/>
      <c r="GKJ101" s="46"/>
      <c r="GKK101" s="46"/>
      <c r="GKL101" s="46"/>
      <c r="GKM101" s="46"/>
      <c r="GKN101" s="46"/>
      <c r="GKO101" s="46"/>
      <c r="GKP101" s="46"/>
      <c r="GKQ101" s="46"/>
      <c r="GKR101" s="46"/>
      <c r="GKS101" s="46"/>
      <c r="GKT101" s="46"/>
      <c r="GKU101" s="46"/>
      <c r="GKV101" s="46"/>
      <c r="GKW101" s="46"/>
      <c r="GKX101" s="46"/>
      <c r="GKY101" s="46"/>
      <c r="GKZ101" s="46"/>
      <c r="GLA101" s="46"/>
      <c r="GLB101" s="46"/>
      <c r="GLC101" s="46"/>
      <c r="GLD101" s="46"/>
      <c r="GLE101" s="46"/>
      <c r="GLF101" s="46"/>
      <c r="GLG101" s="46"/>
      <c r="GLH101" s="46"/>
      <c r="GLI101" s="46"/>
      <c r="GLJ101" s="46"/>
      <c r="GLK101" s="46"/>
      <c r="GLL101" s="46"/>
      <c r="GLM101" s="46"/>
      <c r="GLN101" s="46"/>
      <c r="GLO101" s="46"/>
      <c r="GLP101" s="46"/>
      <c r="GLQ101" s="46"/>
      <c r="GLR101" s="46"/>
      <c r="GLS101" s="46"/>
      <c r="GLT101" s="46"/>
      <c r="GLU101" s="46"/>
      <c r="GLV101" s="46"/>
      <c r="GLW101" s="46"/>
      <c r="GLX101" s="46"/>
      <c r="GLY101" s="46"/>
      <c r="GLZ101" s="46"/>
      <c r="GMA101" s="46"/>
      <c r="GMB101" s="46"/>
      <c r="GMC101" s="46"/>
      <c r="GMD101" s="46"/>
      <c r="GME101" s="46"/>
      <c r="GMF101" s="46"/>
      <c r="GMG101" s="46"/>
      <c r="GMH101" s="46"/>
      <c r="GMI101" s="46"/>
      <c r="GMJ101" s="46"/>
      <c r="GMK101" s="46"/>
      <c r="GML101" s="46"/>
      <c r="GMM101" s="46"/>
      <c r="GMN101" s="46"/>
      <c r="GMO101" s="46"/>
      <c r="GMP101" s="46"/>
      <c r="GMQ101" s="46"/>
      <c r="GMR101" s="46"/>
      <c r="GMS101" s="46"/>
      <c r="GMT101" s="46"/>
      <c r="GMU101" s="46"/>
      <c r="GMV101" s="46"/>
      <c r="GMW101" s="46"/>
      <c r="GMX101" s="46"/>
      <c r="GMY101" s="46"/>
      <c r="GMZ101" s="46"/>
      <c r="GNA101" s="46"/>
      <c r="GNB101" s="46"/>
      <c r="GNC101" s="46"/>
      <c r="GND101" s="46"/>
      <c r="GNE101" s="46"/>
      <c r="GNF101" s="46"/>
      <c r="GNG101" s="46"/>
      <c r="GNH101" s="46"/>
      <c r="GNI101" s="46"/>
      <c r="GNJ101" s="46"/>
      <c r="GNK101" s="46"/>
      <c r="GNL101" s="46"/>
      <c r="GNM101" s="46"/>
      <c r="GNN101" s="46"/>
      <c r="GNO101" s="46"/>
      <c r="GNP101" s="46"/>
      <c r="GNQ101" s="46"/>
      <c r="GNR101" s="46"/>
      <c r="GNS101" s="46"/>
      <c r="GNT101" s="46"/>
      <c r="GNU101" s="46"/>
      <c r="GNV101" s="46"/>
      <c r="GNW101" s="46"/>
      <c r="GNX101" s="46"/>
      <c r="GNY101" s="46"/>
      <c r="GNZ101" s="46"/>
      <c r="GOA101" s="46"/>
      <c r="GOB101" s="46"/>
      <c r="GOC101" s="46"/>
      <c r="GOD101" s="46"/>
      <c r="GOE101" s="46"/>
      <c r="GOF101" s="46"/>
      <c r="GOG101" s="46"/>
      <c r="GOH101" s="46"/>
      <c r="GOI101" s="46"/>
      <c r="GOJ101" s="46"/>
      <c r="GOK101" s="46"/>
      <c r="GOL101" s="46"/>
      <c r="GOM101" s="46"/>
      <c r="GON101" s="46"/>
      <c r="GOO101" s="46"/>
      <c r="GOP101" s="46"/>
      <c r="GOQ101" s="46"/>
      <c r="GOR101" s="46"/>
      <c r="GOS101" s="46"/>
      <c r="GOT101" s="46"/>
      <c r="GOU101" s="46"/>
      <c r="GOV101" s="46"/>
      <c r="GOW101" s="46"/>
      <c r="GOX101" s="46"/>
      <c r="GOY101" s="46"/>
      <c r="GOZ101" s="46"/>
      <c r="GPA101" s="46"/>
      <c r="GPB101" s="46"/>
      <c r="GPC101" s="46"/>
      <c r="GPD101" s="46"/>
      <c r="GPE101" s="46"/>
      <c r="GPF101" s="46"/>
      <c r="GPG101" s="46"/>
      <c r="GPH101" s="46"/>
      <c r="GPI101" s="46"/>
      <c r="GPJ101" s="46"/>
      <c r="GPK101" s="46"/>
      <c r="GPL101" s="46"/>
      <c r="GPM101" s="46"/>
      <c r="GPN101" s="46"/>
      <c r="GPO101" s="46"/>
      <c r="GPP101" s="46"/>
      <c r="GPQ101" s="46"/>
      <c r="GPR101" s="46"/>
      <c r="GPS101" s="46"/>
      <c r="GPT101" s="46"/>
      <c r="GPU101" s="46"/>
      <c r="GPV101" s="46"/>
      <c r="GPW101" s="46"/>
      <c r="GPX101" s="46"/>
      <c r="GPY101" s="46"/>
      <c r="GPZ101" s="46"/>
      <c r="GQA101" s="46"/>
      <c r="GQB101" s="46"/>
      <c r="GQC101" s="46"/>
      <c r="GQD101" s="46"/>
      <c r="GQE101" s="46"/>
      <c r="GQF101" s="46"/>
      <c r="GQG101" s="46"/>
      <c r="GQH101" s="46"/>
      <c r="GQI101" s="46"/>
      <c r="GQJ101" s="46"/>
      <c r="GQK101" s="46"/>
      <c r="GQL101" s="46"/>
      <c r="GQM101" s="46"/>
      <c r="GQN101" s="46"/>
      <c r="GQO101" s="46"/>
      <c r="GQP101" s="46"/>
      <c r="GQQ101" s="46"/>
      <c r="GQR101" s="46"/>
      <c r="GQS101" s="46"/>
      <c r="GQT101" s="46"/>
      <c r="GQU101" s="46"/>
      <c r="GQV101" s="46"/>
      <c r="GQW101" s="46"/>
      <c r="GQX101" s="46"/>
      <c r="GQY101" s="46"/>
      <c r="GQZ101" s="46"/>
      <c r="GRA101" s="46"/>
      <c r="GRB101" s="46"/>
      <c r="GRC101" s="46"/>
      <c r="GRD101" s="46"/>
      <c r="GRE101" s="46"/>
      <c r="GRF101" s="46"/>
      <c r="GRG101" s="46"/>
      <c r="GRH101" s="46"/>
      <c r="GRI101" s="46"/>
      <c r="GRJ101" s="46"/>
      <c r="GRK101" s="46"/>
      <c r="GRL101" s="46"/>
      <c r="GRM101" s="46"/>
      <c r="GRN101" s="46"/>
      <c r="GRO101" s="46"/>
      <c r="GRP101" s="46"/>
      <c r="GRQ101" s="46"/>
      <c r="GRR101" s="46"/>
      <c r="GRS101" s="46"/>
      <c r="GRT101" s="46"/>
      <c r="GRU101" s="46"/>
      <c r="GRV101" s="46"/>
      <c r="GRW101" s="46"/>
      <c r="GRX101" s="46"/>
      <c r="GRY101" s="46"/>
      <c r="GRZ101" s="46"/>
      <c r="GSA101" s="46"/>
      <c r="GSB101" s="46"/>
      <c r="GSC101" s="46"/>
      <c r="GSD101" s="46"/>
      <c r="GSE101" s="46"/>
      <c r="GSF101" s="46"/>
      <c r="GSG101" s="46"/>
      <c r="GSH101" s="46"/>
      <c r="GSI101" s="46"/>
      <c r="GSJ101" s="46"/>
      <c r="GSK101" s="46"/>
      <c r="GSL101" s="46"/>
      <c r="GSM101" s="46"/>
      <c r="GSN101" s="46"/>
      <c r="GSO101" s="46"/>
      <c r="GSP101" s="46"/>
      <c r="GSQ101" s="46"/>
      <c r="GSR101" s="46"/>
      <c r="GSS101" s="46"/>
      <c r="GST101" s="46"/>
      <c r="GSU101" s="46"/>
      <c r="GSV101" s="46"/>
      <c r="GSW101" s="46"/>
      <c r="GSX101" s="46"/>
      <c r="GSY101" s="46"/>
      <c r="GSZ101" s="46"/>
      <c r="GTA101" s="46"/>
      <c r="GTB101" s="46"/>
      <c r="GTC101" s="46"/>
      <c r="GTD101" s="46"/>
      <c r="GTE101" s="46"/>
      <c r="GTF101" s="46"/>
      <c r="GTG101" s="46"/>
      <c r="GTH101" s="46"/>
      <c r="GTI101" s="46"/>
      <c r="GTJ101" s="46"/>
      <c r="GTK101" s="46"/>
      <c r="GTL101" s="46"/>
      <c r="GTM101" s="46"/>
      <c r="GTN101" s="46"/>
      <c r="GTO101" s="46"/>
      <c r="GTP101" s="46"/>
      <c r="GTQ101" s="46"/>
      <c r="GTR101" s="46"/>
      <c r="GTS101" s="46"/>
      <c r="GTT101" s="46"/>
      <c r="GTU101" s="46"/>
      <c r="GTV101" s="46"/>
      <c r="GTW101" s="46"/>
      <c r="GTX101" s="46"/>
      <c r="GTY101" s="46"/>
      <c r="GTZ101" s="46"/>
      <c r="GUA101" s="46"/>
      <c r="GUB101" s="46"/>
      <c r="GUC101" s="46"/>
      <c r="GUD101" s="46"/>
      <c r="GUE101" s="46"/>
      <c r="GUF101" s="46"/>
      <c r="GUG101" s="46"/>
      <c r="GUH101" s="46"/>
      <c r="GUI101" s="46"/>
      <c r="GUJ101" s="46"/>
      <c r="GUK101" s="46"/>
      <c r="GUL101" s="46"/>
      <c r="GUM101" s="46"/>
      <c r="GUN101" s="46"/>
      <c r="GUO101" s="46"/>
      <c r="GUP101" s="46"/>
      <c r="GUQ101" s="46"/>
      <c r="GUR101" s="46"/>
      <c r="GUS101" s="46"/>
      <c r="GUT101" s="46"/>
      <c r="GUU101" s="46"/>
      <c r="GUV101" s="46"/>
      <c r="GUW101" s="46"/>
      <c r="GUX101" s="46"/>
      <c r="GUY101" s="46"/>
      <c r="GUZ101" s="46"/>
      <c r="GVA101" s="46"/>
      <c r="GVB101" s="46"/>
      <c r="GVC101" s="46"/>
      <c r="GVD101" s="46"/>
      <c r="GVE101" s="46"/>
      <c r="GVF101" s="46"/>
      <c r="GVG101" s="46"/>
      <c r="GVH101" s="46"/>
      <c r="GVI101" s="46"/>
      <c r="GVJ101" s="46"/>
      <c r="GVK101" s="46"/>
      <c r="GVL101" s="46"/>
      <c r="GVM101" s="46"/>
      <c r="GVN101" s="46"/>
      <c r="GVO101" s="46"/>
      <c r="GVP101" s="46"/>
      <c r="GVQ101" s="46"/>
      <c r="GVR101" s="46"/>
      <c r="GVS101" s="46"/>
      <c r="GVT101" s="46"/>
      <c r="GVU101" s="46"/>
      <c r="GVV101" s="46"/>
      <c r="GVW101" s="46"/>
      <c r="GVX101" s="46"/>
      <c r="GVY101" s="46"/>
      <c r="GVZ101" s="46"/>
      <c r="GWA101" s="46"/>
      <c r="GWB101" s="46"/>
      <c r="GWC101" s="46"/>
      <c r="GWD101" s="46"/>
      <c r="GWE101" s="46"/>
      <c r="GWF101" s="46"/>
      <c r="GWG101" s="46"/>
      <c r="GWH101" s="46"/>
      <c r="GWI101" s="46"/>
      <c r="GWJ101" s="46"/>
      <c r="GWK101" s="46"/>
      <c r="GWL101" s="46"/>
      <c r="GWM101" s="46"/>
      <c r="GWN101" s="46"/>
      <c r="GWO101" s="46"/>
      <c r="GWP101" s="46"/>
      <c r="GWQ101" s="46"/>
      <c r="GWR101" s="46"/>
      <c r="GWS101" s="46"/>
      <c r="GWT101" s="46"/>
      <c r="GWU101" s="46"/>
      <c r="GWV101" s="46"/>
      <c r="GWW101" s="46"/>
      <c r="GWX101" s="46"/>
      <c r="GWY101" s="46"/>
      <c r="GWZ101" s="46"/>
      <c r="GXA101" s="46"/>
      <c r="GXB101" s="46"/>
      <c r="GXC101" s="46"/>
      <c r="GXD101" s="46"/>
      <c r="GXE101" s="46"/>
      <c r="GXF101" s="46"/>
      <c r="GXG101" s="46"/>
      <c r="GXH101" s="46"/>
      <c r="GXI101" s="46"/>
      <c r="GXJ101" s="46"/>
      <c r="GXK101" s="46"/>
      <c r="GXL101" s="46"/>
      <c r="GXM101" s="46"/>
      <c r="GXN101" s="46"/>
      <c r="GXO101" s="46"/>
      <c r="GXP101" s="46"/>
      <c r="GXQ101" s="46"/>
      <c r="GXR101" s="46"/>
      <c r="GXS101" s="46"/>
      <c r="GXT101" s="46"/>
      <c r="GXU101" s="46"/>
      <c r="GXV101" s="46"/>
      <c r="GXW101" s="46"/>
      <c r="GXX101" s="46"/>
      <c r="GXY101" s="46"/>
      <c r="GXZ101" s="46"/>
      <c r="GYA101" s="46"/>
      <c r="GYB101" s="46"/>
      <c r="GYC101" s="46"/>
      <c r="GYD101" s="46"/>
      <c r="GYE101" s="46"/>
      <c r="GYF101" s="46"/>
      <c r="GYG101" s="46"/>
      <c r="GYH101" s="46"/>
      <c r="GYI101" s="46"/>
      <c r="GYJ101" s="46"/>
      <c r="GYK101" s="46"/>
      <c r="GYL101" s="46"/>
      <c r="GYM101" s="46"/>
      <c r="GYN101" s="46"/>
      <c r="GYO101" s="46"/>
      <c r="GYP101" s="46"/>
      <c r="GYQ101" s="46"/>
      <c r="GYR101" s="46"/>
      <c r="GYS101" s="46"/>
      <c r="GYT101" s="46"/>
      <c r="GYU101" s="46"/>
      <c r="GYV101" s="46"/>
      <c r="GYW101" s="46"/>
      <c r="GYX101" s="46"/>
      <c r="GYY101" s="46"/>
      <c r="GYZ101" s="46"/>
      <c r="GZA101" s="46"/>
      <c r="GZB101" s="46"/>
      <c r="GZC101" s="46"/>
      <c r="GZD101" s="46"/>
      <c r="GZE101" s="46"/>
      <c r="GZF101" s="46"/>
      <c r="GZG101" s="46"/>
      <c r="GZH101" s="46"/>
      <c r="GZI101" s="46"/>
      <c r="GZJ101" s="46"/>
      <c r="GZK101" s="46"/>
      <c r="GZL101" s="46"/>
      <c r="GZM101" s="46"/>
      <c r="GZN101" s="46"/>
      <c r="GZO101" s="46"/>
      <c r="GZP101" s="46"/>
      <c r="GZQ101" s="46"/>
      <c r="GZR101" s="46"/>
      <c r="GZS101" s="46"/>
      <c r="GZT101" s="46"/>
      <c r="GZU101" s="46"/>
      <c r="GZV101" s="46"/>
      <c r="GZW101" s="46"/>
      <c r="GZX101" s="46"/>
      <c r="GZY101" s="46"/>
      <c r="GZZ101" s="46"/>
      <c r="HAA101" s="46"/>
      <c r="HAB101" s="46"/>
      <c r="HAC101" s="46"/>
      <c r="HAD101" s="46"/>
      <c r="HAE101" s="46"/>
      <c r="HAF101" s="46"/>
      <c r="HAG101" s="46"/>
      <c r="HAH101" s="46"/>
      <c r="HAI101" s="46"/>
      <c r="HAJ101" s="46"/>
      <c r="HAK101" s="46"/>
      <c r="HAL101" s="46"/>
      <c r="HAM101" s="46"/>
      <c r="HAN101" s="46"/>
      <c r="HAO101" s="46"/>
      <c r="HAP101" s="46"/>
      <c r="HAQ101" s="46"/>
      <c r="HAR101" s="46"/>
      <c r="HAS101" s="46"/>
      <c r="HAT101" s="46"/>
      <c r="HAU101" s="46"/>
      <c r="HAV101" s="46"/>
      <c r="HAW101" s="46"/>
      <c r="HAX101" s="46"/>
      <c r="HAY101" s="46"/>
      <c r="HAZ101" s="46"/>
      <c r="HBA101" s="46"/>
      <c r="HBB101" s="46"/>
      <c r="HBC101" s="46"/>
      <c r="HBD101" s="46"/>
      <c r="HBE101" s="46"/>
      <c r="HBF101" s="46"/>
      <c r="HBG101" s="46"/>
      <c r="HBH101" s="46"/>
      <c r="HBI101" s="46"/>
      <c r="HBJ101" s="46"/>
      <c r="HBK101" s="46"/>
      <c r="HBL101" s="46"/>
      <c r="HBM101" s="46"/>
      <c r="HBN101" s="46"/>
      <c r="HBO101" s="46"/>
      <c r="HBP101" s="46"/>
      <c r="HBQ101" s="46"/>
      <c r="HBR101" s="46"/>
      <c r="HBS101" s="46"/>
      <c r="HBT101" s="46"/>
      <c r="HBU101" s="46"/>
      <c r="HBV101" s="46"/>
      <c r="HBW101" s="46"/>
      <c r="HBX101" s="46"/>
      <c r="HBY101" s="46"/>
      <c r="HBZ101" s="46"/>
      <c r="HCA101" s="46"/>
      <c r="HCB101" s="46"/>
      <c r="HCC101" s="46"/>
      <c r="HCD101" s="46"/>
      <c r="HCE101" s="46"/>
      <c r="HCF101" s="46"/>
      <c r="HCG101" s="46"/>
      <c r="HCH101" s="46"/>
      <c r="HCI101" s="46"/>
      <c r="HCJ101" s="46"/>
      <c r="HCK101" s="46"/>
      <c r="HCL101" s="46"/>
      <c r="HCM101" s="46"/>
      <c r="HCN101" s="46"/>
      <c r="HCO101" s="46"/>
      <c r="HCP101" s="46"/>
      <c r="HCQ101" s="46"/>
      <c r="HCR101" s="46"/>
      <c r="HCS101" s="46"/>
      <c r="HCT101" s="46"/>
      <c r="HCU101" s="46"/>
      <c r="HCV101" s="46"/>
      <c r="HCW101" s="46"/>
      <c r="HCX101" s="46"/>
      <c r="HCY101" s="46"/>
      <c r="HCZ101" s="46"/>
      <c r="HDA101" s="46"/>
      <c r="HDB101" s="46"/>
      <c r="HDC101" s="46"/>
      <c r="HDD101" s="46"/>
      <c r="HDE101" s="46"/>
      <c r="HDF101" s="46"/>
      <c r="HDG101" s="46"/>
      <c r="HDH101" s="46"/>
      <c r="HDI101" s="46"/>
      <c r="HDJ101" s="46"/>
      <c r="HDK101" s="46"/>
      <c r="HDL101" s="46"/>
      <c r="HDM101" s="46"/>
      <c r="HDN101" s="46"/>
      <c r="HDO101" s="46"/>
      <c r="HDP101" s="46"/>
      <c r="HDQ101" s="46"/>
      <c r="HDR101" s="46"/>
      <c r="HDS101" s="46"/>
      <c r="HDT101" s="46"/>
      <c r="HDU101" s="46"/>
      <c r="HDV101" s="46"/>
      <c r="HDW101" s="46"/>
      <c r="HDX101" s="46"/>
      <c r="HDY101" s="46"/>
      <c r="HDZ101" s="46"/>
      <c r="HEA101" s="46"/>
      <c r="HEB101" s="46"/>
      <c r="HEC101" s="46"/>
      <c r="HED101" s="46"/>
      <c r="HEE101" s="46"/>
      <c r="HEF101" s="46"/>
      <c r="HEG101" s="46"/>
      <c r="HEH101" s="46"/>
      <c r="HEI101" s="46"/>
      <c r="HEJ101" s="46"/>
      <c r="HEK101" s="46"/>
      <c r="HEL101" s="46"/>
      <c r="HEM101" s="46"/>
      <c r="HEN101" s="46"/>
      <c r="HEO101" s="46"/>
      <c r="HEP101" s="46"/>
      <c r="HEQ101" s="46"/>
      <c r="HER101" s="46"/>
      <c r="HES101" s="46"/>
      <c r="HET101" s="46"/>
      <c r="HEU101" s="46"/>
      <c r="HEV101" s="46"/>
      <c r="HEW101" s="46"/>
      <c r="HEX101" s="46"/>
      <c r="HEY101" s="46"/>
      <c r="HEZ101" s="46"/>
      <c r="HFA101" s="46"/>
      <c r="HFB101" s="46"/>
      <c r="HFC101" s="46"/>
      <c r="HFD101" s="46"/>
      <c r="HFE101" s="46"/>
      <c r="HFF101" s="46"/>
      <c r="HFG101" s="46"/>
      <c r="HFH101" s="46"/>
      <c r="HFI101" s="46"/>
      <c r="HFJ101" s="46"/>
      <c r="HFK101" s="46"/>
      <c r="HFL101" s="46"/>
      <c r="HFM101" s="46"/>
      <c r="HFN101" s="46"/>
      <c r="HFO101" s="46"/>
      <c r="HFP101" s="46"/>
      <c r="HFQ101" s="46"/>
      <c r="HFR101" s="46"/>
      <c r="HFS101" s="46"/>
      <c r="HFT101" s="46"/>
      <c r="HFU101" s="46"/>
      <c r="HFV101" s="46"/>
      <c r="HFW101" s="46"/>
      <c r="HFX101" s="46"/>
      <c r="HFY101" s="46"/>
      <c r="HFZ101" s="46"/>
      <c r="HGA101" s="46"/>
      <c r="HGB101" s="46"/>
      <c r="HGC101" s="46"/>
      <c r="HGD101" s="46"/>
      <c r="HGE101" s="46"/>
      <c r="HGF101" s="46"/>
      <c r="HGG101" s="46"/>
      <c r="HGH101" s="46"/>
      <c r="HGI101" s="46"/>
      <c r="HGJ101" s="46"/>
      <c r="HGK101" s="46"/>
      <c r="HGL101" s="46"/>
      <c r="HGM101" s="46"/>
      <c r="HGN101" s="46"/>
      <c r="HGO101" s="46"/>
      <c r="HGP101" s="46"/>
      <c r="HGQ101" s="46"/>
      <c r="HGR101" s="46"/>
      <c r="HGS101" s="46"/>
      <c r="HGT101" s="46"/>
      <c r="HGU101" s="46"/>
      <c r="HGV101" s="46"/>
      <c r="HGW101" s="46"/>
      <c r="HGX101" s="46"/>
      <c r="HGY101" s="46"/>
      <c r="HGZ101" s="46"/>
      <c r="HHA101" s="46"/>
      <c r="HHB101" s="46"/>
      <c r="HHC101" s="46"/>
      <c r="HHD101" s="46"/>
      <c r="HHE101" s="46"/>
      <c r="HHF101" s="46"/>
      <c r="HHG101" s="46"/>
      <c r="HHH101" s="46"/>
      <c r="HHI101" s="46"/>
      <c r="HHJ101" s="46"/>
      <c r="HHK101" s="46"/>
      <c r="HHL101" s="46"/>
      <c r="HHM101" s="46"/>
      <c r="HHN101" s="46"/>
      <c r="HHO101" s="46"/>
      <c r="HHP101" s="46"/>
      <c r="HHQ101" s="46"/>
      <c r="HHR101" s="46"/>
      <c r="HHS101" s="46"/>
      <c r="HHT101" s="46"/>
      <c r="HHU101" s="46"/>
      <c r="HHV101" s="46"/>
      <c r="HHW101" s="46"/>
      <c r="HHX101" s="46"/>
      <c r="HHY101" s="46"/>
      <c r="HHZ101" s="46"/>
      <c r="HIA101" s="46"/>
      <c r="HIB101" s="46"/>
      <c r="HIC101" s="46"/>
      <c r="HID101" s="46"/>
      <c r="HIE101" s="46"/>
      <c r="HIF101" s="46"/>
      <c r="HIG101" s="46"/>
      <c r="HIH101" s="46"/>
      <c r="HII101" s="46"/>
      <c r="HIJ101" s="46"/>
      <c r="HIK101" s="46"/>
      <c r="HIL101" s="46"/>
      <c r="HIM101" s="46"/>
      <c r="HIN101" s="46"/>
      <c r="HIO101" s="46"/>
      <c r="HIP101" s="46"/>
      <c r="HIQ101" s="46"/>
      <c r="HIR101" s="46"/>
      <c r="HIS101" s="46"/>
      <c r="HIT101" s="46"/>
      <c r="HIU101" s="46"/>
      <c r="HIV101" s="46"/>
      <c r="HIW101" s="46"/>
      <c r="HIX101" s="46"/>
      <c r="HIY101" s="46"/>
      <c r="HIZ101" s="46"/>
      <c r="HJA101" s="46"/>
      <c r="HJB101" s="46"/>
      <c r="HJC101" s="46"/>
      <c r="HJD101" s="46"/>
      <c r="HJE101" s="46"/>
      <c r="HJF101" s="46"/>
      <c r="HJG101" s="46"/>
      <c r="HJH101" s="46"/>
      <c r="HJI101" s="46"/>
      <c r="HJJ101" s="46"/>
      <c r="HJK101" s="46"/>
      <c r="HJL101" s="46"/>
      <c r="HJM101" s="46"/>
      <c r="HJN101" s="46"/>
      <c r="HJO101" s="46"/>
      <c r="HJP101" s="46"/>
      <c r="HJQ101" s="46"/>
      <c r="HJR101" s="46"/>
      <c r="HJS101" s="46"/>
      <c r="HJT101" s="46"/>
      <c r="HJU101" s="46"/>
      <c r="HJV101" s="46"/>
      <c r="HJW101" s="46"/>
      <c r="HJX101" s="46"/>
      <c r="HJY101" s="46"/>
      <c r="HJZ101" s="46"/>
      <c r="HKA101" s="46"/>
      <c r="HKB101" s="46"/>
      <c r="HKC101" s="46"/>
      <c r="HKD101" s="46"/>
      <c r="HKE101" s="46"/>
      <c r="HKF101" s="46"/>
      <c r="HKG101" s="46"/>
      <c r="HKH101" s="46"/>
      <c r="HKI101" s="46"/>
      <c r="HKJ101" s="46"/>
      <c r="HKK101" s="46"/>
      <c r="HKL101" s="46"/>
      <c r="HKM101" s="46"/>
      <c r="HKN101" s="46"/>
      <c r="HKO101" s="46"/>
      <c r="HKP101" s="46"/>
      <c r="HKQ101" s="46"/>
      <c r="HKR101" s="46"/>
      <c r="HKS101" s="46"/>
      <c r="HKT101" s="46"/>
      <c r="HKU101" s="46"/>
      <c r="HKV101" s="46"/>
      <c r="HKW101" s="46"/>
      <c r="HKX101" s="46"/>
      <c r="HKY101" s="46"/>
      <c r="HKZ101" s="46"/>
      <c r="HLA101" s="46"/>
      <c r="HLB101" s="46"/>
      <c r="HLC101" s="46"/>
      <c r="HLD101" s="46"/>
      <c r="HLE101" s="46"/>
      <c r="HLF101" s="46"/>
      <c r="HLG101" s="46"/>
      <c r="HLH101" s="46"/>
      <c r="HLI101" s="46"/>
      <c r="HLJ101" s="46"/>
      <c r="HLK101" s="46"/>
      <c r="HLL101" s="46"/>
      <c r="HLM101" s="46"/>
      <c r="HLN101" s="46"/>
      <c r="HLO101" s="46"/>
      <c r="HLP101" s="46"/>
      <c r="HLQ101" s="46"/>
      <c r="HLR101" s="46"/>
      <c r="HLS101" s="46"/>
      <c r="HLT101" s="46"/>
      <c r="HLU101" s="46"/>
      <c r="HLV101" s="46"/>
      <c r="HLW101" s="46"/>
      <c r="HLX101" s="46"/>
      <c r="HLY101" s="46"/>
      <c r="HLZ101" s="46"/>
      <c r="HMA101" s="46"/>
      <c r="HMB101" s="46"/>
      <c r="HMC101" s="46"/>
      <c r="HMD101" s="46"/>
      <c r="HME101" s="46"/>
      <c r="HMF101" s="46"/>
      <c r="HMG101" s="46"/>
      <c r="HMH101" s="46"/>
      <c r="HMI101" s="46"/>
      <c r="HMJ101" s="46"/>
      <c r="HMK101" s="46"/>
      <c r="HML101" s="46"/>
      <c r="HMM101" s="46"/>
      <c r="HMN101" s="46"/>
      <c r="HMO101" s="46"/>
      <c r="HMP101" s="46"/>
      <c r="HMQ101" s="46"/>
      <c r="HMR101" s="46"/>
      <c r="HMS101" s="46"/>
      <c r="HMT101" s="46"/>
      <c r="HMU101" s="46"/>
      <c r="HMV101" s="46"/>
      <c r="HMW101" s="46"/>
      <c r="HMX101" s="46"/>
      <c r="HMY101" s="46"/>
      <c r="HMZ101" s="46"/>
      <c r="HNA101" s="46"/>
      <c r="HNB101" s="46"/>
      <c r="HNC101" s="46"/>
      <c r="HND101" s="46"/>
      <c r="HNE101" s="46"/>
      <c r="HNF101" s="46"/>
      <c r="HNG101" s="46"/>
      <c r="HNH101" s="46"/>
      <c r="HNI101" s="46"/>
      <c r="HNJ101" s="46"/>
      <c r="HNK101" s="46"/>
      <c r="HNL101" s="46"/>
      <c r="HNM101" s="46"/>
      <c r="HNN101" s="46"/>
      <c r="HNO101" s="46"/>
      <c r="HNP101" s="46"/>
      <c r="HNQ101" s="46"/>
      <c r="HNR101" s="46"/>
      <c r="HNS101" s="46"/>
      <c r="HNT101" s="46"/>
      <c r="HNU101" s="46"/>
      <c r="HNV101" s="46"/>
      <c r="HNW101" s="46"/>
      <c r="HNX101" s="46"/>
      <c r="HNY101" s="46"/>
      <c r="HNZ101" s="46"/>
      <c r="HOA101" s="46"/>
      <c r="HOB101" s="46"/>
      <c r="HOC101" s="46"/>
      <c r="HOD101" s="46"/>
      <c r="HOE101" s="46"/>
      <c r="HOF101" s="46"/>
      <c r="HOG101" s="46"/>
      <c r="HOH101" s="46"/>
      <c r="HOI101" s="46"/>
      <c r="HOJ101" s="46"/>
      <c r="HOK101" s="46"/>
      <c r="HOL101" s="46"/>
      <c r="HOM101" s="46"/>
      <c r="HON101" s="46"/>
      <c r="HOO101" s="46"/>
      <c r="HOP101" s="46"/>
      <c r="HOQ101" s="46"/>
      <c r="HOR101" s="46"/>
      <c r="HOS101" s="46"/>
      <c r="HOT101" s="46"/>
      <c r="HOU101" s="46"/>
      <c r="HOV101" s="46"/>
      <c r="HOW101" s="46"/>
      <c r="HOX101" s="46"/>
      <c r="HOY101" s="46"/>
      <c r="HOZ101" s="46"/>
      <c r="HPA101" s="46"/>
      <c r="HPB101" s="46"/>
      <c r="HPC101" s="46"/>
      <c r="HPD101" s="46"/>
      <c r="HPE101" s="46"/>
      <c r="HPF101" s="46"/>
      <c r="HPG101" s="46"/>
      <c r="HPH101" s="46"/>
      <c r="HPI101" s="46"/>
      <c r="HPJ101" s="46"/>
      <c r="HPK101" s="46"/>
      <c r="HPL101" s="46"/>
      <c r="HPM101" s="46"/>
      <c r="HPN101" s="46"/>
      <c r="HPO101" s="46"/>
      <c r="HPP101" s="46"/>
      <c r="HPQ101" s="46"/>
      <c r="HPR101" s="46"/>
      <c r="HPS101" s="46"/>
      <c r="HPT101" s="46"/>
      <c r="HPU101" s="46"/>
      <c r="HPV101" s="46"/>
      <c r="HPW101" s="46"/>
      <c r="HPX101" s="46"/>
      <c r="HPY101" s="46"/>
      <c r="HPZ101" s="46"/>
      <c r="HQA101" s="46"/>
      <c r="HQB101" s="46"/>
      <c r="HQC101" s="46"/>
      <c r="HQD101" s="46"/>
      <c r="HQE101" s="46"/>
      <c r="HQF101" s="46"/>
      <c r="HQG101" s="46"/>
      <c r="HQH101" s="46"/>
      <c r="HQI101" s="46"/>
      <c r="HQJ101" s="46"/>
      <c r="HQK101" s="46"/>
      <c r="HQL101" s="46"/>
      <c r="HQM101" s="46"/>
      <c r="HQN101" s="46"/>
      <c r="HQO101" s="46"/>
      <c r="HQP101" s="46"/>
      <c r="HQQ101" s="46"/>
      <c r="HQR101" s="46"/>
      <c r="HQS101" s="46"/>
      <c r="HQT101" s="46"/>
      <c r="HQU101" s="46"/>
      <c r="HQV101" s="46"/>
      <c r="HQW101" s="46"/>
      <c r="HQX101" s="46"/>
      <c r="HQY101" s="46"/>
      <c r="HQZ101" s="46"/>
      <c r="HRA101" s="46"/>
      <c r="HRB101" s="46"/>
      <c r="HRC101" s="46"/>
      <c r="HRD101" s="46"/>
      <c r="HRE101" s="46"/>
      <c r="HRF101" s="46"/>
      <c r="HRG101" s="46"/>
      <c r="HRH101" s="46"/>
      <c r="HRI101" s="46"/>
      <c r="HRJ101" s="46"/>
      <c r="HRK101" s="46"/>
      <c r="HRL101" s="46"/>
      <c r="HRM101" s="46"/>
      <c r="HRN101" s="46"/>
      <c r="HRO101" s="46"/>
      <c r="HRP101" s="46"/>
      <c r="HRQ101" s="46"/>
      <c r="HRR101" s="46"/>
      <c r="HRS101" s="46"/>
      <c r="HRT101" s="46"/>
      <c r="HRU101" s="46"/>
      <c r="HRV101" s="46"/>
      <c r="HRW101" s="46"/>
      <c r="HRX101" s="46"/>
      <c r="HRY101" s="46"/>
      <c r="HRZ101" s="46"/>
      <c r="HSA101" s="46"/>
      <c r="HSB101" s="46"/>
      <c r="HSC101" s="46"/>
      <c r="HSD101" s="46"/>
      <c r="HSE101" s="46"/>
      <c r="HSF101" s="46"/>
      <c r="HSG101" s="46"/>
      <c r="HSH101" s="46"/>
      <c r="HSI101" s="46"/>
      <c r="HSJ101" s="46"/>
      <c r="HSK101" s="46"/>
      <c r="HSL101" s="46"/>
      <c r="HSM101" s="46"/>
      <c r="HSN101" s="46"/>
      <c r="HSO101" s="46"/>
      <c r="HSP101" s="46"/>
      <c r="HSQ101" s="46"/>
      <c r="HSR101" s="46"/>
      <c r="HSS101" s="46"/>
      <c r="HST101" s="46"/>
      <c r="HSU101" s="46"/>
      <c r="HSV101" s="46"/>
      <c r="HSW101" s="46"/>
      <c r="HSX101" s="46"/>
      <c r="HSY101" s="46"/>
      <c r="HSZ101" s="46"/>
      <c r="HTA101" s="46"/>
      <c r="HTB101" s="46"/>
      <c r="HTC101" s="46"/>
      <c r="HTD101" s="46"/>
      <c r="HTE101" s="46"/>
      <c r="HTF101" s="46"/>
      <c r="HTG101" s="46"/>
      <c r="HTH101" s="46"/>
      <c r="HTI101" s="46"/>
      <c r="HTJ101" s="46"/>
      <c r="HTK101" s="46"/>
      <c r="HTL101" s="46"/>
      <c r="HTM101" s="46"/>
      <c r="HTN101" s="46"/>
      <c r="HTO101" s="46"/>
      <c r="HTP101" s="46"/>
      <c r="HTQ101" s="46"/>
      <c r="HTR101" s="46"/>
      <c r="HTS101" s="46"/>
      <c r="HTT101" s="46"/>
      <c r="HTU101" s="46"/>
      <c r="HTV101" s="46"/>
      <c r="HTW101" s="46"/>
      <c r="HTX101" s="46"/>
      <c r="HTY101" s="46"/>
      <c r="HTZ101" s="46"/>
      <c r="HUA101" s="46"/>
      <c r="HUB101" s="46"/>
      <c r="HUC101" s="46"/>
      <c r="HUD101" s="46"/>
      <c r="HUE101" s="46"/>
      <c r="HUF101" s="46"/>
      <c r="HUG101" s="46"/>
      <c r="HUH101" s="46"/>
      <c r="HUI101" s="46"/>
      <c r="HUJ101" s="46"/>
      <c r="HUK101" s="46"/>
      <c r="HUL101" s="46"/>
      <c r="HUM101" s="46"/>
      <c r="HUN101" s="46"/>
      <c r="HUO101" s="46"/>
      <c r="HUP101" s="46"/>
      <c r="HUQ101" s="46"/>
      <c r="HUR101" s="46"/>
      <c r="HUS101" s="46"/>
      <c r="HUT101" s="46"/>
      <c r="HUU101" s="46"/>
      <c r="HUV101" s="46"/>
      <c r="HUW101" s="46"/>
      <c r="HUX101" s="46"/>
      <c r="HUY101" s="46"/>
      <c r="HUZ101" s="46"/>
      <c r="HVA101" s="46"/>
      <c r="HVB101" s="46"/>
      <c r="HVC101" s="46"/>
      <c r="HVD101" s="46"/>
      <c r="HVE101" s="46"/>
      <c r="HVF101" s="46"/>
      <c r="HVG101" s="46"/>
      <c r="HVH101" s="46"/>
      <c r="HVI101" s="46"/>
      <c r="HVJ101" s="46"/>
      <c r="HVK101" s="46"/>
      <c r="HVL101" s="46"/>
      <c r="HVM101" s="46"/>
      <c r="HVN101" s="46"/>
      <c r="HVO101" s="46"/>
      <c r="HVP101" s="46"/>
      <c r="HVQ101" s="46"/>
      <c r="HVR101" s="46"/>
      <c r="HVS101" s="46"/>
      <c r="HVT101" s="46"/>
      <c r="HVU101" s="46"/>
      <c r="HVV101" s="46"/>
      <c r="HVW101" s="46"/>
      <c r="HVX101" s="46"/>
      <c r="HVY101" s="46"/>
      <c r="HVZ101" s="46"/>
      <c r="HWA101" s="46"/>
      <c r="HWB101" s="46"/>
      <c r="HWC101" s="46"/>
      <c r="HWD101" s="46"/>
      <c r="HWE101" s="46"/>
      <c r="HWF101" s="46"/>
      <c r="HWG101" s="46"/>
      <c r="HWH101" s="46"/>
      <c r="HWI101" s="46"/>
      <c r="HWJ101" s="46"/>
      <c r="HWK101" s="46"/>
      <c r="HWL101" s="46"/>
      <c r="HWM101" s="46"/>
      <c r="HWN101" s="46"/>
      <c r="HWO101" s="46"/>
      <c r="HWP101" s="46"/>
      <c r="HWQ101" s="46"/>
      <c r="HWR101" s="46"/>
      <c r="HWS101" s="46"/>
      <c r="HWT101" s="46"/>
      <c r="HWU101" s="46"/>
      <c r="HWV101" s="46"/>
      <c r="HWW101" s="46"/>
      <c r="HWX101" s="46"/>
      <c r="HWY101" s="46"/>
      <c r="HWZ101" s="46"/>
      <c r="HXA101" s="46"/>
      <c r="HXB101" s="46"/>
      <c r="HXC101" s="46"/>
      <c r="HXD101" s="46"/>
      <c r="HXE101" s="46"/>
      <c r="HXF101" s="46"/>
      <c r="HXG101" s="46"/>
      <c r="HXH101" s="46"/>
      <c r="HXI101" s="46"/>
      <c r="HXJ101" s="46"/>
      <c r="HXK101" s="46"/>
      <c r="HXL101" s="46"/>
      <c r="HXM101" s="46"/>
      <c r="HXN101" s="46"/>
      <c r="HXO101" s="46"/>
      <c r="HXP101" s="46"/>
      <c r="HXQ101" s="46"/>
      <c r="HXR101" s="46"/>
      <c r="HXS101" s="46"/>
      <c r="HXT101" s="46"/>
      <c r="HXU101" s="46"/>
      <c r="HXV101" s="46"/>
      <c r="HXW101" s="46"/>
      <c r="HXX101" s="46"/>
      <c r="HXY101" s="46"/>
      <c r="HXZ101" s="46"/>
      <c r="HYA101" s="46"/>
      <c r="HYB101" s="46"/>
      <c r="HYC101" s="46"/>
      <c r="HYD101" s="46"/>
      <c r="HYE101" s="46"/>
      <c r="HYF101" s="46"/>
      <c r="HYG101" s="46"/>
      <c r="HYH101" s="46"/>
      <c r="HYI101" s="46"/>
      <c r="HYJ101" s="46"/>
      <c r="HYK101" s="46"/>
      <c r="HYL101" s="46"/>
      <c r="HYM101" s="46"/>
      <c r="HYN101" s="46"/>
      <c r="HYO101" s="46"/>
      <c r="HYP101" s="46"/>
      <c r="HYQ101" s="46"/>
      <c r="HYR101" s="46"/>
      <c r="HYS101" s="46"/>
      <c r="HYT101" s="46"/>
      <c r="HYU101" s="46"/>
      <c r="HYV101" s="46"/>
      <c r="HYW101" s="46"/>
      <c r="HYX101" s="46"/>
      <c r="HYY101" s="46"/>
      <c r="HYZ101" s="46"/>
      <c r="HZA101" s="46"/>
      <c r="HZB101" s="46"/>
      <c r="HZC101" s="46"/>
      <c r="HZD101" s="46"/>
      <c r="HZE101" s="46"/>
      <c r="HZF101" s="46"/>
      <c r="HZG101" s="46"/>
      <c r="HZH101" s="46"/>
      <c r="HZI101" s="46"/>
      <c r="HZJ101" s="46"/>
      <c r="HZK101" s="46"/>
      <c r="HZL101" s="46"/>
      <c r="HZM101" s="46"/>
      <c r="HZN101" s="46"/>
      <c r="HZO101" s="46"/>
      <c r="HZP101" s="46"/>
      <c r="HZQ101" s="46"/>
      <c r="HZR101" s="46"/>
      <c r="HZS101" s="46"/>
      <c r="HZT101" s="46"/>
      <c r="HZU101" s="46"/>
      <c r="HZV101" s="46"/>
      <c r="HZW101" s="46"/>
      <c r="HZX101" s="46"/>
      <c r="HZY101" s="46"/>
      <c r="HZZ101" s="46"/>
      <c r="IAA101" s="46"/>
      <c r="IAB101" s="46"/>
      <c r="IAC101" s="46"/>
      <c r="IAD101" s="46"/>
      <c r="IAE101" s="46"/>
      <c r="IAF101" s="46"/>
      <c r="IAG101" s="46"/>
      <c r="IAH101" s="46"/>
      <c r="IAI101" s="46"/>
      <c r="IAJ101" s="46"/>
      <c r="IAK101" s="46"/>
      <c r="IAL101" s="46"/>
      <c r="IAM101" s="46"/>
      <c r="IAN101" s="46"/>
      <c r="IAO101" s="46"/>
      <c r="IAP101" s="46"/>
      <c r="IAQ101" s="46"/>
      <c r="IAR101" s="46"/>
      <c r="IAS101" s="46"/>
      <c r="IAT101" s="46"/>
      <c r="IAU101" s="46"/>
      <c r="IAV101" s="46"/>
      <c r="IAW101" s="46"/>
      <c r="IAX101" s="46"/>
      <c r="IAY101" s="46"/>
      <c r="IAZ101" s="46"/>
      <c r="IBA101" s="46"/>
      <c r="IBB101" s="46"/>
      <c r="IBC101" s="46"/>
      <c r="IBD101" s="46"/>
      <c r="IBE101" s="46"/>
      <c r="IBF101" s="46"/>
      <c r="IBG101" s="46"/>
      <c r="IBH101" s="46"/>
      <c r="IBI101" s="46"/>
      <c r="IBJ101" s="46"/>
      <c r="IBK101" s="46"/>
      <c r="IBL101" s="46"/>
      <c r="IBM101" s="46"/>
      <c r="IBN101" s="46"/>
      <c r="IBO101" s="46"/>
      <c r="IBP101" s="46"/>
      <c r="IBQ101" s="46"/>
      <c r="IBR101" s="46"/>
      <c r="IBS101" s="46"/>
      <c r="IBT101" s="46"/>
      <c r="IBU101" s="46"/>
      <c r="IBV101" s="46"/>
      <c r="IBW101" s="46"/>
      <c r="IBX101" s="46"/>
      <c r="IBY101" s="46"/>
      <c r="IBZ101" s="46"/>
      <c r="ICA101" s="46"/>
      <c r="ICB101" s="46"/>
      <c r="ICC101" s="46"/>
      <c r="ICD101" s="46"/>
      <c r="ICE101" s="46"/>
      <c r="ICF101" s="46"/>
      <c r="ICG101" s="46"/>
      <c r="ICH101" s="46"/>
      <c r="ICI101" s="46"/>
      <c r="ICJ101" s="46"/>
      <c r="ICK101" s="46"/>
      <c r="ICL101" s="46"/>
      <c r="ICM101" s="46"/>
      <c r="ICN101" s="46"/>
      <c r="ICO101" s="46"/>
      <c r="ICP101" s="46"/>
      <c r="ICQ101" s="46"/>
      <c r="ICR101" s="46"/>
      <c r="ICS101" s="46"/>
      <c r="ICT101" s="46"/>
      <c r="ICU101" s="46"/>
      <c r="ICV101" s="46"/>
      <c r="ICW101" s="46"/>
      <c r="ICX101" s="46"/>
      <c r="ICY101" s="46"/>
      <c r="ICZ101" s="46"/>
      <c r="IDA101" s="46"/>
      <c r="IDB101" s="46"/>
      <c r="IDC101" s="46"/>
      <c r="IDD101" s="46"/>
      <c r="IDE101" s="46"/>
      <c r="IDF101" s="46"/>
      <c r="IDG101" s="46"/>
      <c r="IDH101" s="46"/>
      <c r="IDI101" s="46"/>
      <c r="IDJ101" s="46"/>
      <c r="IDK101" s="46"/>
      <c r="IDL101" s="46"/>
      <c r="IDM101" s="46"/>
      <c r="IDN101" s="46"/>
      <c r="IDO101" s="46"/>
      <c r="IDP101" s="46"/>
      <c r="IDQ101" s="46"/>
      <c r="IDR101" s="46"/>
      <c r="IDS101" s="46"/>
      <c r="IDT101" s="46"/>
      <c r="IDU101" s="46"/>
      <c r="IDV101" s="46"/>
      <c r="IDW101" s="46"/>
      <c r="IDX101" s="46"/>
      <c r="IDY101" s="46"/>
      <c r="IDZ101" s="46"/>
      <c r="IEA101" s="46"/>
      <c r="IEB101" s="46"/>
      <c r="IEC101" s="46"/>
      <c r="IED101" s="46"/>
      <c r="IEE101" s="46"/>
      <c r="IEF101" s="46"/>
      <c r="IEG101" s="46"/>
      <c r="IEH101" s="46"/>
      <c r="IEI101" s="46"/>
      <c r="IEJ101" s="46"/>
      <c r="IEK101" s="46"/>
      <c r="IEL101" s="46"/>
      <c r="IEM101" s="46"/>
      <c r="IEN101" s="46"/>
      <c r="IEO101" s="46"/>
      <c r="IEP101" s="46"/>
      <c r="IEQ101" s="46"/>
      <c r="IER101" s="46"/>
      <c r="IES101" s="46"/>
      <c r="IET101" s="46"/>
      <c r="IEU101" s="46"/>
      <c r="IEV101" s="46"/>
      <c r="IEW101" s="46"/>
      <c r="IEX101" s="46"/>
      <c r="IEY101" s="46"/>
      <c r="IEZ101" s="46"/>
      <c r="IFA101" s="46"/>
      <c r="IFB101" s="46"/>
      <c r="IFC101" s="46"/>
      <c r="IFD101" s="46"/>
      <c r="IFE101" s="46"/>
      <c r="IFF101" s="46"/>
      <c r="IFG101" s="46"/>
      <c r="IFH101" s="46"/>
      <c r="IFI101" s="46"/>
      <c r="IFJ101" s="46"/>
      <c r="IFK101" s="46"/>
      <c r="IFL101" s="46"/>
      <c r="IFM101" s="46"/>
      <c r="IFN101" s="46"/>
      <c r="IFO101" s="46"/>
      <c r="IFP101" s="46"/>
      <c r="IFQ101" s="46"/>
      <c r="IFR101" s="46"/>
      <c r="IFS101" s="46"/>
      <c r="IFT101" s="46"/>
      <c r="IFU101" s="46"/>
      <c r="IFV101" s="46"/>
      <c r="IFW101" s="46"/>
      <c r="IFX101" s="46"/>
      <c r="IFY101" s="46"/>
      <c r="IFZ101" s="46"/>
      <c r="IGA101" s="46"/>
      <c r="IGB101" s="46"/>
      <c r="IGC101" s="46"/>
      <c r="IGD101" s="46"/>
      <c r="IGE101" s="46"/>
      <c r="IGF101" s="46"/>
      <c r="IGG101" s="46"/>
      <c r="IGH101" s="46"/>
      <c r="IGI101" s="46"/>
      <c r="IGJ101" s="46"/>
      <c r="IGK101" s="46"/>
      <c r="IGL101" s="46"/>
      <c r="IGM101" s="46"/>
      <c r="IGN101" s="46"/>
      <c r="IGO101" s="46"/>
      <c r="IGP101" s="46"/>
      <c r="IGQ101" s="46"/>
      <c r="IGR101" s="46"/>
      <c r="IGS101" s="46"/>
      <c r="IGT101" s="46"/>
      <c r="IGU101" s="46"/>
      <c r="IGV101" s="46"/>
      <c r="IGW101" s="46"/>
      <c r="IGX101" s="46"/>
      <c r="IGY101" s="46"/>
      <c r="IGZ101" s="46"/>
      <c r="IHA101" s="46"/>
      <c r="IHB101" s="46"/>
      <c r="IHC101" s="46"/>
      <c r="IHD101" s="46"/>
      <c r="IHE101" s="46"/>
      <c r="IHF101" s="46"/>
      <c r="IHG101" s="46"/>
      <c r="IHH101" s="46"/>
      <c r="IHI101" s="46"/>
      <c r="IHJ101" s="46"/>
      <c r="IHK101" s="46"/>
      <c r="IHL101" s="46"/>
      <c r="IHM101" s="46"/>
      <c r="IHN101" s="46"/>
      <c r="IHO101" s="46"/>
      <c r="IHP101" s="46"/>
      <c r="IHQ101" s="46"/>
      <c r="IHR101" s="46"/>
      <c r="IHS101" s="46"/>
      <c r="IHT101" s="46"/>
      <c r="IHU101" s="46"/>
      <c r="IHV101" s="46"/>
      <c r="IHW101" s="46"/>
      <c r="IHX101" s="46"/>
      <c r="IHY101" s="46"/>
      <c r="IHZ101" s="46"/>
      <c r="IIA101" s="46"/>
      <c r="IIB101" s="46"/>
      <c r="IIC101" s="46"/>
      <c r="IID101" s="46"/>
      <c r="IIE101" s="46"/>
      <c r="IIF101" s="46"/>
      <c r="IIG101" s="46"/>
      <c r="IIH101" s="46"/>
      <c r="III101" s="46"/>
      <c r="IIJ101" s="46"/>
      <c r="IIK101" s="46"/>
      <c r="IIL101" s="46"/>
      <c r="IIM101" s="46"/>
      <c r="IIN101" s="46"/>
      <c r="IIO101" s="46"/>
      <c r="IIP101" s="46"/>
      <c r="IIQ101" s="46"/>
      <c r="IIR101" s="46"/>
      <c r="IIS101" s="46"/>
      <c r="IIT101" s="46"/>
      <c r="IIU101" s="46"/>
      <c r="IIV101" s="46"/>
      <c r="IIW101" s="46"/>
      <c r="IIX101" s="46"/>
      <c r="IIY101" s="46"/>
      <c r="IIZ101" s="46"/>
      <c r="IJA101" s="46"/>
      <c r="IJB101" s="46"/>
      <c r="IJC101" s="46"/>
      <c r="IJD101" s="46"/>
      <c r="IJE101" s="46"/>
      <c r="IJF101" s="46"/>
      <c r="IJG101" s="46"/>
      <c r="IJH101" s="46"/>
      <c r="IJI101" s="46"/>
      <c r="IJJ101" s="46"/>
      <c r="IJK101" s="46"/>
      <c r="IJL101" s="46"/>
      <c r="IJM101" s="46"/>
      <c r="IJN101" s="46"/>
      <c r="IJO101" s="46"/>
      <c r="IJP101" s="46"/>
      <c r="IJQ101" s="46"/>
      <c r="IJR101" s="46"/>
      <c r="IJS101" s="46"/>
      <c r="IJT101" s="46"/>
      <c r="IJU101" s="46"/>
      <c r="IJV101" s="46"/>
      <c r="IJW101" s="46"/>
      <c r="IJX101" s="46"/>
      <c r="IJY101" s="46"/>
      <c r="IJZ101" s="46"/>
      <c r="IKA101" s="46"/>
      <c r="IKB101" s="46"/>
      <c r="IKC101" s="46"/>
      <c r="IKD101" s="46"/>
      <c r="IKE101" s="46"/>
      <c r="IKF101" s="46"/>
      <c r="IKG101" s="46"/>
      <c r="IKH101" s="46"/>
      <c r="IKI101" s="46"/>
      <c r="IKJ101" s="46"/>
      <c r="IKK101" s="46"/>
      <c r="IKL101" s="46"/>
      <c r="IKM101" s="46"/>
      <c r="IKN101" s="46"/>
      <c r="IKO101" s="46"/>
      <c r="IKP101" s="46"/>
      <c r="IKQ101" s="46"/>
      <c r="IKR101" s="46"/>
      <c r="IKS101" s="46"/>
      <c r="IKT101" s="46"/>
      <c r="IKU101" s="46"/>
      <c r="IKV101" s="46"/>
      <c r="IKW101" s="46"/>
      <c r="IKX101" s="46"/>
      <c r="IKY101" s="46"/>
      <c r="IKZ101" s="46"/>
      <c r="ILA101" s="46"/>
      <c r="ILB101" s="46"/>
      <c r="ILC101" s="46"/>
      <c r="ILD101" s="46"/>
      <c r="ILE101" s="46"/>
      <c r="ILF101" s="46"/>
      <c r="ILG101" s="46"/>
      <c r="ILH101" s="46"/>
      <c r="ILI101" s="46"/>
      <c r="ILJ101" s="46"/>
      <c r="ILK101" s="46"/>
      <c r="ILL101" s="46"/>
      <c r="ILM101" s="46"/>
      <c r="ILN101" s="46"/>
      <c r="ILO101" s="46"/>
      <c r="ILP101" s="46"/>
      <c r="ILQ101" s="46"/>
      <c r="ILR101" s="46"/>
      <c r="ILS101" s="46"/>
      <c r="ILT101" s="46"/>
      <c r="ILU101" s="46"/>
      <c r="ILV101" s="46"/>
      <c r="ILW101" s="46"/>
      <c r="ILX101" s="46"/>
      <c r="ILY101" s="46"/>
      <c r="ILZ101" s="46"/>
      <c r="IMA101" s="46"/>
      <c r="IMB101" s="46"/>
      <c r="IMC101" s="46"/>
      <c r="IMD101" s="46"/>
      <c r="IME101" s="46"/>
      <c r="IMF101" s="46"/>
      <c r="IMG101" s="46"/>
      <c r="IMH101" s="46"/>
      <c r="IMI101" s="46"/>
      <c r="IMJ101" s="46"/>
      <c r="IMK101" s="46"/>
      <c r="IML101" s="46"/>
      <c r="IMM101" s="46"/>
      <c r="IMN101" s="46"/>
      <c r="IMO101" s="46"/>
      <c r="IMP101" s="46"/>
      <c r="IMQ101" s="46"/>
      <c r="IMR101" s="46"/>
      <c r="IMS101" s="46"/>
      <c r="IMT101" s="46"/>
      <c r="IMU101" s="46"/>
      <c r="IMV101" s="46"/>
      <c r="IMW101" s="46"/>
      <c r="IMX101" s="46"/>
      <c r="IMY101" s="46"/>
      <c r="IMZ101" s="46"/>
      <c r="INA101" s="46"/>
      <c r="INB101" s="46"/>
      <c r="INC101" s="46"/>
      <c r="IND101" s="46"/>
      <c r="INE101" s="46"/>
      <c r="INF101" s="46"/>
      <c r="ING101" s="46"/>
      <c r="INH101" s="46"/>
      <c r="INI101" s="46"/>
      <c r="INJ101" s="46"/>
      <c r="INK101" s="46"/>
      <c r="INL101" s="46"/>
      <c r="INM101" s="46"/>
      <c r="INN101" s="46"/>
      <c r="INO101" s="46"/>
      <c r="INP101" s="46"/>
      <c r="INQ101" s="46"/>
      <c r="INR101" s="46"/>
      <c r="INS101" s="46"/>
      <c r="INT101" s="46"/>
      <c r="INU101" s="46"/>
      <c r="INV101" s="46"/>
      <c r="INW101" s="46"/>
      <c r="INX101" s="46"/>
      <c r="INY101" s="46"/>
      <c r="INZ101" s="46"/>
      <c r="IOA101" s="46"/>
      <c r="IOB101" s="46"/>
      <c r="IOC101" s="46"/>
      <c r="IOD101" s="46"/>
      <c r="IOE101" s="46"/>
      <c r="IOF101" s="46"/>
      <c r="IOG101" s="46"/>
      <c r="IOH101" s="46"/>
      <c r="IOI101" s="46"/>
      <c r="IOJ101" s="46"/>
      <c r="IOK101" s="46"/>
      <c r="IOL101" s="46"/>
      <c r="IOM101" s="46"/>
      <c r="ION101" s="46"/>
      <c r="IOO101" s="46"/>
      <c r="IOP101" s="46"/>
      <c r="IOQ101" s="46"/>
      <c r="IOR101" s="46"/>
      <c r="IOS101" s="46"/>
      <c r="IOT101" s="46"/>
      <c r="IOU101" s="46"/>
      <c r="IOV101" s="46"/>
      <c r="IOW101" s="46"/>
      <c r="IOX101" s="46"/>
      <c r="IOY101" s="46"/>
      <c r="IOZ101" s="46"/>
      <c r="IPA101" s="46"/>
      <c r="IPB101" s="46"/>
      <c r="IPC101" s="46"/>
      <c r="IPD101" s="46"/>
      <c r="IPE101" s="46"/>
      <c r="IPF101" s="46"/>
      <c r="IPG101" s="46"/>
      <c r="IPH101" s="46"/>
      <c r="IPI101" s="46"/>
      <c r="IPJ101" s="46"/>
      <c r="IPK101" s="46"/>
      <c r="IPL101" s="46"/>
      <c r="IPM101" s="46"/>
      <c r="IPN101" s="46"/>
      <c r="IPO101" s="46"/>
      <c r="IPP101" s="46"/>
      <c r="IPQ101" s="46"/>
      <c r="IPR101" s="46"/>
      <c r="IPS101" s="46"/>
      <c r="IPT101" s="46"/>
      <c r="IPU101" s="46"/>
      <c r="IPV101" s="46"/>
      <c r="IPW101" s="46"/>
      <c r="IPX101" s="46"/>
      <c r="IPY101" s="46"/>
      <c r="IPZ101" s="46"/>
      <c r="IQA101" s="46"/>
      <c r="IQB101" s="46"/>
      <c r="IQC101" s="46"/>
      <c r="IQD101" s="46"/>
      <c r="IQE101" s="46"/>
      <c r="IQF101" s="46"/>
      <c r="IQG101" s="46"/>
      <c r="IQH101" s="46"/>
      <c r="IQI101" s="46"/>
      <c r="IQJ101" s="46"/>
      <c r="IQK101" s="46"/>
      <c r="IQL101" s="46"/>
      <c r="IQM101" s="46"/>
      <c r="IQN101" s="46"/>
      <c r="IQO101" s="46"/>
      <c r="IQP101" s="46"/>
      <c r="IQQ101" s="46"/>
      <c r="IQR101" s="46"/>
      <c r="IQS101" s="46"/>
      <c r="IQT101" s="46"/>
      <c r="IQU101" s="46"/>
      <c r="IQV101" s="46"/>
      <c r="IQW101" s="46"/>
      <c r="IQX101" s="46"/>
      <c r="IQY101" s="46"/>
      <c r="IQZ101" s="46"/>
      <c r="IRA101" s="46"/>
      <c r="IRB101" s="46"/>
      <c r="IRC101" s="46"/>
      <c r="IRD101" s="46"/>
      <c r="IRE101" s="46"/>
      <c r="IRF101" s="46"/>
      <c r="IRG101" s="46"/>
      <c r="IRH101" s="46"/>
      <c r="IRI101" s="46"/>
      <c r="IRJ101" s="46"/>
      <c r="IRK101" s="46"/>
      <c r="IRL101" s="46"/>
      <c r="IRM101" s="46"/>
      <c r="IRN101" s="46"/>
      <c r="IRO101" s="46"/>
      <c r="IRP101" s="46"/>
      <c r="IRQ101" s="46"/>
      <c r="IRR101" s="46"/>
      <c r="IRS101" s="46"/>
      <c r="IRT101" s="46"/>
      <c r="IRU101" s="46"/>
      <c r="IRV101" s="46"/>
      <c r="IRW101" s="46"/>
      <c r="IRX101" s="46"/>
      <c r="IRY101" s="46"/>
      <c r="IRZ101" s="46"/>
      <c r="ISA101" s="46"/>
      <c r="ISB101" s="46"/>
      <c r="ISC101" s="46"/>
      <c r="ISD101" s="46"/>
      <c r="ISE101" s="46"/>
      <c r="ISF101" s="46"/>
      <c r="ISG101" s="46"/>
      <c r="ISH101" s="46"/>
      <c r="ISI101" s="46"/>
      <c r="ISJ101" s="46"/>
      <c r="ISK101" s="46"/>
      <c r="ISL101" s="46"/>
      <c r="ISM101" s="46"/>
      <c r="ISN101" s="46"/>
      <c r="ISO101" s="46"/>
      <c r="ISP101" s="46"/>
      <c r="ISQ101" s="46"/>
      <c r="ISR101" s="46"/>
      <c r="ISS101" s="46"/>
      <c r="IST101" s="46"/>
      <c r="ISU101" s="46"/>
      <c r="ISV101" s="46"/>
      <c r="ISW101" s="46"/>
      <c r="ISX101" s="46"/>
      <c r="ISY101" s="46"/>
      <c r="ISZ101" s="46"/>
      <c r="ITA101" s="46"/>
      <c r="ITB101" s="46"/>
      <c r="ITC101" s="46"/>
      <c r="ITD101" s="46"/>
      <c r="ITE101" s="46"/>
      <c r="ITF101" s="46"/>
      <c r="ITG101" s="46"/>
      <c r="ITH101" s="46"/>
      <c r="ITI101" s="46"/>
      <c r="ITJ101" s="46"/>
      <c r="ITK101" s="46"/>
      <c r="ITL101" s="46"/>
      <c r="ITM101" s="46"/>
      <c r="ITN101" s="46"/>
      <c r="ITO101" s="46"/>
      <c r="ITP101" s="46"/>
      <c r="ITQ101" s="46"/>
      <c r="ITR101" s="46"/>
      <c r="ITS101" s="46"/>
      <c r="ITT101" s="46"/>
      <c r="ITU101" s="46"/>
      <c r="ITV101" s="46"/>
      <c r="ITW101" s="46"/>
      <c r="ITX101" s="46"/>
      <c r="ITY101" s="46"/>
      <c r="ITZ101" s="46"/>
      <c r="IUA101" s="46"/>
      <c r="IUB101" s="46"/>
      <c r="IUC101" s="46"/>
      <c r="IUD101" s="46"/>
      <c r="IUE101" s="46"/>
      <c r="IUF101" s="46"/>
      <c r="IUG101" s="46"/>
      <c r="IUH101" s="46"/>
      <c r="IUI101" s="46"/>
      <c r="IUJ101" s="46"/>
      <c r="IUK101" s="46"/>
      <c r="IUL101" s="46"/>
      <c r="IUM101" s="46"/>
      <c r="IUN101" s="46"/>
      <c r="IUO101" s="46"/>
      <c r="IUP101" s="46"/>
      <c r="IUQ101" s="46"/>
      <c r="IUR101" s="46"/>
      <c r="IUS101" s="46"/>
      <c r="IUT101" s="46"/>
      <c r="IUU101" s="46"/>
      <c r="IUV101" s="46"/>
      <c r="IUW101" s="46"/>
      <c r="IUX101" s="46"/>
      <c r="IUY101" s="46"/>
      <c r="IUZ101" s="46"/>
      <c r="IVA101" s="46"/>
      <c r="IVB101" s="46"/>
      <c r="IVC101" s="46"/>
      <c r="IVD101" s="46"/>
      <c r="IVE101" s="46"/>
      <c r="IVF101" s="46"/>
      <c r="IVG101" s="46"/>
      <c r="IVH101" s="46"/>
      <c r="IVI101" s="46"/>
      <c r="IVJ101" s="46"/>
      <c r="IVK101" s="46"/>
      <c r="IVL101" s="46"/>
      <c r="IVM101" s="46"/>
      <c r="IVN101" s="46"/>
      <c r="IVO101" s="46"/>
      <c r="IVP101" s="46"/>
      <c r="IVQ101" s="46"/>
      <c r="IVR101" s="46"/>
      <c r="IVS101" s="46"/>
      <c r="IVT101" s="46"/>
      <c r="IVU101" s="46"/>
      <c r="IVV101" s="46"/>
      <c r="IVW101" s="46"/>
      <c r="IVX101" s="46"/>
      <c r="IVY101" s="46"/>
      <c r="IVZ101" s="46"/>
      <c r="IWA101" s="46"/>
      <c r="IWB101" s="46"/>
      <c r="IWC101" s="46"/>
      <c r="IWD101" s="46"/>
      <c r="IWE101" s="46"/>
      <c r="IWF101" s="46"/>
      <c r="IWG101" s="46"/>
      <c r="IWH101" s="46"/>
      <c r="IWI101" s="46"/>
      <c r="IWJ101" s="46"/>
      <c r="IWK101" s="46"/>
      <c r="IWL101" s="46"/>
      <c r="IWM101" s="46"/>
      <c r="IWN101" s="46"/>
      <c r="IWO101" s="46"/>
      <c r="IWP101" s="46"/>
      <c r="IWQ101" s="46"/>
      <c r="IWR101" s="46"/>
      <c r="IWS101" s="46"/>
      <c r="IWT101" s="46"/>
      <c r="IWU101" s="46"/>
      <c r="IWV101" s="46"/>
      <c r="IWW101" s="46"/>
      <c r="IWX101" s="46"/>
      <c r="IWY101" s="46"/>
      <c r="IWZ101" s="46"/>
      <c r="IXA101" s="46"/>
      <c r="IXB101" s="46"/>
      <c r="IXC101" s="46"/>
      <c r="IXD101" s="46"/>
      <c r="IXE101" s="46"/>
      <c r="IXF101" s="46"/>
      <c r="IXG101" s="46"/>
      <c r="IXH101" s="46"/>
      <c r="IXI101" s="46"/>
      <c r="IXJ101" s="46"/>
      <c r="IXK101" s="46"/>
      <c r="IXL101" s="46"/>
      <c r="IXM101" s="46"/>
      <c r="IXN101" s="46"/>
      <c r="IXO101" s="46"/>
      <c r="IXP101" s="46"/>
      <c r="IXQ101" s="46"/>
      <c r="IXR101" s="46"/>
      <c r="IXS101" s="46"/>
      <c r="IXT101" s="46"/>
      <c r="IXU101" s="46"/>
      <c r="IXV101" s="46"/>
      <c r="IXW101" s="46"/>
      <c r="IXX101" s="46"/>
      <c r="IXY101" s="46"/>
      <c r="IXZ101" s="46"/>
      <c r="IYA101" s="46"/>
      <c r="IYB101" s="46"/>
      <c r="IYC101" s="46"/>
      <c r="IYD101" s="46"/>
      <c r="IYE101" s="46"/>
      <c r="IYF101" s="46"/>
      <c r="IYG101" s="46"/>
      <c r="IYH101" s="46"/>
      <c r="IYI101" s="46"/>
      <c r="IYJ101" s="46"/>
      <c r="IYK101" s="46"/>
      <c r="IYL101" s="46"/>
      <c r="IYM101" s="46"/>
      <c r="IYN101" s="46"/>
      <c r="IYO101" s="46"/>
      <c r="IYP101" s="46"/>
      <c r="IYQ101" s="46"/>
      <c r="IYR101" s="46"/>
      <c r="IYS101" s="46"/>
      <c r="IYT101" s="46"/>
      <c r="IYU101" s="46"/>
      <c r="IYV101" s="46"/>
      <c r="IYW101" s="46"/>
      <c r="IYX101" s="46"/>
      <c r="IYY101" s="46"/>
      <c r="IYZ101" s="46"/>
      <c r="IZA101" s="46"/>
      <c r="IZB101" s="46"/>
      <c r="IZC101" s="46"/>
      <c r="IZD101" s="46"/>
      <c r="IZE101" s="46"/>
      <c r="IZF101" s="46"/>
      <c r="IZG101" s="46"/>
      <c r="IZH101" s="46"/>
      <c r="IZI101" s="46"/>
      <c r="IZJ101" s="46"/>
      <c r="IZK101" s="46"/>
      <c r="IZL101" s="46"/>
      <c r="IZM101" s="46"/>
      <c r="IZN101" s="46"/>
      <c r="IZO101" s="46"/>
      <c r="IZP101" s="46"/>
      <c r="IZQ101" s="46"/>
      <c r="IZR101" s="46"/>
      <c r="IZS101" s="46"/>
      <c r="IZT101" s="46"/>
      <c r="IZU101" s="46"/>
      <c r="IZV101" s="46"/>
      <c r="IZW101" s="46"/>
      <c r="IZX101" s="46"/>
      <c r="IZY101" s="46"/>
      <c r="IZZ101" s="46"/>
      <c r="JAA101" s="46"/>
      <c r="JAB101" s="46"/>
      <c r="JAC101" s="46"/>
      <c r="JAD101" s="46"/>
      <c r="JAE101" s="46"/>
      <c r="JAF101" s="46"/>
      <c r="JAG101" s="46"/>
      <c r="JAH101" s="46"/>
      <c r="JAI101" s="46"/>
      <c r="JAJ101" s="46"/>
      <c r="JAK101" s="46"/>
      <c r="JAL101" s="46"/>
      <c r="JAM101" s="46"/>
      <c r="JAN101" s="46"/>
      <c r="JAO101" s="46"/>
      <c r="JAP101" s="46"/>
      <c r="JAQ101" s="46"/>
      <c r="JAR101" s="46"/>
      <c r="JAS101" s="46"/>
      <c r="JAT101" s="46"/>
      <c r="JAU101" s="46"/>
      <c r="JAV101" s="46"/>
      <c r="JAW101" s="46"/>
      <c r="JAX101" s="46"/>
      <c r="JAY101" s="46"/>
      <c r="JAZ101" s="46"/>
      <c r="JBA101" s="46"/>
      <c r="JBB101" s="46"/>
      <c r="JBC101" s="46"/>
      <c r="JBD101" s="46"/>
      <c r="JBE101" s="46"/>
      <c r="JBF101" s="46"/>
      <c r="JBG101" s="46"/>
      <c r="JBH101" s="46"/>
      <c r="JBI101" s="46"/>
      <c r="JBJ101" s="46"/>
      <c r="JBK101" s="46"/>
      <c r="JBL101" s="46"/>
      <c r="JBM101" s="46"/>
      <c r="JBN101" s="46"/>
      <c r="JBO101" s="46"/>
      <c r="JBP101" s="46"/>
      <c r="JBQ101" s="46"/>
      <c r="JBR101" s="46"/>
      <c r="JBS101" s="46"/>
      <c r="JBT101" s="46"/>
      <c r="JBU101" s="46"/>
      <c r="JBV101" s="46"/>
      <c r="JBW101" s="46"/>
      <c r="JBX101" s="46"/>
      <c r="JBY101" s="46"/>
      <c r="JBZ101" s="46"/>
      <c r="JCA101" s="46"/>
      <c r="JCB101" s="46"/>
      <c r="JCC101" s="46"/>
      <c r="JCD101" s="46"/>
      <c r="JCE101" s="46"/>
      <c r="JCF101" s="46"/>
      <c r="JCG101" s="46"/>
      <c r="JCH101" s="46"/>
      <c r="JCI101" s="46"/>
      <c r="JCJ101" s="46"/>
      <c r="JCK101" s="46"/>
      <c r="JCL101" s="46"/>
      <c r="JCM101" s="46"/>
      <c r="JCN101" s="46"/>
      <c r="JCO101" s="46"/>
      <c r="JCP101" s="46"/>
      <c r="JCQ101" s="46"/>
      <c r="JCR101" s="46"/>
      <c r="JCS101" s="46"/>
      <c r="JCT101" s="46"/>
      <c r="JCU101" s="46"/>
      <c r="JCV101" s="46"/>
      <c r="JCW101" s="46"/>
      <c r="JCX101" s="46"/>
      <c r="JCY101" s="46"/>
      <c r="JCZ101" s="46"/>
      <c r="JDA101" s="46"/>
      <c r="JDB101" s="46"/>
      <c r="JDC101" s="46"/>
      <c r="JDD101" s="46"/>
      <c r="JDE101" s="46"/>
      <c r="JDF101" s="46"/>
      <c r="JDG101" s="46"/>
      <c r="JDH101" s="46"/>
      <c r="JDI101" s="46"/>
      <c r="JDJ101" s="46"/>
      <c r="JDK101" s="46"/>
      <c r="JDL101" s="46"/>
      <c r="JDM101" s="46"/>
      <c r="JDN101" s="46"/>
      <c r="JDO101" s="46"/>
      <c r="JDP101" s="46"/>
      <c r="JDQ101" s="46"/>
      <c r="JDR101" s="46"/>
      <c r="JDS101" s="46"/>
      <c r="JDT101" s="46"/>
      <c r="JDU101" s="46"/>
      <c r="JDV101" s="46"/>
      <c r="JDW101" s="46"/>
      <c r="JDX101" s="46"/>
      <c r="JDY101" s="46"/>
      <c r="JDZ101" s="46"/>
      <c r="JEA101" s="46"/>
      <c r="JEB101" s="46"/>
      <c r="JEC101" s="46"/>
      <c r="JED101" s="46"/>
      <c r="JEE101" s="46"/>
      <c r="JEF101" s="46"/>
      <c r="JEG101" s="46"/>
      <c r="JEH101" s="46"/>
      <c r="JEI101" s="46"/>
      <c r="JEJ101" s="46"/>
      <c r="JEK101" s="46"/>
      <c r="JEL101" s="46"/>
      <c r="JEM101" s="46"/>
      <c r="JEN101" s="46"/>
      <c r="JEO101" s="46"/>
      <c r="JEP101" s="46"/>
      <c r="JEQ101" s="46"/>
      <c r="JER101" s="46"/>
      <c r="JES101" s="46"/>
      <c r="JET101" s="46"/>
      <c r="JEU101" s="46"/>
      <c r="JEV101" s="46"/>
      <c r="JEW101" s="46"/>
      <c r="JEX101" s="46"/>
      <c r="JEY101" s="46"/>
      <c r="JEZ101" s="46"/>
      <c r="JFA101" s="46"/>
      <c r="JFB101" s="46"/>
      <c r="JFC101" s="46"/>
      <c r="JFD101" s="46"/>
      <c r="JFE101" s="46"/>
      <c r="JFF101" s="46"/>
      <c r="JFG101" s="46"/>
      <c r="JFH101" s="46"/>
      <c r="JFI101" s="46"/>
      <c r="JFJ101" s="46"/>
      <c r="JFK101" s="46"/>
      <c r="JFL101" s="46"/>
      <c r="JFM101" s="46"/>
      <c r="JFN101" s="46"/>
      <c r="JFO101" s="46"/>
      <c r="JFP101" s="46"/>
      <c r="JFQ101" s="46"/>
      <c r="JFR101" s="46"/>
      <c r="JFS101" s="46"/>
      <c r="JFT101" s="46"/>
      <c r="JFU101" s="46"/>
      <c r="JFV101" s="46"/>
      <c r="JFW101" s="46"/>
      <c r="JFX101" s="46"/>
      <c r="JFY101" s="46"/>
      <c r="JFZ101" s="46"/>
      <c r="JGA101" s="46"/>
      <c r="JGB101" s="46"/>
      <c r="JGC101" s="46"/>
      <c r="JGD101" s="46"/>
      <c r="JGE101" s="46"/>
      <c r="JGF101" s="46"/>
      <c r="JGG101" s="46"/>
      <c r="JGH101" s="46"/>
      <c r="JGI101" s="46"/>
      <c r="JGJ101" s="46"/>
      <c r="JGK101" s="46"/>
      <c r="JGL101" s="46"/>
      <c r="JGM101" s="46"/>
      <c r="JGN101" s="46"/>
      <c r="JGO101" s="46"/>
      <c r="JGP101" s="46"/>
      <c r="JGQ101" s="46"/>
      <c r="JGR101" s="46"/>
      <c r="JGS101" s="46"/>
      <c r="JGT101" s="46"/>
      <c r="JGU101" s="46"/>
      <c r="JGV101" s="46"/>
      <c r="JGW101" s="46"/>
      <c r="JGX101" s="46"/>
      <c r="JGY101" s="46"/>
      <c r="JGZ101" s="46"/>
      <c r="JHA101" s="46"/>
      <c r="JHB101" s="46"/>
      <c r="JHC101" s="46"/>
      <c r="JHD101" s="46"/>
      <c r="JHE101" s="46"/>
      <c r="JHF101" s="46"/>
      <c r="JHG101" s="46"/>
      <c r="JHH101" s="46"/>
      <c r="JHI101" s="46"/>
      <c r="JHJ101" s="46"/>
      <c r="JHK101" s="46"/>
      <c r="JHL101" s="46"/>
      <c r="JHM101" s="46"/>
      <c r="JHN101" s="46"/>
      <c r="JHO101" s="46"/>
      <c r="JHP101" s="46"/>
      <c r="JHQ101" s="46"/>
      <c r="JHR101" s="46"/>
      <c r="JHS101" s="46"/>
      <c r="JHT101" s="46"/>
      <c r="JHU101" s="46"/>
      <c r="JHV101" s="46"/>
      <c r="JHW101" s="46"/>
      <c r="JHX101" s="46"/>
      <c r="JHY101" s="46"/>
      <c r="JHZ101" s="46"/>
      <c r="JIA101" s="46"/>
      <c r="JIB101" s="46"/>
      <c r="JIC101" s="46"/>
      <c r="JID101" s="46"/>
      <c r="JIE101" s="46"/>
      <c r="JIF101" s="46"/>
      <c r="JIG101" s="46"/>
      <c r="JIH101" s="46"/>
      <c r="JII101" s="46"/>
      <c r="JIJ101" s="46"/>
      <c r="JIK101" s="46"/>
      <c r="JIL101" s="46"/>
      <c r="JIM101" s="46"/>
      <c r="JIN101" s="46"/>
      <c r="JIO101" s="46"/>
      <c r="JIP101" s="46"/>
      <c r="JIQ101" s="46"/>
      <c r="JIR101" s="46"/>
      <c r="JIS101" s="46"/>
      <c r="JIT101" s="46"/>
      <c r="JIU101" s="46"/>
      <c r="JIV101" s="46"/>
      <c r="JIW101" s="46"/>
      <c r="JIX101" s="46"/>
      <c r="JIY101" s="46"/>
      <c r="JIZ101" s="46"/>
      <c r="JJA101" s="46"/>
      <c r="JJB101" s="46"/>
      <c r="JJC101" s="46"/>
      <c r="JJD101" s="46"/>
      <c r="JJE101" s="46"/>
      <c r="JJF101" s="46"/>
      <c r="JJG101" s="46"/>
      <c r="JJH101" s="46"/>
      <c r="JJI101" s="46"/>
      <c r="JJJ101" s="46"/>
      <c r="JJK101" s="46"/>
      <c r="JJL101" s="46"/>
      <c r="JJM101" s="46"/>
      <c r="JJN101" s="46"/>
      <c r="JJO101" s="46"/>
      <c r="JJP101" s="46"/>
      <c r="JJQ101" s="46"/>
      <c r="JJR101" s="46"/>
      <c r="JJS101" s="46"/>
      <c r="JJT101" s="46"/>
      <c r="JJU101" s="46"/>
      <c r="JJV101" s="46"/>
      <c r="JJW101" s="46"/>
      <c r="JJX101" s="46"/>
      <c r="JJY101" s="46"/>
      <c r="JJZ101" s="46"/>
      <c r="JKA101" s="46"/>
      <c r="JKB101" s="46"/>
      <c r="JKC101" s="46"/>
      <c r="JKD101" s="46"/>
      <c r="JKE101" s="46"/>
      <c r="JKF101" s="46"/>
      <c r="JKG101" s="46"/>
      <c r="JKH101" s="46"/>
      <c r="JKI101" s="46"/>
      <c r="JKJ101" s="46"/>
      <c r="JKK101" s="46"/>
      <c r="JKL101" s="46"/>
      <c r="JKM101" s="46"/>
      <c r="JKN101" s="46"/>
      <c r="JKO101" s="46"/>
      <c r="JKP101" s="46"/>
      <c r="JKQ101" s="46"/>
      <c r="JKR101" s="46"/>
      <c r="JKS101" s="46"/>
      <c r="JKT101" s="46"/>
      <c r="JKU101" s="46"/>
      <c r="JKV101" s="46"/>
      <c r="JKW101" s="46"/>
      <c r="JKX101" s="46"/>
      <c r="JKY101" s="46"/>
      <c r="JKZ101" s="46"/>
      <c r="JLA101" s="46"/>
      <c r="JLB101" s="46"/>
      <c r="JLC101" s="46"/>
      <c r="JLD101" s="46"/>
      <c r="JLE101" s="46"/>
      <c r="JLF101" s="46"/>
      <c r="JLG101" s="46"/>
      <c r="JLH101" s="46"/>
      <c r="JLI101" s="46"/>
      <c r="JLJ101" s="46"/>
      <c r="JLK101" s="46"/>
      <c r="JLL101" s="46"/>
      <c r="JLM101" s="46"/>
      <c r="JLN101" s="46"/>
      <c r="JLO101" s="46"/>
      <c r="JLP101" s="46"/>
      <c r="JLQ101" s="46"/>
      <c r="JLR101" s="46"/>
      <c r="JLS101" s="46"/>
      <c r="JLT101" s="46"/>
      <c r="JLU101" s="46"/>
      <c r="JLV101" s="46"/>
      <c r="JLW101" s="46"/>
      <c r="JLX101" s="46"/>
      <c r="JLY101" s="46"/>
      <c r="JLZ101" s="46"/>
      <c r="JMA101" s="46"/>
      <c r="JMB101" s="46"/>
      <c r="JMC101" s="46"/>
      <c r="JMD101" s="46"/>
      <c r="JME101" s="46"/>
      <c r="JMF101" s="46"/>
      <c r="JMG101" s="46"/>
      <c r="JMH101" s="46"/>
      <c r="JMI101" s="46"/>
      <c r="JMJ101" s="46"/>
      <c r="JMK101" s="46"/>
      <c r="JML101" s="46"/>
      <c r="JMM101" s="46"/>
      <c r="JMN101" s="46"/>
      <c r="JMO101" s="46"/>
      <c r="JMP101" s="46"/>
      <c r="JMQ101" s="46"/>
      <c r="JMR101" s="46"/>
      <c r="JMS101" s="46"/>
      <c r="JMT101" s="46"/>
      <c r="JMU101" s="46"/>
      <c r="JMV101" s="46"/>
      <c r="JMW101" s="46"/>
      <c r="JMX101" s="46"/>
      <c r="JMY101" s="46"/>
      <c r="JMZ101" s="46"/>
      <c r="JNA101" s="46"/>
      <c r="JNB101" s="46"/>
      <c r="JNC101" s="46"/>
      <c r="JND101" s="46"/>
      <c r="JNE101" s="46"/>
      <c r="JNF101" s="46"/>
      <c r="JNG101" s="46"/>
      <c r="JNH101" s="46"/>
      <c r="JNI101" s="46"/>
      <c r="JNJ101" s="46"/>
      <c r="JNK101" s="46"/>
      <c r="JNL101" s="46"/>
      <c r="JNM101" s="46"/>
      <c r="JNN101" s="46"/>
      <c r="JNO101" s="46"/>
      <c r="JNP101" s="46"/>
      <c r="JNQ101" s="46"/>
      <c r="JNR101" s="46"/>
      <c r="JNS101" s="46"/>
      <c r="JNT101" s="46"/>
      <c r="JNU101" s="46"/>
      <c r="JNV101" s="46"/>
      <c r="JNW101" s="46"/>
      <c r="JNX101" s="46"/>
      <c r="JNY101" s="46"/>
      <c r="JNZ101" s="46"/>
      <c r="JOA101" s="46"/>
      <c r="JOB101" s="46"/>
      <c r="JOC101" s="46"/>
      <c r="JOD101" s="46"/>
      <c r="JOE101" s="46"/>
      <c r="JOF101" s="46"/>
      <c r="JOG101" s="46"/>
      <c r="JOH101" s="46"/>
      <c r="JOI101" s="46"/>
      <c r="JOJ101" s="46"/>
      <c r="JOK101" s="46"/>
      <c r="JOL101" s="46"/>
      <c r="JOM101" s="46"/>
      <c r="JON101" s="46"/>
      <c r="JOO101" s="46"/>
      <c r="JOP101" s="46"/>
      <c r="JOQ101" s="46"/>
      <c r="JOR101" s="46"/>
      <c r="JOS101" s="46"/>
      <c r="JOT101" s="46"/>
      <c r="JOU101" s="46"/>
      <c r="JOV101" s="46"/>
      <c r="JOW101" s="46"/>
      <c r="JOX101" s="46"/>
      <c r="JOY101" s="46"/>
      <c r="JOZ101" s="46"/>
      <c r="JPA101" s="46"/>
      <c r="JPB101" s="46"/>
      <c r="JPC101" s="46"/>
      <c r="JPD101" s="46"/>
      <c r="JPE101" s="46"/>
      <c r="JPF101" s="46"/>
      <c r="JPG101" s="46"/>
      <c r="JPH101" s="46"/>
      <c r="JPI101" s="46"/>
      <c r="JPJ101" s="46"/>
      <c r="JPK101" s="46"/>
      <c r="JPL101" s="46"/>
      <c r="JPM101" s="46"/>
      <c r="JPN101" s="46"/>
      <c r="JPO101" s="46"/>
      <c r="JPP101" s="46"/>
      <c r="JPQ101" s="46"/>
      <c r="JPR101" s="46"/>
      <c r="JPS101" s="46"/>
      <c r="JPT101" s="46"/>
      <c r="JPU101" s="46"/>
      <c r="JPV101" s="46"/>
      <c r="JPW101" s="46"/>
      <c r="JPX101" s="46"/>
      <c r="JPY101" s="46"/>
      <c r="JPZ101" s="46"/>
      <c r="JQA101" s="46"/>
      <c r="JQB101" s="46"/>
      <c r="JQC101" s="46"/>
      <c r="JQD101" s="46"/>
      <c r="JQE101" s="46"/>
      <c r="JQF101" s="46"/>
      <c r="JQG101" s="46"/>
      <c r="JQH101" s="46"/>
      <c r="JQI101" s="46"/>
      <c r="JQJ101" s="46"/>
      <c r="JQK101" s="46"/>
      <c r="JQL101" s="46"/>
      <c r="JQM101" s="46"/>
      <c r="JQN101" s="46"/>
      <c r="JQO101" s="46"/>
      <c r="JQP101" s="46"/>
      <c r="JQQ101" s="46"/>
      <c r="JQR101" s="46"/>
      <c r="JQS101" s="46"/>
      <c r="JQT101" s="46"/>
      <c r="JQU101" s="46"/>
      <c r="JQV101" s="46"/>
      <c r="JQW101" s="46"/>
      <c r="JQX101" s="46"/>
      <c r="JQY101" s="46"/>
      <c r="JQZ101" s="46"/>
      <c r="JRA101" s="46"/>
      <c r="JRB101" s="46"/>
      <c r="JRC101" s="46"/>
      <c r="JRD101" s="46"/>
      <c r="JRE101" s="46"/>
      <c r="JRF101" s="46"/>
      <c r="JRG101" s="46"/>
      <c r="JRH101" s="46"/>
      <c r="JRI101" s="46"/>
      <c r="JRJ101" s="46"/>
      <c r="JRK101" s="46"/>
      <c r="JRL101" s="46"/>
      <c r="JRM101" s="46"/>
      <c r="JRN101" s="46"/>
      <c r="JRO101" s="46"/>
      <c r="JRP101" s="46"/>
      <c r="JRQ101" s="46"/>
      <c r="JRR101" s="46"/>
      <c r="JRS101" s="46"/>
      <c r="JRT101" s="46"/>
      <c r="JRU101" s="46"/>
      <c r="JRV101" s="46"/>
      <c r="JRW101" s="46"/>
      <c r="JRX101" s="46"/>
      <c r="JRY101" s="46"/>
      <c r="JRZ101" s="46"/>
      <c r="JSA101" s="46"/>
      <c r="JSB101" s="46"/>
      <c r="JSC101" s="46"/>
      <c r="JSD101" s="46"/>
      <c r="JSE101" s="46"/>
      <c r="JSF101" s="46"/>
      <c r="JSG101" s="46"/>
      <c r="JSH101" s="46"/>
      <c r="JSI101" s="46"/>
      <c r="JSJ101" s="46"/>
      <c r="JSK101" s="46"/>
      <c r="JSL101" s="46"/>
      <c r="JSM101" s="46"/>
      <c r="JSN101" s="46"/>
      <c r="JSO101" s="46"/>
      <c r="JSP101" s="46"/>
      <c r="JSQ101" s="46"/>
      <c r="JSR101" s="46"/>
      <c r="JSS101" s="46"/>
      <c r="JST101" s="46"/>
      <c r="JSU101" s="46"/>
      <c r="JSV101" s="46"/>
      <c r="JSW101" s="46"/>
      <c r="JSX101" s="46"/>
      <c r="JSY101" s="46"/>
      <c r="JSZ101" s="46"/>
      <c r="JTA101" s="46"/>
      <c r="JTB101" s="46"/>
      <c r="JTC101" s="46"/>
      <c r="JTD101" s="46"/>
      <c r="JTE101" s="46"/>
      <c r="JTF101" s="46"/>
      <c r="JTG101" s="46"/>
      <c r="JTH101" s="46"/>
      <c r="JTI101" s="46"/>
      <c r="JTJ101" s="46"/>
      <c r="JTK101" s="46"/>
      <c r="JTL101" s="46"/>
      <c r="JTM101" s="46"/>
      <c r="JTN101" s="46"/>
      <c r="JTO101" s="46"/>
      <c r="JTP101" s="46"/>
      <c r="JTQ101" s="46"/>
      <c r="JTR101" s="46"/>
      <c r="JTS101" s="46"/>
      <c r="JTT101" s="46"/>
      <c r="JTU101" s="46"/>
      <c r="JTV101" s="46"/>
      <c r="JTW101" s="46"/>
      <c r="JTX101" s="46"/>
      <c r="JTY101" s="46"/>
      <c r="JTZ101" s="46"/>
      <c r="JUA101" s="46"/>
      <c r="JUB101" s="46"/>
      <c r="JUC101" s="46"/>
      <c r="JUD101" s="46"/>
      <c r="JUE101" s="46"/>
      <c r="JUF101" s="46"/>
      <c r="JUG101" s="46"/>
      <c r="JUH101" s="46"/>
      <c r="JUI101" s="46"/>
      <c r="JUJ101" s="46"/>
      <c r="JUK101" s="46"/>
      <c r="JUL101" s="46"/>
      <c r="JUM101" s="46"/>
      <c r="JUN101" s="46"/>
      <c r="JUO101" s="46"/>
      <c r="JUP101" s="46"/>
      <c r="JUQ101" s="46"/>
      <c r="JUR101" s="46"/>
      <c r="JUS101" s="46"/>
      <c r="JUT101" s="46"/>
      <c r="JUU101" s="46"/>
      <c r="JUV101" s="46"/>
      <c r="JUW101" s="46"/>
      <c r="JUX101" s="46"/>
      <c r="JUY101" s="46"/>
      <c r="JUZ101" s="46"/>
      <c r="JVA101" s="46"/>
      <c r="JVB101" s="46"/>
      <c r="JVC101" s="46"/>
      <c r="JVD101" s="46"/>
      <c r="JVE101" s="46"/>
      <c r="JVF101" s="46"/>
      <c r="JVG101" s="46"/>
      <c r="JVH101" s="46"/>
      <c r="JVI101" s="46"/>
      <c r="JVJ101" s="46"/>
      <c r="JVK101" s="46"/>
      <c r="JVL101" s="46"/>
      <c r="JVM101" s="46"/>
      <c r="JVN101" s="46"/>
      <c r="JVO101" s="46"/>
      <c r="JVP101" s="46"/>
      <c r="JVQ101" s="46"/>
      <c r="JVR101" s="46"/>
      <c r="JVS101" s="46"/>
      <c r="JVT101" s="46"/>
      <c r="JVU101" s="46"/>
      <c r="JVV101" s="46"/>
      <c r="JVW101" s="46"/>
      <c r="JVX101" s="46"/>
      <c r="JVY101" s="46"/>
      <c r="JVZ101" s="46"/>
      <c r="JWA101" s="46"/>
      <c r="JWB101" s="46"/>
      <c r="JWC101" s="46"/>
      <c r="JWD101" s="46"/>
      <c r="JWE101" s="46"/>
      <c r="JWF101" s="46"/>
      <c r="JWG101" s="46"/>
      <c r="JWH101" s="46"/>
      <c r="JWI101" s="46"/>
      <c r="JWJ101" s="46"/>
      <c r="JWK101" s="46"/>
      <c r="JWL101" s="46"/>
      <c r="JWM101" s="46"/>
      <c r="JWN101" s="46"/>
      <c r="JWO101" s="46"/>
      <c r="JWP101" s="46"/>
      <c r="JWQ101" s="46"/>
      <c r="JWR101" s="46"/>
      <c r="JWS101" s="46"/>
      <c r="JWT101" s="46"/>
      <c r="JWU101" s="46"/>
      <c r="JWV101" s="46"/>
      <c r="JWW101" s="46"/>
      <c r="JWX101" s="46"/>
      <c r="JWY101" s="46"/>
      <c r="JWZ101" s="46"/>
      <c r="JXA101" s="46"/>
      <c r="JXB101" s="46"/>
      <c r="JXC101" s="46"/>
      <c r="JXD101" s="46"/>
      <c r="JXE101" s="46"/>
      <c r="JXF101" s="46"/>
      <c r="JXG101" s="46"/>
      <c r="JXH101" s="46"/>
      <c r="JXI101" s="46"/>
      <c r="JXJ101" s="46"/>
      <c r="JXK101" s="46"/>
      <c r="JXL101" s="46"/>
      <c r="JXM101" s="46"/>
      <c r="JXN101" s="46"/>
      <c r="JXO101" s="46"/>
      <c r="JXP101" s="46"/>
      <c r="JXQ101" s="46"/>
      <c r="JXR101" s="46"/>
      <c r="JXS101" s="46"/>
      <c r="JXT101" s="46"/>
      <c r="JXU101" s="46"/>
      <c r="JXV101" s="46"/>
      <c r="JXW101" s="46"/>
      <c r="JXX101" s="46"/>
      <c r="JXY101" s="46"/>
      <c r="JXZ101" s="46"/>
      <c r="JYA101" s="46"/>
      <c r="JYB101" s="46"/>
      <c r="JYC101" s="46"/>
      <c r="JYD101" s="46"/>
      <c r="JYE101" s="46"/>
      <c r="JYF101" s="46"/>
      <c r="JYG101" s="46"/>
      <c r="JYH101" s="46"/>
      <c r="JYI101" s="46"/>
      <c r="JYJ101" s="46"/>
      <c r="JYK101" s="46"/>
      <c r="JYL101" s="46"/>
      <c r="JYM101" s="46"/>
      <c r="JYN101" s="46"/>
      <c r="JYO101" s="46"/>
      <c r="JYP101" s="46"/>
      <c r="JYQ101" s="46"/>
      <c r="JYR101" s="46"/>
      <c r="JYS101" s="46"/>
      <c r="JYT101" s="46"/>
      <c r="JYU101" s="46"/>
      <c r="JYV101" s="46"/>
      <c r="JYW101" s="46"/>
      <c r="JYX101" s="46"/>
      <c r="JYY101" s="46"/>
      <c r="JYZ101" s="46"/>
      <c r="JZA101" s="46"/>
      <c r="JZB101" s="46"/>
      <c r="JZC101" s="46"/>
      <c r="JZD101" s="46"/>
      <c r="JZE101" s="46"/>
      <c r="JZF101" s="46"/>
      <c r="JZG101" s="46"/>
      <c r="JZH101" s="46"/>
      <c r="JZI101" s="46"/>
      <c r="JZJ101" s="46"/>
      <c r="JZK101" s="46"/>
      <c r="JZL101" s="46"/>
      <c r="JZM101" s="46"/>
      <c r="JZN101" s="46"/>
      <c r="JZO101" s="46"/>
      <c r="JZP101" s="46"/>
      <c r="JZQ101" s="46"/>
      <c r="JZR101" s="46"/>
      <c r="JZS101" s="46"/>
      <c r="JZT101" s="46"/>
      <c r="JZU101" s="46"/>
      <c r="JZV101" s="46"/>
      <c r="JZW101" s="46"/>
      <c r="JZX101" s="46"/>
      <c r="JZY101" s="46"/>
      <c r="JZZ101" s="46"/>
      <c r="KAA101" s="46"/>
      <c r="KAB101" s="46"/>
      <c r="KAC101" s="46"/>
      <c r="KAD101" s="46"/>
      <c r="KAE101" s="46"/>
      <c r="KAF101" s="46"/>
      <c r="KAG101" s="46"/>
      <c r="KAH101" s="46"/>
      <c r="KAI101" s="46"/>
      <c r="KAJ101" s="46"/>
      <c r="KAK101" s="46"/>
      <c r="KAL101" s="46"/>
      <c r="KAM101" s="46"/>
      <c r="KAN101" s="46"/>
      <c r="KAO101" s="46"/>
      <c r="KAP101" s="46"/>
      <c r="KAQ101" s="46"/>
      <c r="KAR101" s="46"/>
      <c r="KAS101" s="46"/>
      <c r="KAT101" s="46"/>
      <c r="KAU101" s="46"/>
      <c r="KAV101" s="46"/>
      <c r="KAW101" s="46"/>
      <c r="KAX101" s="46"/>
      <c r="KAY101" s="46"/>
      <c r="KAZ101" s="46"/>
      <c r="KBA101" s="46"/>
      <c r="KBB101" s="46"/>
      <c r="KBC101" s="46"/>
      <c r="KBD101" s="46"/>
      <c r="KBE101" s="46"/>
      <c r="KBF101" s="46"/>
      <c r="KBG101" s="46"/>
      <c r="KBH101" s="46"/>
      <c r="KBI101" s="46"/>
      <c r="KBJ101" s="46"/>
      <c r="KBK101" s="46"/>
      <c r="KBL101" s="46"/>
      <c r="KBM101" s="46"/>
      <c r="KBN101" s="46"/>
      <c r="KBO101" s="46"/>
      <c r="KBP101" s="46"/>
      <c r="KBQ101" s="46"/>
      <c r="KBR101" s="46"/>
      <c r="KBS101" s="46"/>
      <c r="KBT101" s="46"/>
      <c r="KBU101" s="46"/>
      <c r="KBV101" s="46"/>
      <c r="KBW101" s="46"/>
      <c r="KBX101" s="46"/>
      <c r="KBY101" s="46"/>
      <c r="KBZ101" s="46"/>
      <c r="KCA101" s="46"/>
      <c r="KCB101" s="46"/>
      <c r="KCC101" s="46"/>
      <c r="KCD101" s="46"/>
      <c r="KCE101" s="46"/>
      <c r="KCF101" s="46"/>
      <c r="KCG101" s="46"/>
      <c r="KCH101" s="46"/>
      <c r="KCI101" s="46"/>
      <c r="KCJ101" s="46"/>
      <c r="KCK101" s="46"/>
      <c r="KCL101" s="46"/>
      <c r="KCM101" s="46"/>
      <c r="KCN101" s="46"/>
      <c r="KCO101" s="46"/>
      <c r="KCP101" s="46"/>
      <c r="KCQ101" s="46"/>
      <c r="KCR101" s="46"/>
      <c r="KCS101" s="46"/>
      <c r="KCT101" s="46"/>
      <c r="KCU101" s="46"/>
      <c r="KCV101" s="46"/>
      <c r="KCW101" s="46"/>
      <c r="KCX101" s="46"/>
      <c r="KCY101" s="46"/>
      <c r="KCZ101" s="46"/>
      <c r="KDA101" s="46"/>
      <c r="KDB101" s="46"/>
      <c r="KDC101" s="46"/>
      <c r="KDD101" s="46"/>
      <c r="KDE101" s="46"/>
      <c r="KDF101" s="46"/>
      <c r="KDG101" s="46"/>
      <c r="KDH101" s="46"/>
      <c r="KDI101" s="46"/>
      <c r="KDJ101" s="46"/>
      <c r="KDK101" s="46"/>
      <c r="KDL101" s="46"/>
      <c r="KDM101" s="46"/>
      <c r="KDN101" s="46"/>
      <c r="KDO101" s="46"/>
      <c r="KDP101" s="46"/>
      <c r="KDQ101" s="46"/>
      <c r="KDR101" s="46"/>
      <c r="KDS101" s="46"/>
      <c r="KDT101" s="46"/>
      <c r="KDU101" s="46"/>
      <c r="KDV101" s="46"/>
      <c r="KDW101" s="46"/>
      <c r="KDX101" s="46"/>
      <c r="KDY101" s="46"/>
      <c r="KDZ101" s="46"/>
      <c r="KEA101" s="46"/>
      <c r="KEB101" s="46"/>
      <c r="KEC101" s="46"/>
      <c r="KED101" s="46"/>
      <c r="KEE101" s="46"/>
      <c r="KEF101" s="46"/>
      <c r="KEG101" s="46"/>
      <c r="KEH101" s="46"/>
      <c r="KEI101" s="46"/>
      <c r="KEJ101" s="46"/>
      <c r="KEK101" s="46"/>
      <c r="KEL101" s="46"/>
      <c r="KEM101" s="46"/>
      <c r="KEN101" s="46"/>
      <c r="KEO101" s="46"/>
      <c r="KEP101" s="46"/>
      <c r="KEQ101" s="46"/>
      <c r="KER101" s="46"/>
      <c r="KES101" s="46"/>
      <c r="KET101" s="46"/>
      <c r="KEU101" s="46"/>
      <c r="KEV101" s="46"/>
      <c r="KEW101" s="46"/>
      <c r="KEX101" s="46"/>
      <c r="KEY101" s="46"/>
      <c r="KEZ101" s="46"/>
      <c r="KFA101" s="46"/>
      <c r="KFB101" s="46"/>
      <c r="KFC101" s="46"/>
      <c r="KFD101" s="46"/>
      <c r="KFE101" s="46"/>
      <c r="KFF101" s="46"/>
      <c r="KFG101" s="46"/>
      <c r="KFH101" s="46"/>
      <c r="KFI101" s="46"/>
      <c r="KFJ101" s="46"/>
      <c r="KFK101" s="46"/>
      <c r="KFL101" s="46"/>
      <c r="KFM101" s="46"/>
      <c r="KFN101" s="46"/>
      <c r="KFO101" s="46"/>
      <c r="KFP101" s="46"/>
      <c r="KFQ101" s="46"/>
      <c r="KFR101" s="46"/>
      <c r="KFS101" s="46"/>
      <c r="KFT101" s="46"/>
      <c r="KFU101" s="46"/>
      <c r="KFV101" s="46"/>
      <c r="KFW101" s="46"/>
      <c r="KFX101" s="46"/>
      <c r="KFY101" s="46"/>
      <c r="KFZ101" s="46"/>
      <c r="KGA101" s="46"/>
      <c r="KGB101" s="46"/>
      <c r="KGC101" s="46"/>
      <c r="KGD101" s="46"/>
      <c r="KGE101" s="46"/>
      <c r="KGF101" s="46"/>
      <c r="KGG101" s="46"/>
      <c r="KGH101" s="46"/>
      <c r="KGI101" s="46"/>
      <c r="KGJ101" s="46"/>
      <c r="KGK101" s="46"/>
      <c r="KGL101" s="46"/>
      <c r="KGM101" s="46"/>
      <c r="KGN101" s="46"/>
      <c r="KGO101" s="46"/>
      <c r="KGP101" s="46"/>
      <c r="KGQ101" s="46"/>
      <c r="KGR101" s="46"/>
      <c r="KGS101" s="46"/>
      <c r="KGT101" s="46"/>
      <c r="KGU101" s="46"/>
      <c r="KGV101" s="46"/>
      <c r="KGW101" s="46"/>
      <c r="KGX101" s="46"/>
      <c r="KGY101" s="46"/>
      <c r="KGZ101" s="46"/>
      <c r="KHA101" s="46"/>
      <c r="KHB101" s="46"/>
      <c r="KHC101" s="46"/>
      <c r="KHD101" s="46"/>
      <c r="KHE101" s="46"/>
      <c r="KHF101" s="46"/>
      <c r="KHG101" s="46"/>
      <c r="KHH101" s="46"/>
      <c r="KHI101" s="46"/>
      <c r="KHJ101" s="46"/>
      <c r="KHK101" s="46"/>
      <c r="KHL101" s="46"/>
      <c r="KHM101" s="46"/>
      <c r="KHN101" s="46"/>
      <c r="KHO101" s="46"/>
      <c r="KHP101" s="46"/>
      <c r="KHQ101" s="46"/>
      <c r="KHR101" s="46"/>
      <c r="KHS101" s="46"/>
      <c r="KHT101" s="46"/>
      <c r="KHU101" s="46"/>
      <c r="KHV101" s="46"/>
      <c r="KHW101" s="46"/>
      <c r="KHX101" s="46"/>
      <c r="KHY101" s="46"/>
      <c r="KHZ101" s="46"/>
      <c r="KIA101" s="46"/>
      <c r="KIB101" s="46"/>
      <c r="KIC101" s="46"/>
      <c r="KID101" s="46"/>
      <c r="KIE101" s="46"/>
      <c r="KIF101" s="46"/>
      <c r="KIG101" s="46"/>
      <c r="KIH101" s="46"/>
      <c r="KII101" s="46"/>
      <c r="KIJ101" s="46"/>
      <c r="KIK101" s="46"/>
      <c r="KIL101" s="46"/>
      <c r="KIM101" s="46"/>
      <c r="KIN101" s="46"/>
      <c r="KIO101" s="46"/>
      <c r="KIP101" s="46"/>
      <c r="KIQ101" s="46"/>
      <c r="KIR101" s="46"/>
      <c r="KIS101" s="46"/>
      <c r="KIT101" s="46"/>
      <c r="KIU101" s="46"/>
      <c r="KIV101" s="46"/>
      <c r="KIW101" s="46"/>
      <c r="KIX101" s="46"/>
      <c r="KIY101" s="46"/>
      <c r="KIZ101" s="46"/>
      <c r="KJA101" s="46"/>
      <c r="KJB101" s="46"/>
      <c r="KJC101" s="46"/>
      <c r="KJD101" s="46"/>
      <c r="KJE101" s="46"/>
      <c r="KJF101" s="46"/>
      <c r="KJG101" s="46"/>
      <c r="KJH101" s="46"/>
      <c r="KJI101" s="46"/>
      <c r="KJJ101" s="46"/>
      <c r="KJK101" s="46"/>
      <c r="KJL101" s="46"/>
      <c r="KJM101" s="46"/>
      <c r="KJN101" s="46"/>
      <c r="KJO101" s="46"/>
      <c r="KJP101" s="46"/>
      <c r="KJQ101" s="46"/>
      <c r="KJR101" s="46"/>
      <c r="KJS101" s="46"/>
      <c r="KJT101" s="46"/>
      <c r="KJU101" s="46"/>
      <c r="KJV101" s="46"/>
      <c r="KJW101" s="46"/>
      <c r="KJX101" s="46"/>
      <c r="KJY101" s="46"/>
      <c r="KJZ101" s="46"/>
      <c r="KKA101" s="46"/>
      <c r="KKB101" s="46"/>
      <c r="KKC101" s="46"/>
      <c r="KKD101" s="46"/>
      <c r="KKE101" s="46"/>
      <c r="KKF101" s="46"/>
      <c r="KKG101" s="46"/>
      <c r="KKH101" s="46"/>
      <c r="KKI101" s="46"/>
      <c r="KKJ101" s="46"/>
      <c r="KKK101" s="46"/>
      <c r="KKL101" s="46"/>
      <c r="KKM101" s="46"/>
      <c r="KKN101" s="46"/>
      <c r="KKO101" s="46"/>
      <c r="KKP101" s="46"/>
      <c r="KKQ101" s="46"/>
      <c r="KKR101" s="46"/>
      <c r="KKS101" s="46"/>
      <c r="KKT101" s="46"/>
      <c r="KKU101" s="46"/>
      <c r="KKV101" s="46"/>
      <c r="KKW101" s="46"/>
      <c r="KKX101" s="46"/>
      <c r="KKY101" s="46"/>
      <c r="KKZ101" s="46"/>
      <c r="KLA101" s="46"/>
      <c r="KLB101" s="46"/>
      <c r="KLC101" s="46"/>
      <c r="KLD101" s="46"/>
      <c r="KLE101" s="46"/>
      <c r="KLF101" s="46"/>
      <c r="KLG101" s="46"/>
      <c r="KLH101" s="46"/>
      <c r="KLI101" s="46"/>
      <c r="KLJ101" s="46"/>
      <c r="KLK101" s="46"/>
      <c r="KLL101" s="46"/>
      <c r="KLM101" s="46"/>
      <c r="KLN101" s="46"/>
      <c r="KLO101" s="46"/>
      <c r="KLP101" s="46"/>
      <c r="KLQ101" s="46"/>
      <c r="KLR101" s="46"/>
      <c r="KLS101" s="46"/>
      <c r="KLT101" s="46"/>
      <c r="KLU101" s="46"/>
      <c r="KLV101" s="46"/>
      <c r="KLW101" s="46"/>
      <c r="KLX101" s="46"/>
      <c r="KLY101" s="46"/>
      <c r="KLZ101" s="46"/>
      <c r="KMA101" s="46"/>
      <c r="KMB101" s="46"/>
      <c r="KMC101" s="46"/>
      <c r="KMD101" s="46"/>
      <c r="KME101" s="46"/>
      <c r="KMF101" s="46"/>
      <c r="KMG101" s="46"/>
      <c r="KMH101" s="46"/>
      <c r="KMI101" s="46"/>
      <c r="KMJ101" s="46"/>
      <c r="KMK101" s="46"/>
      <c r="KML101" s="46"/>
      <c r="KMM101" s="46"/>
      <c r="KMN101" s="46"/>
      <c r="KMO101" s="46"/>
      <c r="KMP101" s="46"/>
      <c r="KMQ101" s="46"/>
      <c r="KMR101" s="46"/>
      <c r="KMS101" s="46"/>
      <c r="KMT101" s="46"/>
      <c r="KMU101" s="46"/>
      <c r="KMV101" s="46"/>
      <c r="KMW101" s="46"/>
      <c r="KMX101" s="46"/>
      <c r="KMY101" s="46"/>
      <c r="KMZ101" s="46"/>
      <c r="KNA101" s="46"/>
      <c r="KNB101" s="46"/>
      <c r="KNC101" s="46"/>
      <c r="KND101" s="46"/>
      <c r="KNE101" s="46"/>
      <c r="KNF101" s="46"/>
      <c r="KNG101" s="46"/>
      <c r="KNH101" s="46"/>
      <c r="KNI101" s="46"/>
      <c r="KNJ101" s="46"/>
      <c r="KNK101" s="46"/>
      <c r="KNL101" s="46"/>
      <c r="KNM101" s="46"/>
      <c r="KNN101" s="46"/>
      <c r="KNO101" s="46"/>
      <c r="KNP101" s="46"/>
      <c r="KNQ101" s="46"/>
      <c r="KNR101" s="46"/>
      <c r="KNS101" s="46"/>
      <c r="KNT101" s="46"/>
      <c r="KNU101" s="46"/>
      <c r="KNV101" s="46"/>
      <c r="KNW101" s="46"/>
      <c r="KNX101" s="46"/>
      <c r="KNY101" s="46"/>
      <c r="KNZ101" s="46"/>
      <c r="KOA101" s="46"/>
      <c r="KOB101" s="46"/>
      <c r="KOC101" s="46"/>
      <c r="KOD101" s="46"/>
      <c r="KOE101" s="46"/>
      <c r="KOF101" s="46"/>
      <c r="KOG101" s="46"/>
      <c r="KOH101" s="46"/>
      <c r="KOI101" s="46"/>
      <c r="KOJ101" s="46"/>
      <c r="KOK101" s="46"/>
      <c r="KOL101" s="46"/>
      <c r="KOM101" s="46"/>
      <c r="KON101" s="46"/>
      <c r="KOO101" s="46"/>
      <c r="KOP101" s="46"/>
      <c r="KOQ101" s="46"/>
      <c r="KOR101" s="46"/>
      <c r="KOS101" s="46"/>
      <c r="KOT101" s="46"/>
      <c r="KOU101" s="46"/>
      <c r="KOV101" s="46"/>
      <c r="KOW101" s="46"/>
      <c r="KOX101" s="46"/>
      <c r="KOY101" s="46"/>
      <c r="KOZ101" s="46"/>
      <c r="KPA101" s="46"/>
      <c r="KPB101" s="46"/>
      <c r="KPC101" s="46"/>
      <c r="KPD101" s="46"/>
      <c r="KPE101" s="46"/>
      <c r="KPF101" s="46"/>
      <c r="KPG101" s="46"/>
      <c r="KPH101" s="46"/>
      <c r="KPI101" s="46"/>
      <c r="KPJ101" s="46"/>
      <c r="KPK101" s="46"/>
      <c r="KPL101" s="46"/>
      <c r="KPM101" s="46"/>
      <c r="KPN101" s="46"/>
      <c r="KPO101" s="46"/>
      <c r="KPP101" s="46"/>
      <c r="KPQ101" s="46"/>
      <c r="KPR101" s="46"/>
      <c r="KPS101" s="46"/>
      <c r="KPT101" s="46"/>
      <c r="KPU101" s="46"/>
      <c r="KPV101" s="46"/>
      <c r="KPW101" s="46"/>
      <c r="KPX101" s="46"/>
      <c r="KPY101" s="46"/>
      <c r="KPZ101" s="46"/>
      <c r="KQA101" s="46"/>
      <c r="KQB101" s="46"/>
      <c r="KQC101" s="46"/>
      <c r="KQD101" s="46"/>
      <c r="KQE101" s="46"/>
      <c r="KQF101" s="46"/>
      <c r="KQG101" s="46"/>
      <c r="KQH101" s="46"/>
      <c r="KQI101" s="46"/>
      <c r="KQJ101" s="46"/>
      <c r="KQK101" s="46"/>
      <c r="KQL101" s="46"/>
      <c r="KQM101" s="46"/>
      <c r="KQN101" s="46"/>
      <c r="KQO101" s="46"/>
      <c r="KQP101" s="46"/>
      <c r="KQQ101" s="46"/>
      <c r="KQR101" s="46"/>
      <c r="KQS101" s="46"/>
      <c r="KQT101" s="46"/>
      <c r="KQU101" s="46"/>
      <c r="KQV101" s="46"/>
      <c r="KQW101" s="46"/>
      <c r="KQX101" s="46"/>
      <c r="KQY101" s="46"/>
      <c r="KQZ101" s="46"/>
      <c r="KRA101" s="46"/>
      <c r="KRB101" s="46"/>
      <c r="KRC101" s="46"/>
      <c r="KRD101" s="46"/>
      <c r="KRE101" s="46"/>
      <c r="KRF101" s="46"/>
      <c r="KRG101" s="46"/>
      <c r="KRH101" s="46"/>
      <c r="KRI101" s="46"/>
      <c r="KRJ101" s="46"/>
      <c r="KRK101" s="46"/>
      <c r="KRL101" s="46"/>
      <c r="KRM101" s="46"/>
      <c r="KRN101" s="46"/>
      <c r="KRO101" s="46"/>
      <c r="KRP101" s="46"/>
      <c r="KRQ101" s="46"/>
      <c r="KRR101" s="46"/>
      <c r="KRS101" s="46"/>
      <c r="KRT101" s="46"/>
      <c r="KRU101" s="46"/>
      <c r="KRV101" s="46"/>
      <c r="KRW101" s="46"/>
      <c r="KRX101" s="46"/>
      <c r="KRY101" s="46"/>
      <c r="KRZ101" s="46"/>
      <c r="KSA101" s="46"/>
      <c r="KSB101" s="46"/>
      <c r="KSC101" s="46"/>
      <c r="KSD101" s="46"/>
      <c r="KSE101" s="46"/>
      <c r="KSF101" s="46"/>
      <c r="KSG101" s="46"/>
      <c r="KSH101" s="46"/>
      <c r="KSI101" s="46"/>
      <c r="KSJ101" s="46"/>
      <c r="KSK101" s="46"/>
      <c r="KSL101" s="46"/>
      <c r="KSM101" s="46"/>
      <c r="KSN101" s="46"/>
      <c r="KSO101" s="46"/>
      <c r="KSP101" s="46"/>
      <c r="KSQ101" s="46"/>
      <c r="KSR101" s="46"/>
      <c r="KSS101" s="46"/>
      <c r="KST101" s="46"/>
      <c r="KSU101" s="46"/>
      <c r="KSV101" s="46"/>
      <c r="KSW101" s="46"/>
      <c r="KSX101" s="46"/>
      <c r="KSY101" s="46"/>
      <c r="KSZ101" s="46"/>
      <c r="KTA101" s="46"/>
      <c r="KTB101" s="46"/>
      <c r="KTC101" s="46"/>
      <c r="KTD101" s="46"/>
      <c r="KTE101" s="46"/>
      <c r="KTF101" s="46"/>
      <c r="KTG101" s="46"/>
      <c r="KTH101" s="46"/>
      <c r="KTI101" s="46"/>
      <c r="KTJ101" s="46"/>
      <c r="KTK101" s="46"/>
      <c r="KTL101" s="46"/>
      <c r="KTM101" s="46"/>
      <c r="KTN101" s="46"/>
      <c r="KTO101" s="46"/>
      <c r="KTP101" s="46"/>
      <c r="KTQ101" s="46"/>
      <c r="KTR101" s="46"/>
      <c r="KTS101" s="46"/>
      <c r="KTT101" s="46"/>
      <c r="KTU101" s="46"/>
      <c r="KTV101" s="46"/>
      <c r="KTW101" s="46"/>
      <c r="KTX101" s="46"/>
      <c r="KTY101" s="46"/>
      <c r="KTZ101" s="46"/>
      <c r="KUA101" s="46"/>
      <c r="KUB101" s="46"/>
      <c r="KUC101" s="46"/>
      <c r="KUD101" s="46"/>
      <c r="KUE101" s="46"/>
      <c r="KUF101" s="46"/>
      <c r="KUG101" s="46"/>
      <c r="KUH101" s="46"/>
      <c r="KUI101" s="46"/>
      <c r="KUJ101" s="46"/>
      <c r="KUK101" s="46"/>
      <c r="KUL101" s="46"/>
      <c r="KUM101" s="46"/>
      <c r="KUN101" s="46"/>
      <c r="KUO101" s="46"/>
      <c r="KUP101" s="46"/>
      <c r="KUQ101" s="46"/>
      <c r="KUR101" s="46"/>
      <c r="KUS101" s="46"/>
      <c r="KUT101" s="46"/>
      <c r="KUU101" s="46"/>
      <c r="KUV101" s="46"/>
      <c r="KUW101" s="46"/>
      <c r="KUX101" s="46"/>
      <c r="KUY101" s="46"/>
      <c r="KUZ101" s="46"/>
      <c r="KVA101" s="46"/>
      <c r="KVB101" s="46"/>
      <c r="KVC101" s="46"/>
      <c r="KVD101" s="46"/>
      <c r="KVE101" s="46"/>
      <c r="KVF101" s="46"/>
      <c r="KVG101" s="46"/>
      <c r="KVH101" s="46"/>
      <c r="KVI101" s="46"/>
      <c r="KVJ101" s="46"/>
      <c r="KVK101" s="46"/>
      <c r="KVL101" s="46"/>
      <c r="KVM101" s="46"/>
      <c r="KVN101" s="46"/>
      <c r="KVO101" s="46"/>
      <c r="KVP101" s="46"/>
      <c r="KVQ101" s="46"/>
      <c r="KVR101" s="46"/>
      <c r="KVS101" s="46"/>
      <c r="KVT101" s="46"/>
      <c r="KVU101" s="46"/>
      <c r="KVV101" s="46"/>
      <c r="KVW101" s="46"/>
      <c r="KVX101" s="46"/>
      <c r="KVY101" s="46"/>
      <c r="KVZ101" s="46"/>
      <c r="KWA101" s="46"/>
      <c r="KWB101" s="46"/>
      <c r="KWC101" s="46"/>
      <c r="KWD101" s="46"/>
      <c r="KWE101" s="46"/>
      <c r="KWF101" s="46"/>
      <c r="KWG101" s="46"/>
      <c r="KWH101" s="46"/>
      <c r="KWI101" s="46"/>
      <c r="KWJ101" s="46"/>
      <c r="KWK101" s="46"/>
      <c r="KWL101" s="46"/>
      <c r="KWM101" s="46"/>
      <c r="KWN101" s="46"/>
      <c r="KWO101" s="46"/>
      <c r="KWP101" s="46"/>
      <c r="KWQ101" s="46"/>
      <c r="KWR101" s="46"/>
      <c r="KWS101" s="46"/>
      <c r="KWT101" s="46"/>
      <c r="KWU101" s="46"/>
      <c r="KWV101" s="46"/>
      <c r="KWW101" s="46"/>
      <c r="KWX101" s="46"/>
      <c r="KWY101" s="46"/>
      <c r="KWZ101" s="46"/>
      <c r="KXA101" s="46"/>
      <c r="KXB101" s="46"/>
      <c r="KXC101" s="46"/>
      <c r="KXD101" s="46"/>
      <c r="KXE101" s="46"/>
      <c r="KXF101" s="46"/>
      <c r="KXG101" s="46"/>
      <c r="KXH101" s="46"/>
      <c r="KXI101" s="46"/>
      <c r="KXJ101" s="46"/>
      <c r="KXK101" s="46"/>
      <c r="KXL101" s="46"/>
      <c r="KXM101" s="46"/>
      <c r="KXN101" s="46"/>
      <c r="KXO101" s="46"/>
      <c r="KXP101" s="46"/>
      <c r="KXQ101" s="46"/>
      <c r="KXR101" s="46"/>
      <c r="KXS101" s="46"/>
      <c r="KXT101" s="46"/>
      <c r="KXU101" s="46"/>
      <c r="KXV101" s="46"/>
      <c r="KXW101" s="46"/>
      <c r="KXX101" s="46"/>
      <c r="KXY101" s="46"/>
      <c r="KXZ101" s="46"/>
      <c r="KYA101" s="46"/>
      <c r="KYB101" s="46"/>
      <c r="KYC101" s="46"/>
      <c r="KYD101" s="46"/>
      <c r="KYE101" s="46"/>
      <c r="KYF101" s="46"/>
      <c r="KYG101" s="46"/>
      <c r="KYH101" s="46"/>
      <c r="KYI101" s="46"/>
      <c r="KYJ101" s="46"/>
      <c r="KYK101" s="46"/>
      <c r="KYL101" s="46"/>
      <c r="KYM101" s="46"/>
      <c r="KYN101" s="46"/>
      <c r="KYO101" s="46"/>
      <c r="KYP101" s="46"/>
      <c r="KYQ101" s="46"/>
      <c r="KYR101" s="46"/>
      <c r="KYS101" s="46"/>
      <c r="KYT101" s="46"/>
      <c r="KYU101" s="46"/>
      <c r="KYV101" s="46"/>
      <c r="KYW101" s="46"/>
      <c r="KYX101" s="46"/>
      <c r="KYY101" s="46"/>
      <c r="KYZ101" s="46"/>
      <c r="KZA101" s="46"/>
      <c r="KZB101" s="46"/>
      <c r="KZC101" s="46"/>
      <c r="KZD101" s="46"/>
      <c r="KZE101" s="46"/>
      <c r="KZF101" s="46"/>
      <c r="KZG101" s="46"/>
      <c r="KZH101" s="46"/>
      <c r="KZI101" s="46"/>
      <c r="KZJ101" s="46"/>
      <c r="KZK101" s="46"/>
      <c r="KZL101" s="46"/>
      <c r="KZM101" s="46"/>
      <c r="KZN101" s="46"/>
      <c r="KZO101" s="46"/>
      <c r="KZP101" s="46"/>
      <c r="KZQ101" s="46"/>
      <c r="KZR101" s="46"/>
      <c r="KZS101" s="46"/>
      <c r="KZT101" s="46"/>
      <c r="KZU101" s="46"/>
      <c r="KZV101" s="46"/>
      <c r="KZW101" s="46"/>
      <c r="KZX101" s="46"/>
      <c r="KZY101" s="46"/>
      <c r="KZZ101" s="46"/>
      <c r="LAA101" s="46"/>
      <c r="LAB101" s="46"/>
      <c r="LAC101" s="46"/>
      <c r="LAD101" s="46"/>
      <c r="LAE101" s="46"/>
      <c r="LAF101" s="46"/>
      <c r="LAG101" s="46"/>
      <c r="LAH101" s="46"/>
      <c r="LAI101" s="46"/>
      <c r="LAJ101" s="46"/>
      <c r="LAK101" s="46"/>
      <c r="LAL101" s="46"/>
      <c r="LAM101" s="46"/>
      <c r="LAN101" s="46"/>
      <c r="LAO101" s="46"/>
      <c r="LAP101" s="46"/>
      <c r="LAQ101" s="46"/>
      <c r="LAR101" s="46"/>
      <c r="LAS101" s="46"/>
      <c r="LAT101" s="46"/>
      <c r="LAU101" s="46"/>
      <c r="LAV101" s="46"/>
      <c r="LAW101" s="46"/>
      <c r="LAX101" s="46"/>
      <c r="LAY101" s="46"/>
      <c r="LAZ101" s="46"/>
      <c r="LBA101" s="46"/>
      <c r="LBB101" s="46"/>
      <c r="LBC101" s="46"/>
      <c r="LBD101" s="46"/>
      <c r="LBE101" s="46"/>
      <c r="LBF101" s="46"/>
      <c r="LBG101" s="46"/>
      <c r="LBH101" s="46"/>
      <c r="LBI101" s="46"/>
      <c r="LBJ101" s="46"/>
      <c r="LBK101" s="46"/>
      <c r="LBL101" s="46"/>
      <c r="LBM101" s="46"/>
      <c r="LBN101" s="46"/>
      <c r="LBO101" s="46"/>
      <c r="LBP101" s="46"/>
      <c r="LBQ101" s="46"/>
      <c r="LBR101" s="46"/>
      <c r="LBS101" s="46"/>
      <c r="LBT101" s="46"/>
      <c r="LBU101" s="46"/>
      <c r="LBV101" s="46"/>
      <c r="LBW101" s="46"/>
      <c r="LBX101" s="46"/>
      <c r="LBY101" s="46"/>
      <c r="LBZ101" s="46"/>
      <c r="LCA101" s="46"/>
      <c r="LCB101" s="46"/>
      <c r="LCC101" s="46"/>
      <c r="LCD101" s="46"/>
      <c r="LCE101" s="46"/>
      <c r="LCF101" s="46"/>
      <c r="LCG101" s="46"/>
      <c r="LCH101" s="46"/>
      <c r="LCI101" s="46"/>
      <c r="LCJ101" s="46"/>
      <c r="LCK101" s="46"/>
      <c r="LCL101" s="46"/>
      <c r="LCM101" s="46"/>
      <c r="LCN101" s="46"/>
      <c r="LCO101" s="46"/>
      <c r="LCP101" s="46"/>
      <c r="LCQ101" s="46"/>
      <c r="LCR101" s="46"/>
      <c r="LCS101" s="46"/>
      <c r="LCT101" s="46"/>
      <c r="LCU101" s="46"/>
      <c r="LCV101" s="46"/>
      <c r="LCW101" s="46"/>
      <c r="LCX101" s="46"/>
      <c r="LCY101" s="46"/>
      <c r="LCZ101" s="46"/>
      <c r="LDA101" s="46"/>
      <c r="LDB101" s="46"/>
      <c r="LDC101" s="46"/>
      <c r="LDD101" s="46"/>
      <c r="LDE101" s="46"/>
      <c r="LDF101" s="46"/>
      <c r="LDG101" s="46"/>
      <c r="LDH101" s="46"/>
      <c r="LDI101" s="46"/>
      <c r="LDJ101" s="46"/>
      <c r="LDK101" s="46"/>
      <c r="LDL101" s="46"/>
      <c r="LDM101" s="46"/>
      <c r="LDN101" s="46"/>
      <c r="LDO101" s="46"/>
      <c r="LDP101" s="46"/>
      <c r="LDQ101" s="46"/>
      <c r="LDR101" s="46"/>
      <c r="LDS101" s="46"/>
      <c r="LDT101" s="46"/>
      <c r="LDU101" s="46"/>
      <c r="LDV101" s="46"/>
      <c r="LDW101" s="46"/>
      <c r="LDX101" s="46"/>
      <c r="LDY101" s="46"/>
      <c r="LDZ101" s="46"/>
      <c r="LEA101" s="46"/>
      <c r="LEB101" s="46"/>
      <c r="LEC101" s="46"/>
      <c r="LED101" s="46"/>
      <c r="LEE101" s="46"/>
      <c r="LEF101" s="46"/>
      <c r="LEG101" s="46"/>
      <c r="LEH101" s="46"/>
      <c r="LEI101" s="46"/>
      <c r="LEJ101" s="46"/>
      <c r="LEK101" s="46"/>
      <c r="LEL101" s="46"/>
      <c r="LEM101" s="46"/>
      <c r="LEN101" s="46"/>
      <c r="LEO101" s="46"/>
      <c r="LEP101" s="46"/>
      <c r="LEQ101" s="46"/>
      <c r="LER101" s="46"/>
      <c r="LES101" s="46"/>
      <c r="LET101" s="46"/>
      <c r="LEU101" s="46"/>
      <c r="LEV101" s="46"/>
      <c r="LEW101" s="46"/>
      <c r="LEX101" s="46"/>
      <c r="LEY101" s="46"/>
      <c r="LEZ101" s="46"/>
      <c r="LFA101" s="46"/>
      <c r="LFB101" s="46"/>
      <c r="LFC101" s="46"/>
      <c r="LFD101" s="46"/>
      <c r="LFE101" s="46"/>
      <c r="LFF101" s="46"/>
      <c r="LFG101" s="46"/>
      <c r="LFH101" s="46"/>
      <c r="LFI101" s="46"/>
      <c r="LFJ101" s="46"/>
      <c r="LFK101" s="46"/>
      <c r="LFL101" s="46"/>
      <c r="LFM101" s="46"/>
      <c r="LFN101" s="46"/>
      <c r="LFO101" s="46"/>
      <c r="LFP101" s="46"/>
      <c r="LFQ101" s="46"/>
      <c r="LFR101" s="46"/>
      <c r="LFS101" s="46"/>
      <c r="LFT101" s="46"/>
      <c r="LFU101" s="46"/>
      <c r="LFV101" s="46"/>
      <c r="LFW101" s="46"/>
      <c r="LFX101" s="46"/>
      <c r="LFY101" s="46"/>
      <c r="LFZ101" s="46"/>
      <c r="LGA101" s="46"/>
      <c r="LGB101" s="46"/>
      <c r="LGC101" s="46"/>
      <c r="LGD101" s="46"/>
      <c r="LGE101" s="46"/>
      <c r="LGF101" s="46"/>
      <c r="LGG101" s="46"/>
      <c r="LGH101" s="46"/>
      <c r="LGI101" s="46"/>
      <c r="LGJ101" s="46"/>
      <c r="LGK101" s="46"/>
      <c r="LGL101" s="46"/>
      <c r="LGM101" s="46"/>
      <c r="LGN101" s="46"/>
      <c r="LGO101" s="46"/>
      <c r="LGP101" s="46"/>
      <c r="LGQ101" s="46"/>
      <c r="LGR101" s="46"/>
      <c r="LGS101" s="46"/>
      <c r="LGT101" s="46"/>
      <c r="LGU101" s="46"/>
      <c r="LGV101" s="46"/>
      <c r="LGW101" s="46"/>
      <c r="LGX101" s="46"/>
      <c r="LGY101" s="46"/>
      <c r="LGZ101" s="46"/>
      <c r="LHA101" s="46"/>
      <c r="LHB101" s="46"/>
      <c r="LHC101" s="46"/>
      <c r="LHD101" s="46"/>
      <c r="LHE101" s="46"/>
      <c r="LHF101" s="46"/>
      <c r="LHG101" s="46"/>
      <c r="LHH101" s="46"/>
      <c r="LHI101" s="46"/>
      <c r="LHJ101" s="46"/>
      <c r="LHK101" s="46"/>
      <c r="LHL101" s="46"/>
      <c r="LHM101" s="46"/>
      <c r="LHN101" s="46"/>
      <c r="LHO101" s="46"/>
      <c r="LHP101" s="46"/>
      <c r="LHQ101" s="46"/>
      <c r="LHR101" s="46"/>
      <c r="LHS101" s="46"/>
      <c r="LHT101" s="46"/>
      <c r="LHU101" s="46"/>
      <c r="LHV101" s="46"/>
      <c r="LHW101" s="46"/>
      <c r="LHX101" s="46"/>
      <c r="LHY101" s="46"/>
      <c r="LHZ101" s="46"/>
      <c r="LIA101" s="46"/>
      <c r="LIB101" s="46"/>
      <c r="LIC101" s="46"/>
      <c r="LID101" s="46"/>
      <c r="LIE101" s="46"/>
      <c r="LIF101" s="46"/>
      <c r="LIG101" s="46"/>
      <c r="LIH101" s="46"/>
      <c r="LII101" s="46"/>
      <c r="LIJ101" s="46"/>
      <c r="LIK101" s="46"/>
      <c r="LIL101" s="46"/>
      <c r="LIM101" s="46"/>
      <c r="LIN101" s="46"/>
      <c r="LIO101" s="46"/>
      <c r="LIP101" s="46"/>
      <c r="LIQ101" s="46"/>
      <c r="LIR101" s="46"/>
      <c r="LIS101" s="46"/>
      <c r="LIT101" s="46"/>
      <c r="LIU101" s="46"/>
      <c r="LIV101" s="46"/>
      <c r="LIW101" s="46"/>
      <c r="LIX101" s="46"/>
      <c r="LIY101" s="46"/>
      <c r="LIZ101" s="46"/>
      <c r="LJA101" s="46"/>
      <c r="LJB101" s="46"/>
      <c r="LJC101" s="46"/>
      <c r="LJD101" s="46"/>
      <c r="LJE101" s="46"/>
      <c r="LJF101" s="46"/>
      <c r="LJG101" s="46"/>
      <c r="LJH101" s="46"/>
      <c r="LJI101" s="46"/>
      <c r="LJJ101" s="46"/>
      <c r="LJK101" s="46"/>
      <c r="LJL101" s="46"/>
      <c r="LJM101" s="46"/>
      <c r="LJN101" s="46"/>
      <c r="LJO101" s="46"/>
      <c r="LJP101" s="46"/>
      <c r="LJQ101" s="46"/>
      <c r="LJR101" s="46"/>
      <c r="LJS101" s="46"/>
      <c r="LJT101" s="46"/>
      <c r="LJU101" s="46"/>
      <c r="LJV101" s="46"/>
      <c r="LJW101" s="46"/>
      <c r="LJX101" s="46"/>
      <c r="LJY101" s="46"/>
      <c r="LJZ101" s="46"/>
      <c r="LKA101" s="46"/>
      <c r="LKB101" s="46"/>
      <c r="LKC101" s="46"/>
      <c r="LKD101" s="46"/>
      <c r="LKE101" s="46"/>
      <c r="LKF101" s="46"/>
      <c r="LKG101" s="46"/>
      <c r="LKH101" s="46"/>
      <c r="LKI101" s="46"/>
      <c r="LKJ101" s="46"/>
      <c r="LKK101" s="46"/>
      <c r="LKL101" s="46"/>
      <c r="LKM101" s="46"/>
      <c r="LKN101" s="46"/>
      <c r="LKO101" s="46"/>
      <c r="LKP101" s="46"/>
      <c r="LKQ101" s="46"/>
      <c r="LKR101" s="46"/>
      <c r="LKS101" s="46"/>
      <c r="LKT101" s="46"/>
      <c r="LKU101" s="46"/>
      <c r="LKV101" s="46"/>
      <c r="LKW101" s="46"/>
      <c r="LKX101" s="46"/>
      <c r="LKY101" s="46"/>
      <c r="LKZ101" s="46"/>
      <c r="LLA101" s="46"/>
      <c r="LLB101" s="46"/>
      <c r="LLC101" s="46"/>
      <c r="LLD101" s="46"/>
      <c r="LLE101" s="46"/>
      <c r="LLF101" s="46"/>
      <c r="LLG101" s="46"/>
      <c r="LLH101" s="46"/>
      <c r="LLI101" s="46"/>
      <c r="LLJ101" s="46"/>
      <c r="LLK101" s="46"/>
      <c r="LLL101" s="46"/>
      <c r="LLM101" s="46"/>
      <c r="LLN101" s="46"/>
      <c r="LLO101" s="46"/>
      <c r="LLP101" s="46"/>
      <c r="LLQ101" s="46"/>
      <c r="LLR101" s="46"/>
      <c r="LLS101" s="46"/>
      <c r="LLT101" s="46"/>
      <c r="LLU101" s="46"/>
      <c r="LLV101" s="46"/>
      <c r="LLW101" s="46"/>
      <c r="LLX101" s="46"/>
      <c r="LLY101" s="46"/>
      <c r="LLZ101" s="46"/>
      <c r="LMA101" s="46"/>
      <c r="LMB101" s="46"/>
      <c r="LMC101" s="46"/>
      <c r="LMD101" s="46"/>
      <c r="LME101" s="46"/>
      <c r="LMF101" s="46"/>
      <c r="LMG101" s="46"/>
      <c r="LMH101" s="46"/>
      <c r="LMI101" s="46"/>
      <c r="LMJ101" s="46"/>
      <c r="LMK101" s="46"/>
      <c r="LML101" s="46"/>
      <c r="LMM101" s="46"/>
      <c r="LMN101" s="46"/>
      <c r="LMO101" s="46"/>
      <c r="LMP101" s="46"/>
      <c r="LMQ101" s="46"/>
      <c r="LMR101" s="46"/>
      <c r="LMS101" s="46"/>
      <c r="LMT101" s="46"/>
      <c r="LMU101" s="46"/>
      <c r="LMV101" s="46"/>
      <c r="LMW101" s="46"/>
      <c r="LMX101" s="46"/>
      <c r="LMY101" s="46"/>
      <c r="LMZ101" s="46"/>
      <c r="LNA101" s="46"/>
      <c r="LNB101" s="46"/>
      <c r="LNC101" s="46"/>
      <c r="LND101" s="46"/>
      <c r="LNE101" s="46"/>
      <c r="LNF101" s="46"/>
      <c r="LNG101" s="46"/>
      <c r="LNH101" s="46"/>
      <c r="LNI101" s="46"/>
      <c r="LNJ101" s="46"/>
      <c r="LNK101" s="46"/>
      <c r="LNL101" s="46"/>
      <c r="LNM101" s="46"/>
      <c r="LNN101" s="46"/>
      <c r="LNO101" s="46"/>
      <c r="LNP101" s="46"/>
      <c r="LNQ101" s="46"/>
      <c r="LNR101" s="46"/>
      <c r="LNS101" s="46"/>
      <c r="LNT101" s="46"/>
      <c r="LNU101" s="46"/>
      <c r="LNV101" s="46"/>
      <c r="LNW101" s="46"/>
      <c r="LNX101" s="46"/>
      <c r="LNY101" s="46"/>
      <c r="LNZ101" s="46"/>
      <c r="LOA101" s="46"/>
      <c r="LOB101" s="46"/>
      <c r="LOC101" s="46"/>
      <c r="LOD101" s="46"/>
      <c r="LOE101" s="46"/>
      <c r="LOF101" s="46"/>
      <c r="LOG101" s="46"/>
      <c r="LOH101" s="46"/>
      <c r="LOI101" s="46"/>
      <c r="LOJ101" s="46"/>
      <c r="LOK101" s="46"/>
      <c r="LOL101" s="46"/>
      <c r="LOM101" s="46"/>
      <c r="LON101" s="46"/>
      <c r="LOO101" s="46"/>
      <c r="LOP101" s="46"/>
      <c r="LOQ101" s="46"/>
      <c r="LOR101" s="46"/>
      <c r="LOS101" s="46"/>
      <c r="LOT101" s="46"/>
      <c r="LOU101" s="46"/>
      <c r="LOV101" s="46"/>
      <c r="LOW101" s="46"/>
      <c r="LOX101" s="46"/>
      <c r="LOY101" s="46"/>
      <c r="LOZ101" s="46"/>
      <c r="LPA101" s="46"/>
      <c r="LPB101" s="46"/>
      <c r="LPC101" s="46"/>
      <c r="LPD101" s="46"/>
      <c r="LPE101" s="46"/>
      <c r="LPF101" s="46"/>
      <c r="LPG101" s="46"/>
      <c r="LPH101" s="46"/>
      <c r="LPI101" s="46"/>
      <c r="LPJ101" s="46"/>
      <c r="LPK101" s="46"/>
      <c r="LPL101" s="46"/>
      <c r="LPM101" s="46"/>
      <c r="LPN101" s="46"/>
      <c r="LPO101" s="46"/>
      <c r="LPP101" s="46"/>
      <c r="LPQ101" s="46"/>
      <c r="LPR101" s="46"/>
      <c r="LPS101" s="46"/>
      <c r="LPT101" s="46"/>
      <c r="LPU101" s="46"/>
      <c r="LPV101" s="46"/>
      <c r="LPW101" s="46"/>
      <c r="LPX101" s="46"/>
      <c r="LPY101" s="46"/>
      <c r="LPZ101" s="46"/>
      <c r="LQA101" s="46"/>
      <c r="LQB101" s="46"/>
      <c r="LQC101" s="46"/>
      <c r="LQD101" s="46"/>
      <c r="LQE101" s="46"/>
      <c r="LQF101" s="46"/>
      <c r="LQG101" s="46"/>
      <c r="LQH101" s="46"/>
      <c r="LQI101" s="46"/>
      <c r="LQJ101" s="46"/>
      <c r="LQK101" s="46"/>
      <c r="LQL101" s="46"/>
      <c r="LQM101" s="46"/>
      <c r="LQN101" s="46"/>
      <c r="LQO101" s="46"/>
      <c r="LQP101" s="46"/>
      <c r="LQQ101" s="46"/>
      <c r="LQR101" s="46"/>
      <c r="LQS101" s="46"/>
      <c r="LQT101" s="46"/>
      <c r="LQU101" s="46"/>
      <c r="LQV101" s="46"/>
      <c r="LQW101" s="46"/>
      <c r="LQX101" s="46"/>
      <c r="LQY101" s="46"/>
      <c r="LQZ101" s="46"/>
      <c r="LRA101" s="46"/>
      <c r="LRB101" s="46"/>
      <c r="LRC101" s="46"/>
      <c r="LRD101" s="46"/>
      <c r="LRE101" s="46"/>
      <c r="LRF101" s="46"/>
      <c r="LRG101" s="46"/>
      <c r="LRH101" s="46"/>
      <c r="LRI101" s="46"/>
      <c r="LRJ101" s="46"/>
      <c r="LRK101" s="46"/>
      <c r="LRL101" s="46"/>
      <c r="LRM101" s="46"/>
      <c r="LRN101" s="46"/>
      <c r="LRO101" s="46"/>
      <c r="LRP101" s="46"/>
      <c r="LRQ101" s="46"/>
      <c r="LRR101" s="46"/>
      <c r="LRS101" s="46"/>
      <c r="LRT101" s="46"/>
      <c r="LRU101" s="46"/>
      <c r="LRV101" s="46"/>
      <c r="LRW101" s="46"/>
      <c r="LRX101" s="46"/>
      <c r="LRY101" s="46"/>
      <c r="LRZ101" s="46"/>
      <c r="LSA101" s="46"/>
      <c r="LSB101" s="46"/>
      <c r="LSC101" s="46"/>
      <c r="LSD101" s="46"/>
      <c r="LSE101" s="46"/>
      <c r="LSF101" s="46"/>
      <c r="LSG101" s="46"/>
      <c r="LSH101" s="46"/>
      <c r="LSI101" s="46"/>
      <c r="LSJ101" s="46"/>
      <c r="LSK101" s="46"/>
      <c r="LSL101" s="46"/>
      <c r="LSM101" s="46"/>
      <c r="LSN101" s="46"/>
      <c r="LSO101" s="46"/>
      <c r="LSP101" s="46"/>
      <c r="LSQ101" s="46"/>
      <c r="LSR101" s="46"/>
      <c r="LSS101" s="46"/>
      <c r="LST101" s="46"/>
      <c r="LSU101" s="46"/>
      <c r="LSV101" s="46"/>
      <c r="LSW101" s="46"/>
      <c r="LSX101" s="46"/>
      <c r="LSY101" s="46"/>
      <c r="LSZ101" s="46"/>
      <c r="LTA101" s="46"/>
      <c r="LTB101" s="46"/>
      <c r="LTC101" s="46"/>
      <c r="LTD101" s="46"/>
      <c r="LTE101" s="46"/>
      <c r="LTF101" s="46"/>
      <c r="LTG101" s="46"/>
      <c r="LTH101" s="46"/>
      <c r="LTI101" s="46"/>
      <c r="LTJ101" s="46"/>
      <c r="LTK101" s="46"/>
      <c r="LTL101" s="46"/>
      <c r="LTM101" s="46"/>
      <c r="LTN101" s="46"/>
      <c r="LTO101" s="46"/>
      <c r="LTP101" s="46"/>
      <c r="LTQ101" s="46"/>
      <c r="LTR101" s="46"/>
      <c r="LTS101" s="46"/>
      <c r="LTT101" s="46"/>
      <c r="LTU101" s="46"/>
      <c r="LTV101" s="46"/>
      <c r="LTW101" s="46"/>
      <c r="LTX101" s="46"/>
      <c r="LTY101" s="46"/>
      <c r="LTZ101" s="46"/>
      <c r="LUA101" s="46"/>
      <c r="LUB101" s="46"/>
      <c r="LUC101" s="46"/>
      <c r="LUD101" s="46"/>
      <c r="LUE101" s="46"/>
      <c r="LUF101" s="46"/>
      <c r="LUG101" s="46"/>
      <c r="LUH101" s="46"/>
      <c r="LUI101" s="46"/>
      <c r="LUJ101" s="46"/>
      <c r="LUK101" s="46"/>
      <c r="LUL101" s="46"/>
      <c r="LUM101" s="46"/>
      <c r="LUN101" s="46"/>
      <c r="LUO101" s="46"/>
      <c r="LUP101" s="46"/>
      <c r="LUQ101" s="46"/>
      <c r="LUR101" s="46"/>
      <c r="LUS101" s="46"/>
      <c r="LUT101" s="46"/>
      <c r="LUU101" s="46"/>
      <c r="LUV101" s="46"/>
      <c r="LUW101" s="46"/>
      <c r="LUX101" s="46"/>
      <c r="LUY101" s="46"/>
      <c r="LUZ101" s="46"/>
      <c r="LVA101" s="46"/>
      <c r="LVB101" s="46"/>
      <c r="LVC101" s="46"/>
      <c r="LVD101" s="46"/>
      <c r="LVE101" s="46"/>
      <c r="LVF101" s="46"/>
      <c r="LVG101" s="46"/>
      <c r="LVH101" s="46"/>
      <c r="LVI101" s="46"/>
      <c r="LVJ101" s="46"/>
      <c r="LVK101" s="46"/>
      <c r="LVL101" s="46"/>
      <c r="LVM101" s="46"/>
      <c r="LVN101" s="46"/>
      <c r="LVO101" s="46"/>
      <c r="LVP101" s="46"/>
      <c r="LVQ101" s="46"/>
      <c r="LVR101" s="46"/>
      <c r="LVS101" s="46"/>
      <c r="LVT101" s="46"/>
      <c r="LVU101" s="46"/>
      <c r="LVV101" s="46"/>
      <c r="LVW101" s="46"/>
      <c r="LVX101" s="46"/>
      <c r="LVY101" s="46"/>
      <c r="LVZ101" s="46"/>
      <c r="LWA101" s="46"/>
      <c r="LWB101" s="46"/>
      <c r="LWC101" s="46"/>
      <c r="LWD101" s="46"/>
      <c r="LWE101" s="46"/>
      <c r="LWF101" s="46"/>
      <c r="LWG101" s="46"/>
      <c r="LWH101" s="46"/>
      <c r="LWI101" s="46"/>
      <c r="LWJ101" s="46"/>
      <c r="LWK101" s="46"/>
      <c r="LWL101" s="46"/>
      <c r="LWM101" s="46"/>
      <c r="LWN101" s="46"/>
      <c r="LWO101" s="46"/>
      <c r="LWP101" s="46"/>
      <c r="LWQ101" s="46"/>
      <c r="LWR101" s="46"/>
      <c r="LWS101" s="46"/>
      <c r="LWT101" s="46"/>
      <c r="LWU101" s="46"/>
      <c r="LWV101" s="46"/>
      <c r="LWW101" s="46"/>
      <c r="LWX101" s="46"/>
      <c r="LWY101" s="46"/>
      <c r="LWZ101" s="46"/>
      <c r="LXA101" s="46"/>
      <c r="LXB101" s="46"/>
      <c r="LXC101" s="46"/>
      <c r="LXD101" s="46"/>
      <c r="LXE101" s="46"/>
      <c r="LXF101" s="46"/>
      <c r="LXG101" s="46"/>
      <c r="LXH101" s="46"/>
      <c r="LXI101" s="46"/>
      <c r="LXJ101" s="46"/>
      <c r="LXK101" s="46"/>
      <c r="LXL101" s="46"/>
      <c r="LXM101" s="46"/>
      <c r="LXN101" s="46"/>
      <c r="LXO101" s="46"/>
      <c r="LXP101" s="46"/>
      <c r="LXQ101" s="46"/>
      <c r="LXR101" s="46"/>
      <c r="LXS101" s="46"/>
      <c r="LXT101" s="46"/>
      <c r="LXU101" s="46"/>
      <c r="LXV101" s="46"/>
      <c r="LXW101" s="46"/>
      <c r="LXX101" s="46"/>
      <c r="LXY101" s="46"/>
      <c r="LXZ101" s="46"/>
      <c r="LYA101" s="46"/>
      <c r="LYB101" s="46"/>
      <c r="LYC101" s="46"/>
      <c r="LYD101" s="46"/>
      <c r="LYE101" s="46"/>
      <c r="LYF101" s="46"/>
      <c r="LYG101" s="46"/>
      <c r="LYH101" s="46"/>
      <c r="LYI101" s="46"/>
      <c r="LYJ101" s="46"/>
      <c r="LYK101" s="46"/>
      <c r="LYL101" s="46"/>
      <c r="LYM101" s="46"/>
      <c r="LYN101" s="46"/>
      <c r="LYO101" s="46"/>
      <c r="LYP101" s="46"/>
      <c r="LYQ101" s="46"/>
      <c r="LYR101" s="46"/>
      <c r="LYS101" s="46"/>
      <c r="LYT101" s="46"/>
      <c r="LYU101" s="46"/>
      <c r="LYV101" s="46"/>
      <c r="LYW101" s="46"/>
      <c r="LYX101" s="46"/>
      <c r="LYY101" s="46"/>
      <c r="LYZ101" s="46"/>
      <c r="LZA101" s="46"/>
      <c r="LZB101" s="46"/>
      <c r="LZC101" s="46"/>
      <c r="LZD101" s="46"/>
      <c r="LZE101" s="46"/>
      <c r="LZF101" s="46"/>
      <c r="LZG101" s="46"/>
      <c r="LZH101" s="46"/>
      <c r="LZI101" s="46"/>
      <c r="LZJ101" s="46"/>
      <c r="LZK101" s="46"/>
      <c r="LZL101" s="46"/>
      <c r="LZM101" s="46"/>
      <c r="LZN101" s="46"/>
      <c r="LZO101" s="46"/>
      <c r="LZP101" s="46"/>
      <c r="LZQ101" s="46"/>
      <c r="LZR101" s="46"/>
      <c r="LZS101" s="46"/>
      <c r="LZT101" s="46"/>
      <c r="LZU101" s="46"/>
      <c r="LZV101" s="46"/>
      <c r="LZW101" s="46"/>
      <c r="LZX101" s="46"/>
      <c r="LZY101" s="46"/>
      <c r="LZZ101" s="46"/>
      <c r="MAA101" s="46"/>
      <c r="MAB101" s="46"/>
      <c r="MAC101" s="46"/>
      <c r="MAD101" s="46"/>
      <c r="MAE101" s="46"/>
      <c r="MAF101" s="46"/>
      <c r="MAG101" s="46"/>
      <c r="MAH101" s="46"/>
      <c r="MAI101" s="46"/>
      <c r="MAJ101" s="46"/>
      <c r="MAK101" s="46"/>
      <c r="MAL101" s="46"/>
      <c r="MAM101" s="46"/>
      <c r="MAN101" s="46"/>
      <c r="MAO101" s="46"/>
      <c r="MAP101" s="46"/>
      <c r="MAQ101" s="46"/>
      <c r="MAR101" s="46"/>
      <c r="MAS101" s="46"/>
      <c r="MAT101" s="46"/>
      <c r="MAU101" s="46"/>
      <c r="MAV101" s="46"/>
      <c r="MAW101" s="46"/>
      <c r="MAX101" s="46"/>
      <c r="MAY101" s="46"/>
      <c r="MAZ101" s="46"/>
      <c r="MBA101" s="46"/>
      <c r="MBB101" s="46"/>
      <c r="MBC101" s="46"/>
      <c r="MBD101" s="46"/>
      <c r="MBE101" s="46"/>
      <c r="MBF101" s="46"/>
      <c r="MBG101" s="46"/>
      <c r="MBH101" s="46"/>
      <c r="MBI101" s="46"/>
      <c r="MBJ101" s="46"/>
      <c r="MBK101" s="46"/>
      <c r="MBL101" s="46"/>
      <c r="MBM101" s="46"/>
      <c r="MBN101" s="46"/>
      <c r="MBO101" s="46"/>
      <c r="MBP101" s="46"/>
      <c r="MBQ101" s="46"/>
      <c r="MBR101" s="46"/>
      <c r="MBS101" s="46"/>
      <c r="MBT101" s="46"/>
      <c r="MBU101" s="46"/>
      <c r="MBV101" s="46"/>
      <c r="MBW101" s="46"/>
      <c r="MBX101" s="46"/>
      <c r="MBY101" s="46"/>
      <c r="MBZ101" s="46"/>
      <c r="MCA101" s="46"/>
      <c r="MCB101" s="46"/>
      <c r="MCC101" s="46"/>
      <c r="MCD101" s="46"/>
      <c r="MCE101" s="46"/>
      <c r="MCF101" s="46"/>
      <c r="MCG101" s="46"/>
      <c r="MCH101" s="46"/>
      <c r="MCI101" s="46"/>
      <c r="MCJ101" s="46"/>
      <c r="MCK101" s="46"/>
      <c r="MCL101" s="46"/>
      <c r="MCM101" s="46"/>
      <c r="MCN101" s="46"/>
      <c r="MCO101" s="46"/>
      <c r="MCP101" s="46"/>
      <c r="MCQ101" s="46"/>
      <c r="MCR101" s="46"/>
      <c r="MCS101" s="46"/>
      <c r="MCT101" s="46"/>
      <c r="MCU101" s="46"/>
      <c r="MCV101" s="46"/>
      <c r="MCW101" s="46"/>
      <c r="MCX101" s="46"/>
      <c r="MCY101" s="46"/>
      <c r="MCZ101" s="46"/>
      <c r="MDA101" s="46"/>
      <c r="MDB101" s="46"/>
      <c r="MDC101" s="46"/>
      <c r="MDD101" s="46"/>
      <c r="MDE101" s="46"/>
      <c r="MDF101" s="46"/>
      <c r="MDG101" s="46"/>
      <c r="MDH101" s="46"/>
      <c r="MDI101" s="46"/>
      <c r="MDJ101" s="46"/>
      <c r="MDK101" s="46"/>
      <c r="MDL101" s="46"/>
      <c r="MDM101" s="46"/>
      <c r="MDN101" s="46"/>
      <c r="MDO101" s="46"/>
      <c r="MDP101" s="46"/>
      <c r="MDQ101" s="46"/>
      <c r="MDR101" s="46"/>
      <c r="MDS101" s="46"/>
      <c r="MDT101" s="46"/>
      <c r="MDU101" s="46"/>
      <c r="MDV101" s="46"/>
      <c r="MDW101" s="46"/>
      <c r="MDX101" s="46"/>
      <c r="MDY101" s="46"/>
      <c r="MDZ101" s="46"/>
      <c r="MEA101" s="46"/>
      <c r="MEB101" s="46"/>
      <c r="MEC101" s="46"/>
      <c r="MED101" s="46"/>
      <c r="MEE101" s="46"/>
      <c r="MEF101" s="46"/>
      <c r="MEG101" s="46"/>
      <c r="MEH101" s="46"/>
      <c r="MEI101" s="46"/>
      <c r="MEJ101" s="46"/>
      <c r="MEK101" s="46"/>
      <c r="MEL101" s="46"/>
      <c r="MEM101" s="46"/>
      <c r="MEN101" s="46"/>
      <c r="MEO101" s="46"/>
      <c r="MEP101" s="46"/>
      <c r="MEQ101" s="46"/>
      <c r="MER101" s="46"/>
      <c r="MES101" s="46"/>
      <c r="MET101" s="46"/>
      <c r="MEU101" s="46"/>
      <c r="MEV101" s="46"/>
      <c r="MEW101" s="46"/>
      <c r="MEX101" s="46"/>
      <c r="MEY101" s="46"/>
      <c r="MEZ101" s="46"/>
      <c r="MFA101" s="46"/>
      <c r="MFB101" s="46"/>
      <c r="MFC101" s="46"/>
      <c r="MFD101" s="46"/>
      <c r="MFE101" s="46"/>
      <c r="MFF101" s="46"/>
      <c r="MFG101" s="46"/>
      <c r="MFH101" s="46"/>
      <c r="MFI101" s="46"/>
      <c r="MFJ101" s="46"/>
      <c r="MFK101" s="46"/>
      <c r="MFL101" s="46"/>
      <c r="MFM101" s="46"/>
      <c r="MFN101" s="46"/>
      <c r="MFO101" s="46"/>
      <c r="MFP101" s="46"/>
      <c r="MFQ101" s="46"/>
      <c r="MFR101" s="46"/>
      <c r="MFS101" s="46"/>
      <c r="MFT101" s="46"/>
      <c r="MFU101" s="46"/>
      <c r="MFV101" s="46"/>
      <c r="MFW101" s="46"/>
      <c r="MFX101" s="46"/>
      <c r="MFY101" s="46"/>
      <c r="MFZ101" s="46"/>
      <c r="MGA101" s="46"/>
      <c r="MGB101" s="46"/>
      <c r="MGC101" s="46"/>
      <c r="MGD101" s="46"/>
      <c r="MGE101" s="46"/>
      <c r="MGF101" s="46"/>
      <c r="MGG101" s="46"/>
      <c r="MGH101" s="46"/>
      <c r="MGI101" s="46"/>
      <c r="MGJ101" s="46"/>
      <c r="MGK101" s="46"/>
      <c r="MGL101" s="46"/>
      <c r="MGM101" s="46"/>
      <c r="MGN101" s="46"/>
      <c r="MGO101" s="46"/>
      <c r="MGP101" s="46"/>
      <c r="MGQ101" s="46"/>
      <c r="MGR101" s="46"/>
      <c r="MGS101" s="46"/>
      <c r="MGT101" s="46"/>
      <c r="MGU101" s="46"/>
      <c r="MGV101" s="46"/>
      <c r="MGW101" s="46"/>
      <c r="MGX101" s="46"/>
      <c r="MGY101" s="46"/>
      <c r="MGZ101" s="46"/>
      <c r="MHA101" s="46"/>
      <c r="MHB101" s="46"/>
      <c r="MHC101" s="46"/>
      <c r="MHD101" s="46"/>
      <c r="MHE101" s="46"/>
      <c r="MHF101" s="46"/>
      <c r="MHG101" s="46"/>
      <c r="MHH101" s="46"/>
      <c r="MHI101" s="46"/>
      <c r="MHJ101" s="46"/>
      <c r="MHK101" s="46"/>
      <c r="MHL101" s="46"/>
      <c r="MHM101" s="46"/>
      <c r="MHN101" s="46"/>
      <c r="MHO101" s="46"/>
      <c r="MHP101" s="46"/>
      <c r="MHQ101" s="46"/>
      <c r="MHR101" s="46"/>
      <c r="MHS101" s="46"/>
      <c r="MHT101" s="46"/>
      <c r="MHU101" s="46"/>
      <c r="MHV101" s="46"/>
      <c r="MHW101" s="46"/>
      <c r="MHX101" s="46"/>
      <c r="MHY101" s="46"/>
      <c r="MHZ101" s="46"/>
      <c r="MIA101" s="46"/>
      <c r="MIB101" s="46"/>
      <c r="MIC101" s="46"/>
      <c r="MID101" s="46"/>
      <c r="MIE101" s="46"/>
      <c r="MIF101" s="46"/>
      <c r="MIG101" s="46"/>
      <c r="MIH101" s="46"/>
      <c r="MII101" s="46"/>
      <c r="MIJ101" s="46"/>
      <c r="MIK101" s="46"/>
      <c r="MIL101" s="46"/>
      <c r="MIM101" s="46"/>
      <c r="MIN101" s="46"/>
      <c r="MIO101" s="46"/>
      <c r="MIP101" s="46"/>
      <c r="MIQ101" s="46"/>
      <c r="MIR101" s="46"/>
      <c r="MIS101" s="46"/>
      <c r="MIT101" s="46"/>
      <c r="MIU101" s="46"/>
      <c r="MIV101" s="46"/>
      <c r="MIW101" s="46"/>
      <c r="MIX101" s="46"/>
      <c r="MIY101" s="46"/>
      <c r="MIZ101" s="46"/>
      <c r="MJA101" s="46"/>
      <c r="MJB101" s="46"/>
      <c r="MJC101" s="46"/>
      <c r="MJD101" s="46"/>
      <c r="MJE101" s="46"/>
      <c r="MJF101" s="46"/>
      <c r="MJG101" s="46"/>
      <c r="MJH101" s="46"/>
      <c r="MJI101" s="46"/>
      <c r="MJJ101" s="46"/>
      <c r="MJK101" s="46"/>
      <c r="MJL101" s="46"/>
      <c r="MJM101" s="46"/>
      <c r="MJN101" s="46"/>
      <c r="MJO101" s="46"/>
      <c r="MJP101" s="46"/>
      <c r="MJQ101" s="46"/>
      <c r="MJR101" s="46"/>
      <c r="MJS101" s="46"/>
      <c r="MJT101" s="46"/>
      <c r="MJU101" s="46"/>
      <c r="MJV101" s="46"/>
      <c r="MJW101" s="46"/>
      <c r="MJX101" s="46"/>
      <c r="MJY101" s="46"/>
      <c r="MJZ101" s="46"/>
      <c r="MKA101" s="46"/>
      <c r="MKB101" s="46"/>
      <c r="MKC101" s="46"/>
      <c r="MKD101" s="46"/>
      <c r="MKE101" s="46"/>
      <c r="MKF101" s="46"/>
      <c r="MKG101" s="46"/>
      <c r="MKH101" s="46"/>
      <c r="MKI101" s="46"/>
      <c r="MKJ101" s="46"/>
      <c r="MKK101" s="46"/>
      <c r="MKL101" s="46"/>
      <c r="MKM101" s="46"/>
      <c r="MKN101" s="46"/>
      <c r="MKO101" s="46"/>
      <c r="MKP101" s="46"/>
      <c r="MKQ101" s="46"/>
      <c r="MKR101" s="46"/>
      <c r="MKS101" s="46"/>
      <c r="MKT101" s="46"/>
      <c r="MKU101" s="46"/>
      <c r="MKV101" s="46"/>
      <c r="MKW101" s="46"/>
      <c r="MKX101" s="46"/>
      <c r="MKY101" s="46"/>
      <c r="MKZ101" s="46"/>
      <c r="MLA101" s="46"/>
      <c r="MLB101" s="46"/>
      <c r="MLC101" s="46"/>
      <c r="MLD101" s="46"/>
      <c r="MLE101" s="46"/>
      <c r="MLF101" s="46"/>
      <c r="MLG101" s="46"/>
      <c r="MLH101" s="46"/>
      <c r="MLI101" s="46"/>
      <c r="MLJ101" s="46"/>
      <c r="MLK101" s="46"/>
      <c r="MLL101" s="46"/>
      <c r="MLM101" s="46"/>
      <c r="MLN101" s="46"/>
      <c r="MLO101" s="46"/>
      <c r="MLP101" s="46"/>
      <c r="MLQ101" s="46"/>
      <c r="MLR101" s="46"/>
      <c r="MLS101" s="46"/>
      <c r="MLT101" s="46"/>
      <c r="MLU101" s="46"/>
      <c r="MLV101" s="46"/>
      <c r="MLW101" s="46"/>
      <c r="MLX101" s="46"/>
      <c r="MLY101" s="46"/>
      <c r="MLZ101" s="46"/>
      <c r="MMA101" s="46"/>
      <c r="MMB101" s="46"/>
      <c r="MMC101" s="46"/>
      <c r="MMD101" s="46"/>
      <c r="MME101" s="46"/>
      <c r="MMF101" s="46"/>
      <c r="MMG101" s="46"/>
      <c r="MMH101" s="46"/>
      <c r="MMI101" s="46"/>
      <c r="MMJ101" s="46"/>
      <c r="MMK101" s="46"/>
      <c r="MML101" s="46"/>
      <c r="MMM101" s="46"/>
      <c r="MMN101" s="46"/>
      <c r="MMO101" s="46"/>
      <c r="MMP101" s="46"/>
      <c r="MMQ101" s="46"/>
      <c r="MMR101" s="46"/>
      <c r="MMS101" s="46"/>
      <c r="MMT101" s="46"/>
      <c r="MMU101" s="46"/>
      <c r="MMV101" s="46"/>
      <c r="MMW101" s="46"/>
      <c r="MMX101" s="46"/>
      <c r="MMY101" s="46"/>
      <c r="MMZ101" s="46"/>
      <c r="MNA101" s="46"/>
      <c r="MNB101" s="46"/>
      <c r="MNC101" s="46"/>
      <c r="MND101" s="46"/>
      <c r="MNE101" s="46"/>
      <c r="MNF101" s="46"/>
      <c r="MNG101" s="46"/>
      <c r="MNH101" s="46"/>
      <c r="MNI101" s="46"/>
      <c r="MNJ101" s="46"/>
      <c r="MNK101" s="46"/>
      <c r="MNL101" s="46"/>
      <c r="MNM101" s="46"/>
      <c r="MNN101" s="46"/>
      <c r="MNO101" s="46"/>
      <c r="MNP101" s="46"/>
      <c r="MNQ101" s="46"/>
      <c r="MNR101" s="46"/>
      <c r="MNS101" s="46"/>
      <c r="MNT101" s="46"/>
      <c r="MNU101" s="46"/>
      <c r="MNV101" s="46"/>
      <c r="MNW101" s="46"/>
      <c r="MNX101" s="46"/>
      <c r="MNY101" s="46"/>
      <c r="MNZ101" s="46"/>
      <c r="MOA101" s="46"/>
      <c r="MOB101" s="46"/>
      <c r="MOC101" s="46"/>
      <c r="MOD101" s="46"/>
      <c r="MOE101" s="46"/>
      <c r="MOF101" s="46"/>
      <c r="MOG101" s="46"/>
      <c r="MOH101" s="46"/>
      <c r="MOI101" s="46"/>
      <c r="MOJ101" s="46"/>
      <c r="MOK101" s="46"/>
      <c r="MOL101" s="46"/>
      <c r="MOM101" s="46"/>
      <c r="MON101" s="46"/>
      <c r="MOO101" s="46"/>
      <c r="MOP101" s="46"/>
      <c r="MOQ101" s="46"/>
      <c r="MOR101" s="46"/>
      <c r="MOS101" s="46"/>
      <c r="MOT101" s="46"/>
      <c r="MOU101" s="46"/>
      <c r="MOV101" s="46"/>
      <c r="MOW101" s="46"/>
      <c r="MOX101" s="46"/>
      <c r="MOY101" s="46"/>
      <c r="MOZ101" s="46"/>
      <c r="MPA101" s="46"/>
      <c r="MPB101" s="46"/>
      <c r="MPC101" s="46"/>
      <c r="MPD101" s="46"/>
      <c r="MPE101" s="46"/>
      <c r="MPF101" s="46"/>
      <c r="MPG101" s="46"/>
      <c r="MPH101" s="46"/>
      <c r="MPI101" s="46"/>
      <c r="MPJ101" s="46"/>
      <c r="MPK101" s="46"/>
      <c r="MPL101" s="46"/>
      <c r="MPM101" s="46"/>
      <c r="MPN101" s="46"/>
      <c r="MPO101" s="46"/>
      <c r="MPP101" s="46"/>
      <c r="MPQ101" s="46"/>
      <c r="MPR101" s="46"/>
      <c r="MPS101" s="46"/>
      <c r="MPT101" s="46"/>
      <c r="MPU101" s="46"/>
      <c r="MPV101" s="46"/>
      <c r="MPW101" s="46"/>
      <c r="MPX101" s="46"/>
      <c r="MPY101" s="46"/>
      <c r="MPZ101" s="46"/>
      <c r="MQA101" s="46"/>
      <c r="MQB101" s="46"/>
      <c r="MQC101" s="46"/>
      <c r="MQD101" s="46"/>
      <c r="MQE101" s="46"/>
      <c r="MQF101" s="46"/>
      <c r="MQG101" s="46"/>
      <c r="MQH101" s="46"/>
      <c r="MQI101" s="46"/>
      <c r="MQJ101" s="46"/>
      <c r="MQK101" s="46"/>
      <c r="MQL101" s="46"/>
      <c r="MQM101" s="46"/>
      <c r="MQN101" s="46"/>
      <c r="MQO101" s="46"/>
      <c r="MQP101" s="46"/>
      <c r="MQQ101" s="46"/>
      <c r="MQR101" s="46"/>
      <c r="MQS101" s="46"/>
      <c r="MQT101" s="46"/>
      <c r="MQU101" s="46"/>
      <c r="MQV101" s="46"/>
      <c r="MQW101" s="46"/>
      <c r="MQX101" s="46"/>
      <c r="MQY101" s="46"/>
      <c r="MQZ101" s="46"/>
      <c r="MRA101" s="46"/>
      <c r="MRB101" s="46"/>
      <c r="MRC101" s="46"/>
      <c r="MRD101" s="46"/>
      <c r="MRE101" s="46"/>
      <c r="MRF101" s="46"/>
      <c r="MRG101" s="46"/>
      <c r="MRH101" s="46"/>
      <c r="MRI101" s="46"/>
      <c r="MRJ101" s="46"/>
      <c r="MRK101" s="46"/>
      <c r="MRL101" s="46"/>
      <c r="MRM101" s="46"/>
      <c r="MRN101" s="46"/>
      <c r="MRO101" s="46"/>
      <c r="MRP101" s="46"/>
      <c r="MRQ101" s="46"/>
      <c r="MRR101" s="46"/>
      <c r="MRS101" s="46"/>
      <c r="MRT101" s="46"/>
      <c r="MRU101" s="46"/>
      <c r="MRV101" s="46"/>
      <c r="MRW101" s="46"/>
      <c r="MRX101" s="46"/>
      <c r="MRY101" s="46"/>
      <c r="MRZ101" s="46"/>
      <c r="MSA101" s="46"/>
      <c r="MSB101" s="46"/>
      <c r="MSC101" s="46"/>
      <c r="MSD101" s="46"/>
      <c r="MSE101" s="46"/>
      <c r="MSF101" s="46"/>
      <c r="MSG101" s="46"/>
      <c r="MSH101" s="46"/>
      <c r="MSI101" s="46"/>
      <c r="MSJ101" s="46"/>
      <c r="MSK101" s="46"/>
      <c r="MSL101" s="46"/>
      <c r="MSM101" s="46"/>
      <c r="MSN101" s="46"/>
      <c r="MSO101" s="46"/>
      <c r="MSP101" s="46"/>
      <c r="MSQ101" s="46"/>
      <c r="MSR101" s="46"/>
      <c r="MSS101" s="46"/>
      <c r="MST101" s="46"/>
      <c r="MSU101" s="46"/>
      <c r="MSV101" s="46"/>
      <c r="MSW101" s="46"/>
      <c r="MSX101" s="46"/>
      <c r="MSY101" s="46"/>
      <c r="MSZ101" s="46"/>
      <c r="MTA101" s="46"/>
      <c r="MTB101" s="46"/>
      <c r="MTC101" s="46"/>
      <c r="MTD101" s="46"/>
      <c r="MTE101" s="46"/>
      <c r="MTF101" s="46"/>
      <c r="MTG101" s="46"/>
      <c r="MTH101" s="46"/>
      <c r="MTI101" s="46"/>
      <c r="MTJ101" s="46"/>
      <c r="MTK101" s="46"/>
      <c r="MTL101" s="46"/>
      <c r="MTM101" s="46"/>
      <c r="MTN101" s="46"/>
      <c r="MTO101" s="46"/>
      <c r="MTP101" s="46"/>
      <c r="MTQ101" s="46"/>
      <c r="MTR101" s="46"/>
      <c r="MTS101" s="46"/>
      <c r="MTT101" s="46"/>
      <c r="MTU101" s="46"/>
      <c r="MTV101" s="46"/>
      <c r="MTW101" s="46"/>
      <c r="MTX101" s="46"/>
      <c r="MTY101" s="46"/>
      <c r="MTZ101" s="46"/>
      <c r="MUA101" s="46"/>
      <c r="MUB101" s="46"/>
      <c r="MUC101" s="46"/>
      <c r="MUD101" s="46"/>
      <c r="MUE101" s="46"/>
      <c r="MUF101" s="46"/>
      <c r="MUG101" s="46"/>
      <c r="MUH101" s="46"/>
      <c r="MUI101" s="46"/>
      <c r="MUJ101" s="46"/>
      <c r="MUK101" s="46"/>
      <c r="MUL101" s="46"/>
      <c r="MUM101" s="46"/>
      <c r="MUN101" s="46"/>
      <c r="MUO101" s="46"/>
      <c r="MUP101" s="46"/>
      <c r="MUQ101" s="46"/>
      <c r="MUR101" s="46"/>
      <c r="MUS101" s="46"/>
      <c r="MUT101" s="46"/>
      <c r="MUU101" s="46"/>
      <c r="MUV101" s="46"/>
      <c r="MUW101" s="46"/>
      <c r="MUX101" s="46"/>
      <c r="MUY101" s="46"/>
      <c r="MUZ101" s="46"/>
      <c r="MVA101" s="46"/>
      <c r="MVB101" s="46"/>
      <c r="MVC101" s="46"/>
      <c r="MVD101" s="46"/>
      <c r="MVE101" s="46"/>
      <c r="MVF101" s="46"/>
      <c r="MVG101" s="46"/>
      <c r="MVH101" s="46"/>
      <c r="MVI101" s="46"/>
      <c r="MVJ101" s="46"/>
      <c r="MVK101" s="46"/>
      <c r="MVL101" s="46"/>
      <c r="MVM101" s="46"/>
      <c r="MVN101" s="46"/>
      <c r="MVO101" s="46"/>
      <c r="MVP101" s="46"/>
      <c r="MVQ101" s="46"/>
      <c r="MVR101" s="46"/>
      <c r="MVS101" s="46"/>
      <c r="MVT101" s="46"/>
      <c r="MVU101" s="46"/>
      <c r="MVV101" s="46"/>
      <c r="MVW101" s="46"/>
      <c r="MVX101" s="46"/>
      <c r="MVY101" s="46"/>
      <c r="MVZ101" s="46"/>
      <c r="MWA101" s="46"/>
      <c r="MWB101" s="46"/>
      <c r="MWC101" s="46"/>
      <c r="MWD101" s="46"/>
      <c r="MWE101" s="46"/>
      <c r="MWF101" s="46"/>
      <c r="MWG101" s="46"/>
      <c r="MWH101" s="46"/>
      <c r="MWI101" s="46"/>
      <c r="MWJ101" s="46"/>
      <c r="MWK101" s="46"/>
      <c r="MWL101" s="46"/>
      <c r="MWM101" s="46"/>
      <c r="MWN101" s="46"/>
      <c r="MWO101" s="46"/>
      <c r="MWP101" s="46"/>
      <c r="MWQ101" s="46"/>
      <c r="MWR101" s="46"/>
      <c r="MWS101" s="46"/>
      <c r="MWT101" s="46"/>
      <c r="MWU101" s="46"/>
      <c r="MWV101" s="46"/>
      <c r="MWW101" s="46"/>
      <c r="MWX101" s="46"/>
      <c r="MWY101" s="46"/>
      <c r="MWZ101" s="46"/>
      <c r="MXA101" s="46"/>
      <c r="MXB101" s="46"/>
      <c r="MXC101" s="46"/>
      <c r="MXD101" s="46"/>
      <c r="MXE101" s="46"/>
      <c r="MXF101" s="46"/>
      <c r="MXG101" s="46"/>
      <c r="MXH101" s="46"/>
      <c r="MXI101" s="46"/>
      <c r="MXJ101" s="46"/>
      <c r="MXK101" s="46"/>
      <c r="MXL101" s="46"/>
      <c r="MXM101" s="46"/>
      <c r="MXN101" s="46"/>
      <c r="MXO101" s="46"/>
      <c r="MXP101" s="46"/>
      <c r="MXQ101" s="46"/>
      <c r="MXR101" s="46"/>
      <c r="MXS101" s="46"/>
      <c r="MXT101" s="46"/>
      <c r="MXU101" s="46"/>
      <c r="MXV101" s="46"/>
      <c r="MXW101" s="46"/>
      <c r="MXX101" s="46"/>
      <c r="MXY101" s="46"/>
      <c r="MXZ101" s="46"/>
      <c r="MYA101" s="46"/>
      <c r="MYB101" s="46"/>
      <c r="MYC101" s="46"/>
      <c r="MYD101" s="46"/>
      <c r="MYE101" s="46"/>
      <c r="MYF101" s="46"/>
      <c r="MYG101" s="46"/>
      <c r="MYH101" s="46"/>
      <c r="MYI101" s="46"/>
      <c r="MYJ101" s="46"/>
      <c r="MYK101" s="46"/>
      <c r="MYL101" s="46"/>
      <c r="MYM101" s="46"/>
      <c r="MYN101" s="46"/>
      <c r="MYO101" s="46"/>
      <c r="MYP101" s="46"/>
      <c r="MYQ101" s="46"/>
      <c r="MYR101" s="46"/>
      <c r="MYS101" s="46"/>
      <c r="MYT101" s="46"/>
      <c r="MYU101" s="46"/>
      <c r="MYV101" s="46"/>
      <c r="MYW101" s="46"/>
      <c r="MYX101" s="46"/>
      <c r="MYY101" s="46"/>
      <c r="MYZ101" s="46"/>
      <c r="MZA101" s="46"/>
      <c r="MZB101" s="46"/>
      <c r="MZC101" s="46"/>
      <c r="MZD101" s="46"/>
      <c r="MZE101" s="46"/>
      <c r="MZF101" s="46"/>
      <c r="MZG101" s="46"/>
      <c r="MZH101" s="46"/>
      <c r="MZI101" s="46"/>
      <c r="MZJ101" s="46"/>
      <c r="MZK101" s="46"/>
      <c r="MZL101" s="46"/>
      <c r="MZM101" s="46"/>
      <c r="MZN101" s="46"/>
      <c r="MZO101" s="46"/>
      <c r="MZP101" s="46"/>
      <c r="MZQ101" s="46"/>
      <c r="MZR101" s="46"/>
      <c r="MZS101" s="46"/>
      <c r="MZT101" s="46"/>
      <c r="MZU101" s="46"/>
      <c r="MZV101" s="46"/>
      <c r="MZW101" s="46"/>
      <c r="MZX101" s="46"/>
      <c r="MZY101" s="46"/>
      <c r="MZZ101" s="46"/>
      <c r="NAA101" s="46"/>
      <c r="NAB101" s="46"/>
      <c r="NAC101" s="46"/>
      <c r="NAD101" s="46"/>
      <c r="NAE101" s="46"/>
      <c r="NAF101" s="46"/>
      <c r="NAG101" s="46"/>
      <c r="NAH101" s="46"/>
      <c r="NAI101" s="46"/>
      <c r="NAJ101" s="46"/>
      <c r="NAK101" s="46"/>
      <c r="NAL101" s="46"/>
      <c r="NAM101" s="46"/>
      <c r="NAN101" s="46"/>
      <c r="NAO101" s="46"/>
      <c r="NAP101" s="46"/>
      <c r="NAQ101" s="46"/>
      <c r="NAR101" s="46"/>
      <c r="NAS101" s="46"/>
      <c r="NAT101" s="46"/>
      <c r="NAU101" s="46"/>
      <c r="NAV101" s="46"/>
      <c r="NAW101" s="46"/>
      <c r="NAX101" s="46"/>
      <c r="NAY101" s="46"/>
      <c r="NAZ101" s="46"/>
      <c r="NBA101" s="46"/>
      <c r="NBB101" s="46"/>
      <c r="NBC101" s="46"/>
      <c r="NBD101" s="46"/>
      <c r="NBE101" s="46"/>
      <c r="NBF101" s="46"/>
      <c r="NBG101" s="46"/>
      <c r="NBH101" s="46"/>
      <c r="NBI101" s="46"/>
      <c r="NBJ101" s="46"/>
      <c r="NBK101" s="46"/>
      <c r="NBL101" s="46"/>
      <c r="NBM101" s="46"/>
      <c r="NBN101" s="46"/>
      <c r="NBO101" s="46"/>
      <c r="NBP101" s="46"/>
      <c r="NBQ101" s="46"/>
      <c r="NBR101" s="46"/>
      <c r="NBS101" s="46"/>
      <c r="NBT101" s="46"/>
      <c r="NBU101" s="46"/>
      <c r="NBV101" s="46"/>
      <c r="NBW101" s="46"/>
      <c r="NBX101" s="46"/>
      <c r="NBY101" s="46"/>
      <c r="NBZ101" s="46"/>
      <c r="NCA101" s="46"/>
      <c r="NCB101" s="46"/>
      <c r="NCC101" s="46"/>
      <c r="NCD101" s="46"/>
      <c r="NCE101" s="46"/>
      <c r="NCF101" s="46"/>
      <c r="NCG101" s="46"/>
      <c r="NCH101" s="46"/>
      <c r="NCI101" s="46"/>
      <c r="NCJ101" s="46"/>
      <c r="NCK101" s="46"/>
      <c r="NCL101" s="46"/>
      <c r="NCM101" s="46"/>
      <c r="NCN101" s="46"/>
      <c r="NCO101" s="46"/>
      <c r="NCP101" s="46"/>
      <c r="NCQ101" s="46"/>
      <c r="NCR101" s="46"/>
      <c r="NCS101" s="46"/>
      <c r="NCT101" s="46"/>
      <c r="NCU101" s="46"/>
      <c r="NCV101" s="46"/>
      <c r="NCW101" s="46"/>
      <c r="NCX101" s="46"/>
      <c r="NCY101" s="46"/>
      <c r="NCZ101" s="46"/>
      <c r="NDA101" s="46"/>
      <c r="NDB101" s="46"/>
      <c r="NDC101" s="46"/>
      <c r="NDD101" s="46"/>
      <c r="NDE101" s="46"/>
      <c r="NDF101" s="46"/>
      <c r="NDG101" s="46"/>
      <c r="NDH101" s="46"/>
      <c r="NDI101" s="46"/>
      <c r="NDJ101" s="46"/>
      <c r="NDK101" s="46"/>
      <c r="NDL101" s="46"/>
      <c r="NDM101" s="46"/>
      <c r="NDN101" s="46"/>
      <c r="NDO101" s="46"/>
      <c r="NDP101" s="46"/>
      <c r="NDQ101" s="46"/>
      <c r="NDR101" s="46"/>
      <c r="NDS101" s="46"/>
      <c r="NDT101" s="46"/>
      <c r="NDU101" s="46"/>
      <c r="NDV101" s="46"/>
      <c r="NDW101" s="46"/>
      <c r="NDX101" s="46"/>
      <c r="NDY101" s="46"/>
      <c r="NDZ101" s="46"/>
      <c r="NEA101" s="46"/>
      <c r="NEB101" s="46"/>
      <c r="NEC101" s="46"/>
      <c r="NED101" s="46"/>
      <c r="NEE101" s="46"/>
      <c r="NEF101" s="46"/>
      <c r="NEG101" s="46"/>
      <c r="NEH101" s="46"/>
      <c r="NEI101" s="46"/>
      <c r="NEJ101" s="46"/>
      <c r="NEK101" s="46"/>
      <c r="NEL101" s="46"/>
      <c r="NEM101" s="46"/>
      <c r="NEN101" s="46"/>
      <c r="NEO101" s="46"/>
      <c r="NEP101" s="46"/>
      <c r="NEQ101" s="46"/>
      <c r="NER101" s="46"/>
      <c r="NES101" s="46"/>
      <c r="NET101" s="46"/>
      <c r="NEU101" s="46"/>
      <c r="NEV101" s="46"/>
      <c r="NEW101" s="46"/>
      <c r="NEX101" s="46"/>
      <c r="NEY101" s="46"/>
      <c r="NEZ101" s="46"/>
      <c r="NFA101" s="46"/>
      <c r="NFB101" s="46"/>
      <c r="NFC101" s="46"/>
      <c r="NFD101" s="46"/>
      <c r="NFE101" s="46"/>
      <c r="NFF101" s="46"/>
      <c r="NFG101" s="46"/>
      <c r="NFH101" s="46"/>
      <c r="NFI101" s="46"/>
      <c r="NFJ101" s="46"/>
      <c r="NFK101" s="46"/>
      <c r="NFL101" s="46"/>
      <c r="NFM101" s="46"/>
      <c r="NFN101" s="46"/>
      <c r="NFO101" s="46"/>
      <c r="NFP101" s="46"/>
      <c r="NFQ101" s="46"/>
      <c r="NFR101" s="46"/>
      <c r="NFS101" s="46"/>
      <c r="NFT101" s="46"/>
      <c r="NFU101" s="46"/>
      <c r="NFV101" s="46"/>
      <c r="NFW101" s="46"/>
      <c r="NFX101" s="46"/>
      <c r="NFY101" s="46"/>
      <c r="NFZ101" s="46"/>
      <c r="NGA101" s="46"/>
      <c r="NGB101" s="46"/>
      <c r="NGC101" s="46"/>
      <c r="NGD101" s="46"/>
      <c r="NGE101" s="46"/>
      <c r="NGF101" s="46"/>
      <c r="NGG101" s="46"/>
      <c r="NGH101" s="46"/>
      <c r="NGI101" s="46"/>
      <c r="NGJ101" s="46"/>
      <c r="NGK101" s="46"/>
      <c r="NGL101" s="46"/>
      <c r="NGM101" s="46"/>
      <c r="NGN101" s="46"/>
      <c r="NGO101" s="46"/>
      <c r="NGP101" s="46"/>
      <c r="NGQ101" s="46"/>
      <c r="NGR101" s="46"/>
      <c r="NGS101" s="46"/>
      <c r="NGT101" s="46"/>
      <c r="NGU101" s="46"/>
      <c r="NGV101" s="46"/>
      <c r="NGW101" s="46"/>
      <c r="NGX101" s="46"/>
      <c r="NGY101" s="46"/>
      <c r="NGZ101" s="46"/>
      <c r="NHA101" s="46"/>
      <c r="NHB101" s="46"/>
      <c r="NHC101" s="46"/>
      <c r="NHD101" s="46"/>
      <c r="NHE101" s="46"/>
      <c r="NHF101" s="46"/>
      <c r="NHG101" s="46"/>
      <c r="NHH101" s="46"/>
      <c r="NHI101" s="46"/>
      <c r="NHJ101" s="46"/>
      <c r="NHK101" s="46"/>
      <c r="NHL101" s="46"/>
      <c r="NHM101" s="46"/>
      <c r="NHN101" s="46"/>
      <c r="NHO101" s="46"/>
      <c r="NHP101" s="46"/>
      <c r="NHQ101" s="46"/>
      <c r="NHR101" s="46"/>
      <c r="NHS101" s="46"/>
      <c r="NHT101" s="46"/>
      <c r="NHU101" s="46"/>
      <c r="NHV101" s="46"/>
      <c r="NHW101" s="46"/>
      <c r="NHX101" s="46"/>
      <c r="NHY101" s="46"/>
      <c r="NHZ101" s="46"/>
      <c r="NIA101" s="46"/>
      <c r="NIB101" s="46"/>
      <c r="NIC101" s="46"/>
      <c r="NID101" s="46"/>
      <c r="NIE101" s="46"/>
      <c r="NIF101" s="46"/>
      <c r="NIG101" s="46"/>
      <c r="NIH101" s="46"/>
      <c r="NII101" s="46"/>
      <c r="NIJ101" s="46"/>
      <c r="NIK101" s="46"/>
      <c r="NIL101" s="46"/>
      <c r="NIM101" s="46"/>
      <c r="NIN101" s="46"/>
      <c r="NIO101" s="46"/>
      <c r="NIP101" s="46"/>
      <c r="NIQ101" s="46"/>
      <c r="NIR101" s="46"/>
      <c r="NIS101" s="46"/>
      <c r="NIT101" s="46"/>
      <c r="NIU101" s="46"/>
      <c r="NIV101" s="46"/>
      <c r="NIW101" s="46"/>
      <c r="NIX101" s="46"/>
      <c r="NIY101" s="46"/>
      <c r="NIZ101" s="46"/>
      <c r="NJA101" s="46"/>
      <c r="NJB101" s="46"/>
      <c r="NJC101" s="46"/>
      <c r="NJD101" s="46"/>
      <c r="NJE101" s="46"/>
      <c r="NJF101" s="46"/>
      <c r="NJG101" s="46"/>
      <c r="NJH101" s="46"/>
      <c r="NJI101" s="46"/>
      <c r="NJJ101" s="46"/>
      <c r="NJK101" s="46"/>
      <c r="NJL101" s="46"/>
      <c r="NJM101" s="46"/>
      <c r="NJN101" s="46"/>
      <c r="NJO101" s="46"/>
      <c r="NJP101" s="46"/>
      <c r="NJQ101" s="46"/>
      <c r="NJR101" s="46"/>
      <c r="NJS101" s="46"/>
      <c r="NJT101" s="46"/>
      <c r="NJU101" s="46"/>
      <c r="NJV101" s="46"/>
      <c r="NJW101" s="46"/>
      <c r="NJX101" s="46"/>
      <c r="NJY101" s="46"/>
      <c r="NJZ101" s="46"/>
      <c r="NKA101" s="46"/>
      <c r="NKB101" s="46"/>
      <c r="NKC101" s="46"/>
      <c r="NKD101" s="46"/>
      <c r="NKE101" s="46"/>
      <c r="NKF101" s="46"/>
      <c r="NKG101" s="46"/>
      <c r="NKH101" s="46"/>
      <c r="NKI101" s="46"/>
      <c r="NKJ101" s="46"/>
      <c r="NKK101" s="46"/>
      <c r="NKL101" s="46"/>
      <c r="NKM101" s="46"/>
      <c r="NKN101" s="46"/>
      <c r="NKO101" s="46"/>
      <c r="NKP101" s="46"/>
      <c r="NKQ101" s="46"/>
      <c r="NKR101" s="46"/>
      <c r="NKS101" s="46"/>
      <c r="NKT101" s="46"/>
      <c r="NKU101" s="46"/>
      <c r="NKV101" s="46"/>
      <c r="NKW101" s="46"/>
      <c r="NKX101" s="46"/>
      <c r="NKY101" s="46"/>
      <c r="NKZ101" s="46"/>
      <c r="NLA101" s="46"/>
      <c r="NLB101" s="46"/>
      <c r="NLC101" s="46"/>
      <c r="NLD101" s="46"/>
      <c r="NLE101" s="46"/>
      <c r="NLF101" s="46"/>
      <c r="NLG101" s="46"/>
      <c r="NLH101" s="46"/>
      <c r="NLI101" s="46"/>
      <c r="NLJ101" s="46"/>
      <c r="NLK101" s="46"/>
      <c r="NLL101" s="46"/>
      <c r="NLM101" s="46"/>
      <c r="NLN101" s="46"/>
      <c r="NLO101" s="46"/>
      <c r="NLP101" s="46"/>
      <c r="NLQ101" s="46"/>
      <c r="NLR101" s="46"/>
      <c r="NLS101" s="46"/>
      <c r="NLT101" s="46"/>
      <c r="NLU101" s="46"/>
      <c r="NLV101" s="46"/>
      <c r="NLW101" s="46"/>
      <c r="NLX101" s="46"/>
      <c r="NLY101" s="46"/>
      <c r="NLZ101" s="46"/>
      <c r="NMA101" s="46"/>
      <c r="NMB101" s="46"/>
      <c r="NMC101" s="46"/>
      <c r="NMD101" s="46"/>
      <c r="NME101" s="46"/>
      <c r="NMF101" s="46"/>
      <c r="NMG101" s="46"/>
      <c r="NMH101" s="46"/>
      <c r="NMI101" s="46"/>
      <c r="NMJ101" s="46"/>
      <c r="NMK101" s="46"/>
      <c r="NML101" s="46"/>
      <c r="NMM101" s="46"/>
      <c r="NMN101" s="46"/>
      <c r="NMO101" s="46"/>
      <c r="NMP101" s="46"/>
      <c r="NMQ101" s="46"/>
      <c r="NMR101" s="46"/>
      <c r="NMS101" s="46"/>
      <c r="NMT101" s="46"/>
      <c r="NMU101" s="46"/>
      <c r="NMV101" s="46"/>
      <c r="NMW101" s="46"/>
      <c r="NMX101" s="46"/>
      <c r="NMY101" s="46"/>
      <c r="NMZ101" s="46"/>
      <c r="NNA101" s="46"/>
      <c r="NNB101" s="46"/>
      <c r="NNC101" s="46"/>
      <c r="NND101" s="46"/>
      <c r="NNE101" s="46"/>
      <c r="NNF101" s="46"/>
      <c r="NNG101" s="46"/>
      <c r="NNH101" s="46"/>
      <c r="NNI101" s="46"/>
      <c r="NNJ101" s="46"/>
      <c r="NNK101" s="46"/>
      <c r="NNL101" s="46"/>
      <c r="NNM101" s="46"/>
      <c r="NNN101" s="46"/>
      <c r="NNO101" s="46"/>
      <c r="NNP101" s="46"/>
      <c r="NNQ101" s="46"/>
      <c r="NNR101" s="46"/>
      <c r="NNS101" s="46"/>
      <c r="NNT101" s="46"/>
      <c r="NNU101" s="46"/>
      <c r="NNV101" s="46"/>
      <c r="NNW101" s="46"/>
      <c r="NNX101" s="46"/>
      <c r="NNY101" s="46"/>
      <c r="NNZ101" s="46"/>
      <c r="NOA101" s="46"/>
      <c r="NOB101" s="46"/>
      <c r="NOC101" s="46"/>
      <c r="NOD101" s="46"/>
      <c r="NOE101" s="46"/>
      <c r="NOF101" s="46"/>
      <c r="NOG101" s="46"/>
      <c r="NOH101" s="46"/>
      <c r="NOI101" s="46"/>
      <c r="NOJ101" s="46"/>
      <c r="NOK101" s="46"/>
      <c r="NOL101" s="46"/>
      <c r="NOM101" s="46"/>
      <c r="NON101" s="46"/>
      <c r="NOO101" s="46"/>
      <c r="NOP101" s="46"/>
      <c r="NOQ101" s="46"/>
      <c r="NOR101" s="46"/>
      <c r="NOS101" s="46"/>
      <c r="NOT101" s="46"/>
      <c r="NOU101" s="46"/>
      <c r="NOV101" s="46"/>
      <c r="NOW101" s="46"/>
      <c r="NOX101" s="46"/>
      <c r="NOY101" s="46"/>
      <c r="NOZ101" s="46"/>
      <c r="NPA101" s="46"/>
      <c r="NPB101" s="46"/>
      <c r="NPC101" s="46"/>
      <c r="NPD101" s="46"/>
      <c r="NPE101" s="46"/>
      <c r="NPF101" s="46"/>
      <c r="NPG101" s="46"/>
      <c r="NPH101" s="46"/>
      <c r="NPI101" s="46"/>
      <c r="NPJ101" s="46"/>
      <c r="NPK101" s="46"/>
      <c r="NPL101" s="46"/>
      <c r="NPM101" s="46"/>
      <c r="NPN101" s="46"/>
      <c r="NPO101" s="46"/>
      <c r="NPP101" s="46"/>
      <c r="NPQ101" s="46"/>
      <c r="NPR101" s="46"/>
      <c r="NPS101" s="46"/>
      <c r="NPT101" s="46"/>
      <c r="NPU101" s="46"/>
      <c r="NPV101" s="46"/>
      <c r="NPW101" s="46"/>
      <c r="NPX101" s="46"/>
      <c r="NPY101" s="46"/>
      <c r="NPZ101" s="46"/>
      <c r="NQA101" s="46"/>
      <c r="NQB101" s="46"/>
      <c r="NQC101" s="46"/>
      <c r="NQD101" s="46"/>
      <c r="NQE101" s="46"/>
      <c r="NQF101" s="46"/>
      <c r="NQG101" s="46"/>
      <c r="NQH101" s="46"/>
      <c r="NQI101" s="46"/>
      <c r="NQJ101" s="46"/>
      <c r="NQK101" s="46"/>
      <c r="NQL101" s="46"/>
      <c r="NQM101" s="46"/>
      <c r="NQN101" s="46"/>
      <c r="NQO101" s="46"/>
      <c r="NQP101" s="46"/>
      <c r="NQQ101" s="46"/>
      <c r="NQR101" s="46"/>
      <c r="NQS101" s="46"/>
      <c r="NQT101" s="46"/>
      <c r="NQU101" s="46"/>
      <c r="NQV101" s="46"/>
      <c r="NQW101" s="46"/>
      <c r="NQX101" s="46"/>
      <c r="NQY101" s="46"/>
      <c r="NQZ101" s="46"/>
      <c r="NRA101" s="46"/>
      <c r="NRB101" s="46"/>
      <c r="NRC101" s="46"/>
      <c r="NRD101" s="46"/>
      <c r="NRE101" s="46"/>
      <c r="NRF101" s="46"/>
      <c r="NRG101" s="46"/>
      <c r="NRH101" s="46"/>
      <c r="NRI101" s="46"/>
      <c r="NRJ101" s="46"/>
      <c r="NRK101" s="46"/>
      <c r="NRL101" s="46"/>
      <c r="NRM101" s="46"/>
      <c r="NRN101" s="46"/>
      <c r="NRO101" s="46"/>
      <c r="NRP101" s="46"/>
      <c r="NRQ101" s="46"/>
      <c r="NRR101" s="46"/>
      <c r="NRS101" s="46"/>
      <c r="NRT101" s="46"/>
      <c r="NRU101" s="46"/>
      <c r="NRV101" s="46"/>
      <c r="NRW101" s="46"/>
      <c r="NRX101" s="46"/>
      <c r="NRY101" s="46"/>
      <c r="NRZ101" s="46"/>
      <c r="NSA101" s="46"/>
      <c r="NSB101" s="46"/>
      <c r="NSC101" s="46"/>
      <c r="NSD101" s="46"/>
      <c r="NSE101" s="46"/>
      <c r="NSF101" s="46"/>
      <c r="NSG101" s="46"/>
      <c r="NSH101" s="46"/>
      <c r="NSI101" s="46"/>
      <c r="NSJ101" s="46"/>
      <c r="NSK101" s="46"/>
      <c r="NSL101" s="46"/>
      <c r="NSM101" s="46"/>
      <c r="NSN101" s="46"/>
      <c r="NSO101" s="46"/>
      <c r="NSP101" s="46"/>
      <c r="NSQ101" s="46"/>
      <c r="NSR101" s="46"/>
      <c r="NSS101" s="46"/>
      <c r="NST101" s="46"/>
      <c r="NSU101" s="46"/>
      <c r="NSV101" s="46"/>
      <c r="NSW101" s="46"/>
      <c r="NSX101" s="46"/>
      <c r="NSY101" s="46"/>
      <c r="NSZ101" s="46"/>
      <c r="NTA101" s="46"/>
      <c r="NTB101" s="46"/>
      <c r="NTC101" s="46"/>
      <c r="NTD101" s="46"/>
      <c r="NTE101" s="46"/>
      <c r="NTF101" s="46"/>
      <c r="NTG101" s="46"/>
      <c r="NTH101" s="46"/>
      <c r="NTI101" s="46"/>
      <c r="NTJ101" s="46"/>
      <c r="NTK101" s="46"/>
      <c r="NTL101" s="46"/>
      <c r="NTM101" s="46"/>
      <c r="NTN101" s="46"/>
      <c r="NTO101" s="46"/>
      <c r="NTP101" s="46"/>
      <c r="NTQ101" s="46"/>
      <c r="NTR101" s="46"/>
      <c r="NTS101" s="46"/>
      <c r="NTT101" s="46"/>
      <c r="NTU101" s="46"/>
      <c r="NTV101" s="46"/>
      <c r="NTW101" s="46"/>
      <c r="NTX101" s="46"/>
      <c r="NTY101" s="46"/>
      <c r="NTZ101" s="46"/>
      <c r="NUA101" s="46"/>
      <c r="NUB101" s="46"/>
      <c r="NUC101" s="46"/>
      <c r="NUD101" s="46"/>
      <c r="NUE101" s="46"/>
      <c r="NUF101" s="46"/>
      <c r="NUG101" s="46"/>
      <c r="NUH101" s="46"/>
      <c r="NUI101" s="46"/>
      <c r="NUJ101" s="46"/>
      <c r="NUK101" s="46"/>
      <c r="NUL101" s="46"/>
      <c r="NUM101" s="46"/>
      <c r="NUN101" s="46"/>
      <c r="NUO101" s="46"/>
      <c r="NUP101" s="46"/>
      <c r="NUQ101" s="46"/>
      <c r="NUR101" s="46"/>
      <c r="NUS101" s="46"/>
      <c r="NUT101" s="46"/>
      <c r="NUU101" s="46"/>
      <c r="NUV101" s="46"/>
      <c r="NUW101" s="46"/>
      <c r="NUX101" s="46"/>
      <c r="NUY101" s="46"/>
      <c r="NUZ101" s="46"/>
      <c r="NVA101" s="46"/>
      <c r="NVB101" s="46"/>
      <c r="NVC101" s="46"/>
      <c r="NVD101" s="46"/>
      <c r="NVE101" s="46"/>
      <c r="NVF101" s="46"/>
      <c r="NVG101" s="46"/>
      <c r="NVH101" s="46"/>
      <c r="NVI101" s="46"/>
      <c r="NVJ101" s="46"/>
      <c r="NVK101" s="46"/>
      <c r="NVL101" s="46"/>
      <c r="NVM101" s="46"/>
      <c r="NVN101" s="46"/>
      <c r="NVO101" s="46"/>
      <c r="NVP101" s="46"/>
      <c r="NVQ101" s="46"/>
      <c r="NVR101" s="46"/>
      <c r="NVS101" s="46"/>
      <c r="NVT101" s="46"/>
      <c r="NVU101" s="46"/>
      <c r="NVV101" s="46"/>
      <c r="NVW101" s="46"/>
      <c r="NVX101" s="46"/>
      <c r="NVY101" s="46"/>
      <c r="NVZ101" s="46"/>
      <c r="NWA101" s="46"/>
      <c r="NWB101" s="46"/>
      <c r="NWC101" s="46"/>
      <c r="NWD101" s="46"/>
      <c r="NWE101" s="46"/>
      <c r="NWF101" s="46"/>
      <c r="NWG101" s="46"/>
      <c r="NWH101" s="46"/>
      <c r="NWI101" s="46"/>
      <c r="NWJ101" s="46"/>
      <c r="NWK101" s="46"/>
      <c r="NWL101" s="46"/>
      <c r="NWM101" s="46"/>
      <c r="NWN101" s="46"/>
      <c r="NWO101" s="46"/>
      <c r="NWP101" s="46"/>
      <c r="NWQ101" s="46"/>
      <c r="NWR101" s="46"/>
      <c r="NWS101" s="46"/>
      <c r="NWT101" s="46"/>
      <c r="NWU101" s="46"/>
      <c r="NWV101" s="46"/>
      <c r="NWW101" s="46"/>
      <c r="NWX101" s="46"/>
      <c r="NWY101" s="46"/>
      <c r="NWZ101" s="46"/>
      <c r="NXA101" s="46"/>
      <c r="NXB101" s="46"/>
      <c r="NXC101" s="46"/>
      <c r="NXD101" s="46"/>
      <c r="NXE101" s="46"/>
      <c r="NXF101" s="46"/>
      <c r="NXG101" s="46"/>
      <c r="NXH101" s="46"/>
      <c r="NXI101" s="46"/>
      <c r="NXJ101" s="46"/>
      <c r="NXK101" s="46"/>
      <c r="NXL101" s="46"/>
      <c r="NXM101" s="46"/>
      <c r="NXN101" s="46"/>
      <c r="NXO101" s="46"/>
      <c r="NXP101" s="46"/>
      <c r="NXQ101" s="46"/>
      <c r="NXR101" s="46"/>
      <c r="NXS101" s="46"/>
      <c r="NXT101" s="46"/>
      <c r="NXU101" s="46"/>
      <c r="NXV101" s="46"/>
      <c r="NXW101" s="46"/>
      <c r="NXX101" s="46"/>
      <c r="NXY101" s="46"/>
      <c r="NXZ101" s="46"/>
      <c r="NYA101" s="46"/>
      <c r="NYB101" s="46"/>
      <c r="NYC101" s="46"/>
      <c r="NYD101" s="46"/>
      <c r="NYE101" s="46"/>
      <c r="NYF101" s="46"/>
      <c r="NYG101" s="46"/>
      <c r="NYH101" s="46"/>
      <c r="NYI101" s="46"/>
      <c r="NYJ101" s="46"/>
      <c r="NYK101" s="46"/>
      <c r="NYL101" s="46"/>
      <c r="NYM101" s="46"/>
      <c r="NYN101" s="46"/>
      <c r="NYO101" s="46"/>
      <c r="NYP101" s="46"/>
      <c r="NYQ101" s="46"/>
      <c r="NYR101" s="46"/>
      <c r="NYS101" s="46"/>
      <c r="NYT101" s="46"/>
      <c r="NYU101" s="46"/>
      <c r="NYV101" s="46"/>
      <c r="NYW101" s="46"/>
      <c r="NYX101" s="46"/>
      <c r="NYY101" s="46"/>
      <c r="NYZ101" s="46"/>
      <c r="NZA101" s="46"/>
      <c r="NZB101" s="46"/>
      <c r="NZC101" s="46"/>
      <c r="NZD101" s="46"/>
      <c r="NZE101" s="46"/>
      <c r="NZF101" s="46"/>
      <c r="NZG101" s="46"/>
      <c r="NZH101" s="46"/>
      <c r="NZI101" s="46"/>
      <c r="NZJ101" s="46"/>
      <c r="NZK101" s="46"/>
      <c r="NZL101" s="46"/>
      <c r="NZM101" s="46"/>
      <c r="NZN101" s="46"/>
      <c r="NZO101" s="46"/>
      <c r="NZP101" s="46"/>
      <c r="NZQ101" s="46"/>
      <c r="NZR101" s="46"/>
      <c r="NZS101" s="46"/>
      <c r="NZT101" s="46"/>
      <c r="NZU101" s="46"/>
      <c r="NZV101" s="46"/>
      <c r="NZW101" s="46"/>
      <c r="NZX101" s="46"/>
      <c r="NZY101" s="46"/>
      <c r="NZZ101" s="46"/>
      <c r="OAA101" s="46"/>
      <c r="OAB101" s="46"/>
      <c r="OAC101" s="46"/>
      <c r="OAD101" s="46"/>
      <c r="OAE101" s="46"/>
      <c r="OAF101" s="46"/>
      <c r="OAG101" s="46"/>
      <c r="OAH101" s="46"/>
      <c r="OAI101" s="46"/>
      <c r="OAJ101" s="46"/>
      <c r="OAK101" s="46"/>
      <c r="OAL101" s="46"/>
      <c r="OAM101" s="46"/>
      <c r="OAN101" s="46"/>
      <c r="OAO101" s="46"/>
      <c r="OAP101" s="46"/>
      <c r="OAQ101" s="46"/>
      <c r="OAR101" s="46"/>
      <c r="OAS101" s="46"/>
      <c r="OAT101" s="46"/>
      <c r="OAU101" s="46"/>
      <c r="OAV101" s="46"/>
      <c r="OAW101" s="46"/>
      <c r="OAX101" s="46"/>
      <c r="OAY101" s="46"/>
      <c r="OAZ101" s="46"/>
      <c r="OBA101" s="46"/>
      <c r="OBB101" s="46"/>
      <c r="OBC101" s="46"/>
      <c r="OBD101" s="46"/>
      <c r="OBE101" s="46"/>
      <c r="OBF101" s="46"/>
      <c r="OBG101" s="46"/>
      <c r="OBH101" s="46"/>
      <c r="OBI101" s="46"/>
      <c r="OBJ101" s="46"/>
      <c r="OBK101" s="46"/>
      <c r="OBL101" s="46"/>
      <c r="OBM101" s="46"/>
      <c r="OBN101" s="46"/>
      <c r="OBO101" s="46"/>
      <c r="OBP101" s="46"/>
      <c r="OBQ101" s="46"/>
      <c r="OBR101" s="46"/>
      <c r="OBS101" s="46"/>
      <c r="OBT101" s="46"/>
      <c r="OBU101" s="46"/>
      <c r="OBV101" s="46"/>
      <c r="OBW101" s="46"/>
      <c r="OBX101" s="46"/>
      <c r="OBY101" s="46"/>
      <c r="OBZ101" s="46"/>
      <c r="OCA101" s="46"/>
      <c r="OCB101" s="46"/>
      <c r="OCC101" s="46"/>
      <c r="OCD101" s="46"/>
      <c r="OCE101" s="46"/>
      <c r="OCF101" s="46"/>
      <c r="OCG101" s="46"/>
      <c r="OCH101" s="46"/>
      <c r="OCI101" s="46"/>
      <c r="OCJ101" s="46"/>
      <c r="OCK101" s="46"/>
      <c r="OCL101" s="46"/>
      <c r="OCM101" s="46"/>
      <c r="OCN101" s="46"/>
      <c r="OCO101" s="46"/>
      <c r="OCP101" s="46"/>
      <c r="OCQ101" s="46"/>
      <c r="OCR101" s="46"/>
      <c r="OCS101" s="46"/>
      <c r="OCT101" s="46"/>
      <c r="OCU101" s="46"/>
      <c r="OCV101" s="46"/>
      <c r="OCW101" s="46"/>
      <c r="OCX101" s="46"/>
      <c r="OCY101" s="46"/>
      <c r="OCZ101" s="46"/>
      <c r="ODA101" s="46"/>
      <c r="ODB101" s="46"/>
      <c r="ODC101" s="46"/>
      <c r="ODD101" s="46"/>
      <c r="ODE101" s="46"/>
      <c r="ODF101" s="46"/>
      <c r="ODG101" s="46"/>
      <c r="ODH101" s="46"/>
      <c r="ODI101" s="46"/>
      <c r="ODJ101" s="46"/>
      <c r="ODK101" s="46"/>
      <c r="ODL101" s="46"/>
      <c r="ODM101" s="46"/>
      <c r="ODN101" s="46"/>
      <c r="ODO101" s="46"/>
      <c r="ODP101" s="46"/>
      <c r="ODQ101" s="46"/>
      <c r="ODR101" s="46"/>
      <c r="ODS101" s="46"/>
      <c r="ODT101" s="46"/>
      <c r="ODU101" s="46"/>
      <c r="ODV101" s="46"/>
      <c r="ODW101" s="46"/>
      <c r="ODX101" s="46"/>
      <c r="ODY101" s="46"/>
      <c r="ODZ101" s="46"/>
      <c r="OEA101" s="46"/>
      <c r="OEB101" s="46"/>
      <c r="OEC101" s="46"/>
      <c r="OED101" s="46"/>
      <c r="OEE101" s="46"/>
      <c r="OEF101" s="46"/>
      <c r="OEG101" s="46"/>
      <c r="OEH101" s="46"/>
      <c r="OEI101" s="46"/>
      <c r="OEJ101" s="46"/>
      <c r="OEK101" s="46"/>
      <c r="OEL101" s="46"/>
      <c r="OEM101" s="46"/>
      <c r="OEN101" s="46"/>
      <c r="OEO101" s="46"/>
      <c r="OEP101" s="46"/>
      <c r="OEQ101" s="46"/>
      <c r="OER101" s="46"/>
      <c r="OES101" s="46"/>
      <c r="OET101" s="46"/>
      <c r="OEU101" s="46"/>
      <c r="OEV101" s="46"/>
      <c r="OEW101" s="46"/>
      <c r="OEX101" s="46"/>
      <c r="OEY101" s="46"/>
      <c r="OEZ101" s="46"/>
      <c r="OFA101" s="46"/>
      <c r="OFB101" s="46"/>
      <c r="OFC101" s="46"/>
      <c r="OFD101" s="46"/>
      <c r="OFE101" s="46"/>
      <c r="OFF101" s="46"/>
      <c r="OFG101" s="46"/>
      <c r="OFH101" s="46"/>
      <c r="OFI101" s="46"/>
      <c r="OFJ101" s="46"/>
      <c r="OFK101" s="46"/>
      <c r="OFL101" s="46"/>
      <c r="OFM101" s="46"/>
      <c r="OFN101" s="46"/>
      <c r="OFO101" s="46"/>
      <c r="OFP101" s="46"/>
      <c r="OFQ101" s="46"/>
      <c r="OFR101" s="46"/>
      <c r="OFS101" s="46"/>
      <c r="OFT101" s="46"/>
      <c r="OFU101" s="46"/>
      <c r="OFV101" s="46"/>
      <c r="OFW101" s="46"/>
      <c r="OFX101" s="46"/>
      <c r="OFY101" s="46"/>
      <c r="OFZ101" s="46"/>
      <c r="OGA101" s="46"/>
      <c r="OGB101" s="46"/>
      <c r="OGC101" s="46"/>
      <c r="OGD101" s="46"/>
      <c r="OGE101" s="46"/>
      <c r="OGF101" s="46"/>
      <c r="OGG101" s="46"/>
      <c r="OGH101" s="46"/>
      <c r="OGI101" s="46"/>
      <c r="OGJ101" s="46"/>
      <c r="OGK101" s="46"/>
      <c r="OGL101" s="46"/>
      <c r="OGM101" s="46"/>
      <c r="OGN101" s="46"/>
      <c r="OGO101" s="46"/>
      <c r="OGP101" s="46"/>
      <c r="OGQ101" s="46"/>
      <c r="OGR101" s="46"/>
      <c r="OGS101" s="46"/>
      <c r="OGT101" s="46"/>
      <c r="OGU101" s="46"/>
      <c r="OGV101" s="46"/>
      <c r="OGW101" s="46"/>
      <c r="OGX101" s="46"/>
      <c r="OGY101" s="46"/>
      <c r="OGZ101" s="46"/>
      <c r="OHA101" s="46"/>
      <c r="OHB101" s="46"/>
      <c r="OHC101" s="46"/>
      <c r="OHD101" s="46"/>
      <c r="OHE101" s="46"/>
      <c r="OHF101" s="46"/>
      <c r="OHG101" s="46"/>
      <c r="OHH101" s="46"/>
      <c r="OHI101" s="46"/>
      <c r="OHJ101" s="46"/>
      <c r="OHK101" s="46"/>
      <c r="OHL101" s="46"/>
      <c r="OHM101" s="46"/>
      <c r="OHN101" s="46"/>
      <c r="OHO101" s="46"/>
      <c r="OHP101" s="46"/>
      <c r="OHQ101" s="46"/>
      <c r="OHR101" s="46"/>
      <c r="OHS101" s="46"/>
      <c r="OHT101" s="46"/>
      <c r="OHU101" s="46"/>
      <c r="OHV101" s="46"/>
      <c r="OHW101" s="46"/>
      <c r="OHX101" s="46"/>
      <c r="OHY101" s="46"/>
      <c r="OHZ101" s="46"/>
      <c r="OIA101" s="46"/>
      <c r="OIB101" s="46"/>
      <c r="OIC101" s="46"/>
      <c r="OID101" s="46"/>
      <c r="OIE101" s="46"/>
      <c r="OIF101" s="46"/>
      <c r="OIG101" s="46"/>
      <c r="OIH101" s="46"/>
      <c r="OII101" s="46"/>
      <c r="OIJ101" s="46"/>
      <c r="OIK101" s="46"/>
      <c r="OIL101" s="46"/>
      <c r="OIM101" s="46"/>
      <c r="OIN101" s="46"/>
      <c r="OIO101" s="46"/>
      <c r="OIP101" s="46"/>
      <c r="OIQ101" s="46"/>
      <c r="OIR101" s="46"/>
      <c r="OIS101" s="46"/>
      <c r="OIT101" s="46"/>
      <c r="OIU101" s="46"/>
      <c r="OIV101" s="46"/>
      <c r="OIW101" s="46"/>
      <c r="OIX101" s="46"/>
      <c r="OIY101" s="46"/>
      <c r="OIZ101" s="46"/>
      <c r="OJA101" s="46"/>
      <c r="OJB101" s="46"/>
      <c r="OJC101" s="46"/>
      <c r="OJD101" s="46"/>
      <c r="OJE101" s="46"/>
      <c r="OJF101" s="46"/>
      <c r="OJG101" s="46"/>
      <c r="OJH101" s="46"/>
      <c r="OJI101" s="46"/>
      <c r="OJJ101" s="46"/>
      <c r="OJK101" s="46"/>
      <c r="OJL101" s="46"/>
      <c r="OJM101" s="46"/>
      <c r="OJN101" s="46"/>
      <c r="OJO101" s="46"/>
      <c r="OJP101" s="46"/>
      <c r="OJQ101" s="46"/>
      <c r="OJR101" s="46"/>
      <c r="OJS101" s="46"/>
      <c r="OJT101" s="46"/>
      <c r="OJU101" s="46"/>
      <c r="OJV101" s="46"/>
      <c r="OJW101" s="46"/>
      <c r="OJX101" s="46"/>
      <c r="OJY101" s="46"/>
      <c r="OJZ101" s="46"/>
      <c r="OKA101" s="46"/>
      <c r="OKB101" s="46"/>
      <c r="OKC101" s="46"/>
      <c r="OKD101" s="46"/>
      <c r="OKE101" s="46"/>
      <c r="OKF101" s="46"/>
      <c r="OKG101" s="46"/>
      <c r="OKH101" s="46"/>
      <c r="OKI101" s="46"/>
      <c r="OKJ101" s="46"/>
      <c r="OKK101" s="46"/>
      <c r="OKL101" s="46"/>
      <c r="OKM101" s="46"/>
      <c r="OKN101" s="46"/>
      <c r="OKO101" s="46"/>
      <c r="OKP101" s="46"/>
      <c r="OKQ101" s="46"/>
      <c r="OKR101" s="46"/>
      <c r="OKS101" s="46"/>
      <c r="OKT101" s="46"/>
      <c r="OKU101" s="46"/>
      <c r="OKV101" s="46"/>
      <c r="OKW101" s="46"/>
      <c r="OKX101" s="46"/>
      <c r="OKY101" s="46"/>
      <c r="OKZ101" s="46"/>
      <c r="OLA101" s="46"/>
      <c r="OLB101" s="46"/>
      <c r="OLC101" s="46"/>
      <c r="OLD101" s="46"/>
      <c r="OLE101" s="46"/>
      <c r="OLF101" s="46"/>
      <c r="OLG101" s="46"/>
      <c r="OLH101" s="46"/>
      <c r="OLI101" s="46"/>
      <c r="OLJ101" s="46"/>
      <c r="OLK101" s="46"/>
      <c r="OLL101" s="46"/>
      <c r="OLM101" s="46"/>
      <c r="OLN101" s="46"/>
      <c r="OLO101" s="46"/>
      <c r="OLP101" s="46"/>
      <c r="OLQ101" s="46"/>
      <c r="OLR101" s="46"/>
      <c r="OLS101" s="46"/>
      <c r="OLT101" s="46"/>
      <c r="OLU101" s="46"/>
      <c r="OLV101" s="46"/>
      <c r="OLW101" s="46"/>
      <c r="OLX101" s="46"/>
      <c r="OLY101" s="46"/>
      <c r="OLZ101" s="46"/>
      <c r="OMA101" s="46"/>
      <c r="OMB101" s="46"/>
      <c r="OMC101" s="46"/>
      <c r="OMD101" s="46"/>
      <c r="OME101" s="46"/>
      <c r="OMF101" s="46"/>
      <c r="OMG101" s="46"/>
      <c r="OMH101" s="46"/>
      <c r="OMI101" s="46"/>
      <c r="OMJ101" s="46"/>
      <c r="OMK101" s="46"/>
      <c r="OML101" s="46"/>
      <c r="OMM101" s="46"/>
      <c r="OMN101" s="46"/>
      <c r="OMO101" s="46"/>
      <c r="OMP101" s="46"/>
      <c r="OMQ101" s="46"/>
      <c r="OMR101" s="46"/>
      <c r="OMS101" s="46"/>
      <c r="OMT101" s="46"/>
      <c r="OMU101" s="46"/>
      <c r="OMV101" s="46"/>
      <c r="OMW101" s="46"/>
      <c r="OMX101" s="46"/>
      <c r="OMY101" s="46"/>
      <c r="OMZ101" s="46"/>
      <c r="ONA101" s="46"/>
      <c r="ONB101" s="46"/>
      <c r="ONC101" s="46"/>
      <c r="OND101" s="46"/>
      <c r="ONE101" s="46"/>
      <c r="ONF101" s="46"/>
      <c r="ONG101" s="46"/>
      <c r="ONH101" s="46"/>
      <c r="ONI101" s="46"/>
      <c r="ONJ101" s="46"/>
      <c r="ONK101" s="46"/>
      <c r="ONL101" s="46"/>
      <c r="ONM101" s="46"/>
      <c r="ONN101" s="46"/>
      <c r="ONO101" s="46"/>
      <c r="ONP101" s="46"/>
      <c r="ONQ101" s="46"/>
      <c r="ONR101" s="46"/>
      <c r="ONS101" s="46"/>
      <c r="ONT101" s="46"/>
      <c r="ONU101" s="46"/>
      <c r="ONV101" s="46"/>
      <c r="ONW101" s="46"/>
      <c r="ONX101" s="46"/>
      <c r="ONY101" s="46"/>
      <c r="ONZ101" s="46"/>
      <c r="OOA101" s="46"/>
      <c r="OOB101" s="46"/>
      <c r="OOC101" s="46"/>
      <c r="OOD101" s="46"/>
      <c r="OOE101" s="46"/>
      <c r="OOF101" s="46"/>
      <c r="OOG101" s="46"/>
      <c r="OOH101" s="46"/>
      <c r="OOI101" s="46"/>
      <c r="OOJ101" s="46"/>
      <c r="OOK101" s="46"/>
      <c r="OOL101" s="46"/>
      <c r="OOM101" s="46"/>
      <c r="OON101" s="46"/>
      <c r="OOO101" s="46"/>
      <c r="OOP101" s="46"/>
      <c r="OOQ101" s="46"/>
      <c r="OOR101" s="46"/>
      <c r="OOS101" s="46"/>
      <c r="OOT101" s="46"/>
      <c r="OOU101" s="46"/>
      <c r="OOV101" s="46"/>
      <c r="OOW101" s="46"/>
      <c r="OOX101" s="46"/>
      <c r="OOY101" s="46"/>
      <c r="OOZ101" s="46"/>
      <c r="OPA101" s="46"/>
      <c r="OPB101" s="46"/>
      <c r="OPC101" s="46"/>
      <c r="OPD101" s="46"/>
      <c r="OPE101" s="46"/>
      <c r="OPF101" s="46"/>
      <c r="OPG101" s="46"/>
      <c r="OPH101" s="46"/>
      <c r="OPI101" s="46"/>
      <c r="OPJ101" s="46"/>
      <c r="OPK101" s="46"/>
      <c r="OPL101" s="46"/>
      <c r="OPM101" s="46"/>
      <c r="OPN101" s="46"/>
      <c r="OPO101" s="46"/>
      <c r="OPP101" s="46"/>
      <c r="OPQ101" s="46"/>
      <c r="OPR101" s="46"/>
      <c r="OPS101" s="46"/>
      <c r="OPT101" s="46"/>
      <c r="OPU101" s="46"/>
      <c r="OPV101" s="46"/>
      <c r="OPW101" s="46"/>
      <c r="OPX101" s="46"/>
      <c r="OPY101" s="46"/>
      <c r="OPZ101" s="46"/>
      <c r="OQA101" s="46"/>
      <c r="OQB101" s="46"/>
      <c r="OQC101" s="46"/>
      <c r="OQD101" s="46"/>
      <c r="OQE101" s="46"/>
      <c r="OQF101" s="46"/>
      <c r="OQG101" s="46"/>
      <c r="OQH101" s="46"/>
      <c r="OQI101" s="46"/>
      <c r="OQJ101" s="46"/>
      <c r="OQK101" s="46"/>
      <c r="OQL101" s="46"/>
      <c r="OQM101" s="46"/>
      <c r="OQN101" s="46"/>
      <c r="OQO101" s="46"/>
      <c r="OQP101" s="46"/>
      <c r="OQQ101" s="46"/>
      <c r="OQR101" s="46"/>
      <c r="OQS101" s="46"/>
      <c r="OQT101" s="46"/>
      <c r="OQU101" s="46"/>
      <c r="OQV101" s="46"/>
      <c r="OQW101" s="46"/>
      <c r="OQX101" s="46"/>
      <c r="OQY101" s="46"/>
      <c r="OQZ101" s="46"/>
      <c r="ORA101" s="46"/>
      <c r="ORB101" s="46"/>
      <c r="ORC101" s="46"/>
      <c r="ORD101" s="46"/>
      <c r="ORE101" s="46"/>
      <c r="ORF101" s="46"/>
      <c r="ORG101" s="46"/>
      <c r="ORH101" s="46"/>
      <c r="ORI101" s="46"/>
      <c r="ORJ101" s="46"/>
      <c r="ORK101" s="46"/>
      <c r="ORL101" s="46"/>
      <c r="ORM101" s="46"/>
      <c r="ORN101" s="46"/>
      <c r="ORO101" s="46"/>
      <c r="ORP101" s="46"/>
      <c r="ORQ101" s="46"/>
      <c r="ORR101" s="46"/>
      <c r="ORS101" s="46"/>
      <c r="ORT101" s="46"/>
      <c r="ORU101" s="46"/>
      <c r="ORV101" s="46"/>
      <c r="ORW101" s="46"/>
      <c r="ORX101" s="46"/>
      <c r="ORY101" s="46"/>
      <c r="ORZ101" s="46"/>
      <c r="OSA101" s="46"/>
      <c r="OSB101" s="46"/>
      <c r="OSC101" s="46"/>
      <c r="OSD101" s="46"/>
      <c r="OSE101" s="46"/>
      <c r="OSF101" s="46"/>
      <c r="OSG101" s="46"/>
      <c r="OSH101" s="46"/>
      <c r="OSI101" s="46"/>
      <c r="OSJ101" s="46"/>
      <c r="OSK101" s="46"/>
      <c r="OSL101" s="46"/>
      <c r="OSM101" s="46"/>
      <c r="OSN101" s="46"/>
      <c r="OSO101" s="46"/>
      <c r="OSP101" s="46"/>
      <c r="OSQ101" s="46"/>
      <c r="OSR101" s="46"/>
      <c r="OSS101" s="46"/>
      <c r="OST101" s="46"/>
      <c r="OSU101" s="46"/>
      <c r="OSV101" s="46"/>
      <c r="OSW101" s="46"/>
      <c r="OSX101" s="46"/>
      <c r="OSY101" s="46"/>
      <c r="OSZ101" s="46"/>
      <c r="OTA101" s="46"/>
      <c r="OTB101" s="46"/>
      <c r="OTC101" s="46"/>
      <c r="OTD101" s="46"/>
      <c r="OTE101" s="46"/>
      <c r="OTF101" s="46"/>
      <c r="OTG101" s="46"/>
      <c r="OTH101" s="46"/>
      <c r="OTI101" s="46"/>
      <c r="OTJ101" s="46"/>
      <c r="OTK101" s="46"/>
      <c r="OTL101" s="46"/>
      <c r="OTM101" s="46"/>
      <c r="OTN101" s="46"/>
      <c r="OTO101" s="46"/>
      <c r="OTP101" s="46"/>
      <c r="OTQ101" s="46"/>
      <c r="OTR101" s="46"/>
      <c r="OTS101" s="46"/>
      <c r="OTT101" s="46"/>
      <c r="OTU101" s="46"/>
      <c r="OTV101" s="46"/>
      <c r="OTW101" s="46"/>
      <c r="OTX101" s="46"/>
      <c r="OTY101" s="46"/>
      <c r="OTZ101" s="46"/>
      <c r="OUA101" s="46"/>
      <c r="OUB101" s="46"/>
      <c r="OUC101" s="46"/>
      <c r="OUD101" s="46"/>
      <c r="OUE101" s="46"/>
      <c r="OUF101" s="46"/>
      <c r="OUG101" s="46"/>
      <c r="OUH101" s="46"/>
      <c r="OUI101" s="46"/>
      <c r="OUJ101" s="46"/>
      <c r="OUK101" s="46"/>
      <c r="OUL101" s="46"/>
      <c r="OUM101" s="46"/>
      <c r="OUN101" s="46"/>
      <c r="OUO101" s="46"/>
      <c r="OUP101" s="46"/>
      <c r="OUQ101" s="46"/>
      <c r="OUR101" s="46"/>
      <c r="OUS101" s="46"/>
      <c r="OUT101" s="46"/>
      <c r="OUU101" s="46"/>
      <c r="OUV101" s="46"/>
      <c r="OUW101" s="46"/>
      <c r="OUX101" s="46"/>
      <c r="OUY101" s="46"/>
      <c r="OUZ101" s="46"/>
      <c r="OVA101" s="46"/>
      <c r="OVB101" s="46"/>
      <c r="OVC101" s="46"/>
      <c r="OVD101" s="46"/>
      <c r="OVE101" s="46"/>
      <c r="OVF101" s="46"/>
      <c r="OVG101" s="46"/>
      <c r="OVH101" s="46"/>
      <c r="OVI101" s="46"/>
      <c r="OVJ101" s="46"/>
      <c r="OVK101" s="46"/>
      <c r="OVL101" s="46"/>
      <c r="OVM101" s="46"/>
      <c r="OVN101" s="46"/>
      <c r="OVO101" s="46"/>
      <c r="OVP101" s="46"/>
      <c r="OVQ101" s="46"/>
      <c r="OVR101" s="46"/>
      <c r="OVS101" s="46"/>
      <c r="OVT101" s="46"/>
      <c r="OVU101" s="46"/>
      <c r="OVV101" s="46"/>
      <c r="OVW101" s="46"/>
      <c r="OVX101" s="46"/>
      <c r="OVY101" s="46"/>
      <c r="OVZ101" s="46"/>
      <c r="OWA101" s="46"/>
      <c r="OWB101" s="46"/>
      <c r="OWC101" s="46"/>
      <c r="OWD101" s="46"/>
      <c r="OWE101" s="46"/>
      <c r="OWF101" s="46"/>
      <c r="OWG101" s="46"/>
      <c r="OWH101" s="46"/>
      <c r="OWI101" s="46"/>
      <c r="OWJ101" s="46"/>
      <c r="OWK101" s="46"/>
      <c r="OWL101" s="46"/>
      <c r="OWM101" s="46"/>
      <c r="OWN101" s="46"/>
      <c r="OWO101" s="46"/>
      <c r="OWP101" s="46"/>
      <c r="OWQ101" s="46"/>
      <c r="OWR101" s="46"/>
      <c r="OWS101" s="46"/>
      <c r="OWT101" s="46"/>
      <c r="OWU101" s="46"/>
      <c r="OWV101" s="46"/>
      <c r="OWW101" s="46"/>
      <c r="OWX101" s="46"/>
      <c r="OWY101" s="46"/>
      <c r="OWZ101" s="46"/>
      <c r="OXA101" s="46"/>
      <c r="OXB101" s="46"/>
      <c r="OXC101" s="46"/>
      <c r="OXD101" s="46"/>
      <c r="OXE101" s="46"/>
      <c r="OXF101" s="46"/>
      <c r="OXG101" s="46"/>
      <c r="OXH101" s="46"/>
      <c r="OXI101" s="46"/>
      <c r="OXJ101" s="46"/>
      <c r="OXK101" s="46"/>
      <c r="OXL101" s="46"/>
      <c r="OXM101" s="46"/>
      <c r="OXN101" s="46"/>
      <c r="OXO101" s="46"/>
      <c r="OXP101" s="46"/>
      <c r="OXQ101" s="46"/>
      <c r="OXR101" s="46"/>
      <c r="OXS101" s="46"/>
      <c r="OXT101" s="46"/>
      <c r="OXU101" s="46"/>
      <c r="OXV101" s="46"/>
      <c r="OXW101" s="46"/>
      <c r="OXX101" s="46"/>
      <c r="OXY101" s="46"/>
      <c r="OXZ101" s="46"/>
      <c r="OYA101" s="46"/>
      <c r="OYB101" s="46"/>
      <c r="OYC101" s="46"/>
      <c r="OYD101" s="46"/>
      <c r="OYE101" s="46"/>
      <c r="OYF101" s="46"/>
      <c r="OYG101" s="46"/>
      <c r="OYH101" s="46"/>
      <c r="OYI101" s="46"/>
      <c r="OYJ101" s="46"/>
      <c r="OYK101" s="46"/>
      <c r="OYL101" s="46"/>
      <c r="OYM101" s="46"/>
      <c r="OYN101" s="46"/>
      <c r="OYO101" s="46"/>
      <c r="OYP101" s="46"/>
      <c r="OYQ101" s="46"/>
      <c r="OYR101" s="46"/>
      <c r="OYS101" s="46"/>
      <c r="OYT101" s="46"/>
      <c r="OYU101" s="46"/>
      <c r="OYV101" s="46"/>
      <c r="OYW101" s="46"/>
      <c r="OYX101" s="46"/>
      <c r="OYY101" s="46"/>
      <c r="OYZ101" s="46"/>
      <c r="OZA101" s="46"/>
      <c r="OZB101" s="46"/>
      <c r="OZC101" s="46"/>
      <c r="OZD101" s="46"/>
      <c r="OZE101" s="46"/>
      <c r="OZF101" s="46"/>
      <c r="OZG101" s="46"/>
      <c r="OZH101" s="46"/>
      <c r="OZI101" s="46"/>
      <c r="OZJ101" s="46"/>
      <c r="OZK101" s="46"/>
      <c r="OZL101" s="46"/>
      <c r="OZM101" s="46"/>
      <c r="OZN101" s="46"/>
      <c r="OZO101" s="46"/>
      <c r="OZP101" s="46"/>
      <c r="OZQ101" s="46"/>
      <c r="OZR101" s="46"/>
      <c r="OZS101" s="46"/>
      <c r="OZT101" s="46"/>
      <c r="OZU101" s="46"/>
      <c r="OZV101" s="46"/>
      <c r="OZW101" s="46"/>
      <c r="OZX101" s="46"/>
      <c r="OZY101" s="46"/>
      <c r="OZZ101" s="46"/>
      <c r="PAA101" s="46"/>
      <c r="PAB101" s="46"/>
      <c r="PAC101" s="46"/>
      <c r="PAD101" s="46"/>
      <c r="PAE101" s="46"/>
      <c r="PAF101" s="46"/>
      <c r="PAG101" s="46"/>
      <c r="PAH101" s="46"/>
      <c r="PAI101" s="46"/>
      <c r="PAJ101" s="46"/>
      <c r="PAK101" s="46"/>
      <c r="PAL101" s="46"/>
      <c r="PAM101" s="46"/>
      <c r="PAN101" s="46"/>
      <c r="PAO101" s="46"/>
      <c r="PAP101" s="46"/>
      <c r="PAQ101" s="46"/>
      <c r="PAR101" s="46"/>
      <c r="PAS101" s="46"/>
      <c r="PAT101" s="46"/>
      <c r="PAU101" s="46"/>
      <c r="PAV101" s="46"/>
      <c r="PAW101" s="46"/>
      <c r="PAX101" s="46"/>
      <c r="PAY101" s="46"/>
      <c r="PAZ101" s="46"/>
      <c r="PBA101" s="46"/>
      <c r="PBB101" s="46"/>
      <c r="PBC101" s="46"/>
      <c r="PBD101" s="46"/>
      <c r="PBE101" s="46"/>
      <c r="PBF101" s="46"/>
      <c r="PBG101" s="46"/>
      <c r="PBH101" s="46"/>
      <c r="PBI101" s="46"/>
      <c r="PBJ101" s="46"/>
      <c r="PBK101" s="46"/>
      <c r="PBL101" s="46"/>
      <c r="PBM101" s="46"/>
      <c r="PBN101" s="46"/>
      <c r="PBO101" s="46"/>
      <c r="PBP101" s="46"/>
      <c r="PBQ101" s="46"/>
      <c r="PBR101" s="46"/>
      <c r="PBS101" s="46"/>
      <c r="PBT101" s="46"/>
      <c r="PBU101" s="46"/>
      <c r="PBV101" s="46"/>
      <c r="PBW101" s="46"/>
      <c r="PBX101" s="46"/>
      <c r="PBY101" s="46"/>
      <c r="PBZ101" s="46"/>
      <c r="PCA101" s="46"/>
      <c r="PCB101" s="46"/>
      <c r="PCC101" s="46"/>
      <c r="PCD101" s="46"/>
      <c r="PCE101" s="46"/>
      <c r="PCF101" s="46"/>
      <c r="PCG101" s="46"/>
      <c r="PCH101" s="46"/>
      <c r="PCI101" s="46"/>
      <c r="PCJ101" s="46"/>
      <c r="PCK101" s="46"/>
      <c r="PCL101" s="46"/>
      <c r="PCM101" s="46"/>
      <c r="PCN101" s="46"/>
      <c r="PCO101" s="46"/>
      <c r="PCP101" s="46"/>
      <c r="PCQ101" s="46"/>
      <c r="PCR101" s="46"/>
      <c r="PCS101" s="46"/>
      <c r="PCT101" s="46"/>
      <c r="PCU101" s="46"/>
      <c r="PCV101" s="46"/>
      <c r="PCW101" s="46"/>
      <c r="PCX101" s="46"/>
      <c r="PCY101" s="46"/>
      <c r="PCZ101" s="46"/>
      <c r="PDA101" s="46"/>
      <c r="PDB101" s="46"/>
      <c r="PDC101" s="46"/>
      <c r="PDD101" s="46"/>
      <c r="PDE101" s="46"/>
      <c r="PDF101" s="46"/>
      <c r="PDG101" s="46"/>
      <c r="PDH101" s="46"/>
      <c r="PDI101" s="46"/>
      <c r="PDJ101" s="46"/>
      <c r="PDK101" s="46"/>
      <c r="PDL101" s="46"/>
      <c r="PDM101" s="46"/>
      <c r="PDN101" s="46"/>
      <c r="PDO101" s="46"/>
      <c r="PDP101" s="46"/>
      <c r="PDQ101" s="46"/>
      <c r="PDR101" s="46"/>
      <c r="PDS101" s="46"/>
      <c r="PDT101" s="46"/>
      <c r="PDU101" s="46"/>
      <c r="PDV101" s="46"/>
      <c r="PDW101" s="46"/>
      <c r="PDX101" s="46"/>
      <c r="PDY101" s="46"/>
      <c r="PDZ101" s="46"/>
      <c r="PEA101" s="46"/>
      <c r="PEB101" s="46"/>
      <c r="PEC101" s="46"/>
      <c r="PED101" s="46"/>
      <c r="PEE101" s="46"/>
      <c r="PEF101" s="46"/>
      <c r="PEG101" s="46"/>
      <c r="PEH101" s="46"/>
      <c r="PEI101" s="46"/>
      <c r="PEJ101" s="46"/>
      <c r="PEK101" s="46"/>
      <c r="PEL101" s="46"/>
      <c r="PEM101" s="46"/>
      <c r="PEN101" s="46"/>
      <c r="PEO101" s="46"/>
      <c r="PEP101" s="46"/>
      <c r="PEQ101" s="46"/>
      <c r="PER101" s="46"/>
      <c r="PES101" s="46"/>
      <c r="PET101" s="46"/>
      <c r="PEU101" s="46"/>
      <c r="PEV101" s="46"/>
      <c r="PEW101" s="46"/>
      <c r="PEX101" s="46"/>
      <c r="PEY101" s="46"/>
      <c r="PEZ101" s="46"/>
      <c r="PFA101" s="46"/>
      <c r="PFB101" s="46"/>
      <c r="PFC101" s="46"/>
      <c r="PFD101" s="46"/>
      <c r="PFE101" s="46"/>
      <c r="PFF101" s="46"/>
      <c r="PFG101" s="46"/>
      <c r="PFH101" s="46"/>
      <c r="PFI101" s="46"/>
      <c r="PFJ101" s="46"/>
      <c r="PFK101" s="46"/>
      <c r="PFL101" s="46"/>
      <c r="PFM101" s="46"/>
      <c r="PFN101" s="46"/>
      <c r="PFO101" s="46"/>
      <c r="PFP101" s="46"/>
      <c r="PFQ101" s="46"/>
      <c r="PFR101" s="46"/>
      <c r="PFS101" s="46"/>
      <c r="PFT101" s="46"/>
      <c r="PFU101" s="46"/>
      <c r="PFV101" s="46"/>
      <c r="PFW101" s="46"/>
      <c r="PFX101" s="46"/>
      <c r="PFY101" s="46"/>
      <c r="PFZ101" s="46"/>
      <c r="PGA101" s="46"/>
      <c r="PGB101" s="46"/>
      <c r="PGC101" s="46"/>
      <c r="PGD101" s="46"/>
      <c r="PGE101" s="46"/>
      <c r="PGF101" s="46"/>
      <c r="PGG101" s="46"/>
      <c r="PGH101" s="46"/>
      <c r="PGI101" s="46"/>
      <c r="PGJ101" s="46"/>
      <c r="PGK101" s="46"/>
      <c r="PGL101" s="46"/>
      <c r="PGM101" s="46"/>
      <c r="PGN101" s="46"/>
      <c r="PGO101" s="46"/>
      <c r="PGP101" s="46"/>
      <c r="PGQ101" s="46"/>
      <c r="PGR101" s="46"/>
      <c r="PGS101" s="46"/>
      <c r="PGT101" s="46"/>
      <c r="PGU101" s="46"/>
      <c r="PGV101" s="46"/>
      <c r="PGW101" s="46"/>
      <c r="PGX101" s="46"/>
      <c r="PGY101" s="46"/>
      <c r="PGZ101" s="46"/>
      <c r="PHA101" s="46"/>
      <c r="PHB101" s="46"/>
      <c r="PHC101" s="46"/>
      <c r="PHD101" s="46"/>
      <c r="PHE101" s="46"/>
      <c r="PHF101" s="46"/>
      <c r="PHG101" s="46"/>
      <c r="PHH101" s="46"/>
      <c r="PHI101" s="46"/>
      <c r="PHJ101" s="46"/>
      <c r="PHK101" s="46"/>
      <c r="PHL101" s="46"/>
      <c r="PHM101" s="46"/>
      <c r="PHN101" s="46"/>
      <c r="PHO101" s="46"/>
      <c r="PHP101" s="46"/>
      <c r="PHQ101" s="46"/>
      <c r="PHR101" s="46"/>
      <c r="PHS101" s="46"/>
      <c r="PHT101" s="46"/>
      <c r="PHU101" s="46"/>
      <c r="PHV101" s="46"/>
      <c r="PHW101" s="46"/>
      <c r="PHX101" s="46"/>
      <c r="PHY101" s="46"/>
      <c r="PHZ101" s="46"/>
      <c r="PIA101" s="46"/>
      <c r="PIB101" s="46"/>
      <c r="PIC101" s="46"/>
      <c r="PID101" s="46"/>
      <c r="PIE101" s="46"/>
      <c r="PIF101" s="46"/>
      <c r="PIG101" s="46"/>
      <c r="PIH101" s="46"/>
      <c r="PII101" s="46"/>
      <c r="PIJ101" s="46"/>
      <c r="PIK101" s="46"/>
      <c r="PIL101" s="46"/>
      <c r="PIM101" s="46"/>
      <c r="PIN101" s="46"/>
      <c r="PIO101" s="46"/>
      <c r="PIP101" s="46"/>
      <c r="PIQ101" s="46"/>
      <c r="PIR101" s="46"/>
      <c r="PIS101" s="46"/>
      <c r="PIT101" s="46"/>
      <c r="PIU101" s="46"/>
      <c r="PIV101" s="46"/>
      <c r="PIW101" s="46"/>
      <c r="PIX101" s="46"/>
      <c r="PIY101" s="46"/>
      <c r="PIZ101" s="46"/>
      <c r="PJA101" s="46"/>
      <c r="PJB101" s="46"/>
      <c r="PJC101" s="46"/>
      <c r="PJD101" s="46"/>
      <c r="PJE101" s="46"/>
      <c r="PJF101" s="46"/>
      <c r="PJG101" s="46"/>
      <c r="PJH101" s="46"/>
      <c r="PJI101" s="46"/>
      <c r="PJJ101" s="46"/>
      <c r="PJK101" s="46"/>
      <c r="PJL101" s="46"/>
      <c r="PJM101" s="46"/>
      <c r="PJN101" s="46"/>
      <c r="PJO101" s="46"/>
      <c r="PJP101" s="46"/>
      <c r="PJQ101" s="46"/>
      <c r="PJR101" s="46"/>
      <c r="PJS101" s="46"/>
      <c r="PJT101" s="46"/>
      <c r="PJU101" s="46"/>
      <c r="PJV101" s="46"/>
      <c r="PJW101" s="46"/>
      <c r="PJX101" s="46"/>
      <c r="PJY101" s="46"/>
      <c r="PJZ101" s="46"/>
      <c r="PKA101" s="46"/>
      <c r="PKB101" s="46"/>
      <c r="PKC101" s="46"/>
      <c r="PKD101" s="46"/>
      <c r="PKE101" s="46"/>
      <c r="PKF101" s="46"/>
      <c r="PKG101" s="46"/>
      <c r="PKH101" s="46"/>
      <c r="PKI101" s="46"/>
      <c r="PKJ101" s="46"/>
      <c r="PKK101" s="46"/>
      <c r="PKL101" s="46"/>
      <c r="PKM101" s="46"/>
      <c r="PKN101" s="46"/>
      <c r="PKO101" s="46"/>
      <c r="PKP101" s="46"/>
      <c r="PKQ101" s="46"/>
      <c r="PKR101" s="46"/>
      <c r="PKS101" s="46"/>
      <c r="PKT101" s="46"/>
      <c r="PKU101" s="46"/>
      <c r="PKV101" s="46"/>
      <c r="PKW101" s="46"/>
      <c r="PKX101" s="46"/>
      <c r="PKY101" s="46"/>
      <c r="PKZ101" s="46"/>
      <c r="PLA101" s="46"/>
      <c r="PLB101" s="46"/>
      <c r="PLC101" s="46"/>
      <c r="PLD101" s="46"/>
      <c r="PLE101" s="46"/>
      <c r="PLF101" s="46"/>
      <c r="PLG101" s="46"/>
      <c r="PLH101" s="46"/>
      <c r="PLI101" s="46"/>
      <c r="PLJ101" s="46"/>
      <c r="PLK101" s="46"/>
      <c r="PLL101" s="46"/>
      <c r="PLM101" s="46"/>
      <c r="PLN101" s="46"/>
      <c r="PLO101" s="46"/>
      <c r="PLP101" s="46"/>
      <c r="PLQ101" s="46"/>
      <c r="PLR101" s="46"/>
      <c r="PLS101" s="46"/>
      <c r="PLT101" s="46"/>
      <c r="PLU101" s="46"/>
      <c r="PLV101" s="46"/>
      <c r="PLW101" s="46"/>
      <c r="PLX101" s="46"/>
      <c r="PLY101" s="46"/>
      <c r="PLZ101" s="46"/>
      <c r="PMA101" s="46"/>
      <c r="PMB101" s="46"/>
      <c r="PMC101" s="46"/>
      <c r="PMD101" s="46"/>
      <c r="PME101" s="46"/>
      <c r="PMF101" s="46"/>
      <c r="PMG101" s="46"/>
      <c r="PMH101" s="46"/>
      <c r="PMI101" s="46"/>
      <c r="PMJ101" s="46"/>
      <c r="PMK101" s="46"/>
      <c r="PML101" s="46"/>
      <c r="PMM101" s="46"/>
      <c r="PMN101" s="46"/>
      <c r="PMO101" s="46"/>
      <c r="PMP101" s="46"/>
      <c r="PMQ101" s="46"/>
      <c r="PMR101" s="46"/>
      <c r="PMS101" s="46"/>
      <c r="PMT101" s="46"/>
      <c r="PMU101" s="46"/>
      <c r="PMV101" s="46"/>
      <c r="PMW101" s="46"/>
      <c r="PMX101" s="46"/>
      <c r="PMY101" s="46"/>
      <c r="PMZ101" s="46"/>
      <c r="PNA101" s="46"/>
      <c r="PNB101" s="46"/>
      <c r="PNC101" s="46"/>
      <c r="PND101" s="46"/>
      <c r="PNE101" s="46"/>
      <c r="PNF101" s="46"/>
      <c r="PNG101" s="46"/>
      <c r="PNH101" s="46"/>
      <c r="PNI101" s="46"/>
      <c r="PNJ101" s="46"/>
      <c r="PNK101" s="46"/>
      <c r="PNL101" s="46"/>
      <c r="PNM101" s="46"/>
      <c r="PNN101" s="46"/>
      <c r="PNO101" s="46"/>
      <c r="PNP101" s="46"/>
      <c r="PNQ101" s="46"/>
      <c r="PNR101" s="46"/>
      <c r="PNS101" s="46"/>
      <c r="PNT101" s="46"/>
      <c r="PNU101" s="46"/>
      <c r="PNV101" s="46"/>
      <c r="PNW101" s="46"/>
      <c r="PNX101" s="46"/>
      <c r="PNY101" s="46"/>
      <c r="PNZ101" s="46"/>
      <c r="POA101" s="46"/>
      <c r="POB101" s="46"/>
      <c r="POC101" s="46"/>
      <c r="POD101" s="46"/>
      <c r="POE101" s="46"/>
      <c r="POF101" s="46"/>
      <c r="POG101" s="46"/>
      <c r="POH101" s="46"/>
      <c r="POI101" s="46"/>
      <c r="POJ101" s="46"/>
      <c r="POK101" s="46"/>
      <c r="POL101" s="46"/>
      <c r="POM101" s="46"/>
      <c r="PON101" s="46"/>
      <c r="POO101" s="46"/>
      <c r="POP101" s="46"/>
      <c r="POQ101" s="46"/>
      <c r="POR101" s="46"/>
      <c r="POS101" s="46"/>
      <c r="POT101" s="46"/>
      <c r="POU101" s="46"/>
      <c r="POV101" s="46"/>
      <c r="POW101" s="46"/>
      <c r="POX101" s="46"/>
      <c r="POY101" s="46"/>
      <c r="POZ101" s="46"/>
      <c r="PPA101" s="46"/>
      <c r="PPB101" s="46"/>
      <c r="PPC101" s="46"/>
      <c r="PPD101" s="46"/>
      <c r="PPE101" s="46"/>
      <c r="PPF101" s="46"/>
      <c r="PPG101" s="46"/>
      <c r="PPH101" s="46"/>
      <c r="PPI101" s="46"/>
      <c r="PPJ101" s="46"/>
      <c r="PPK101" s="46"/>
      <c r="PPL101" s="46"/>
      <c r="PPM101" s="46"/>
      <c r="PPN101" s="46"/>
      <c r="PPO101" s="46"/>
      <c r="PPP101" s="46"/>
      <c r="PPQ101" s="46"/>
      <c r="PPR101" s="46"/>
      <c r="PPS101" s="46"/>
      <c r="PPT101" s="46"/>
      <c r="PPU101" s="46"/>
      <c r="PPV101" s="46"/>
      <c r="PPW101" s="46"/>
      <c r="PPX101" s="46"/>
      <c r="PPY101" s="46"/>
      <c r="PPZ101" s="46"/>
      <c r="PQA101" s="46"/>
      <c r="PQB101" s="46"/>
      <c r="PQC101" s="46"/>
      <c r="PQD101" s="46"/>
      <c r="PQE101" s="46"/>
      <c r="PQF101" s="46"/>
      <c r="PQG101" s="46"/>
      <c r="PQH101" s="46"/>
      <c r="PQI101" s="46"/>
      <c r="PQJ101" s="46"/>
      <c r="PQK101" s="46"/>
      <c r="PQL101" s="46"/>
      <c r="PQM101" s="46"/>
      <c r="PQN101" s="46"/>
      <c r="PQO101" s="46"/>
      <c r="PQP101" s="46"/>
      <c r="PQQ101" s="46"/>
      <c r="PQR101" s="46"/>
      <c r="PQS101" s="46"/>
      <c r="PQT101" s="46"/>
      <c r="PQU101" s="46"/>
      <c r="PQV101" s="46"/>
      <c r="PQW101" s="46"/>
      <c r="PQX101" s="46"/>
      <c r="PQY101" s="46"/>
      <c r="PQZ101" s="46"/>
      <c r="PRA101" s="46"/>
      <c r="PRB101" s="46"/>
      <c r="PRC101" s="46"/>
      <c r="PRD101" s="46"/>
      <c r="PRE101" s="46"/>
      <c r="PRF101" s="46"/>
      <c r="PRG101" s="46"/>
      <c r="PRH101" s="46"/>
      <c r="PRI101" s="46"/>
      <c r="PRJ101" s="46"/>
      <c r="PRK101" s="46"/>
      <c r="PRL101" s="46"/>
      <c r="PRM101" s="46"/>
      <c r="PRN101" s="46"/>
      <c r="PRO101" s="46"/>
      <c r="PRP101" s="46"/>
      <c r="PRQ101" s="46"/>
      <c r="PRR101" s="46"/>
      <c r="PRS101" s="46"/>
      <c r="PRT101" s="46"/>
      <c r="PRU101" s="46"/>
      <c r="PRV101" s="46"/>
      <c r="PRW101" s="46"/>
      <c r="PRX101" s="46"/>
      <c r="PRY101" s="46"/>
      <c r="PRZ101" s="46"/>
      <c r="PSA101" s="46"/>
      <c r="PSB101" s="46"/>
      <c r="PSC101" s="46"/>
      <c r="PSD101" s="46"/>
      <c r="PSE101" s="46"/>
      <c r="PSF101" s="46"/>
      <c r="PSG101" s="46"/>
      <c r="PSH101" s="46"/>
      <c r="PSI101" s="46"/>
      <c r="PSJ101" s="46"/>
      <c r="PSK101" s="46"/>
      <c r="PSL101" s="46"/>
      <c r="PSM101" s="46"/>
      <c r="PSN101" s="46"/>
      <c r="PSO101" s="46"/>
      <c r="PSP101" s="46"/>
      <c r="PSQ101" s="46"/>
      <c r="PSR101" s="46"/>
      <c r="PSS101" s="46"/>
      <c r="PST101" s="46"/>
      <c r="PSU101" s="46"/>
      <c r="PSV101" s="46"/>
      <c r="PSW101" s="46"/>
      <c r="PSX101" s="46"/>
      <c r="PSY101" s="46"/>
      <c r="PSZ101" s="46"/>
      <c r="PTA101" s="46"/>
      <c r="PTB101" s="46"/>
      <c r="PTC101" s="46"/>
      <c r="PTD101" s="46"/>
      <c r="PTE101" s="46"/>
      <c r="PTF101" s="46"/>
      <c r="PTG101" s="46"/>
      <c r="PTH101" s="46"/>
      <c r="PTI101" s="46"/>
      <c r="PTJ101" s="46"/>
      <c r="PTK101" s="46"/>
      <c r="PTL101" s="46"/>
      <c r="PTM101" s="46"/>
      <c r="PTN101" s="46"/>
      <c r="PTO101" s="46"/>
      <c r="PTP101" s="46"/>
      <c r="PTQ101" s="46"/>
      <c r="PTR101" s="46"/>
      <c r="PTS101" s="46"/>
      <c r="PTT101" s="46"/>
      <c r="PTU101" s="46"/>
      <c r="PTV101" s="46"/>
      <c r="PTW101" s="46"/>
      <c r="PTX101" s="46"/>
      <c r="PTY101" s="46"/>
      <c r="PTZ101" s="46"/>
      <c r="PUA101" s="46"/>
      <c r="PUB101" s="46"/>
      <c r="PUC101" s="46"/>
      <c r="PUD101" s="46"/>
      <c r="PUE101" s="46"/>
      <c r="PUF101" s="46"/>
      <c r="PUG101" s="46"/>
      <c r="PUH101" s="46"/>
      <c r="PUI101" s="46"/>
      <c r="PUJ101" s="46"/>
      <c r="PUK101" s="46"/>
      <c r="PUL101" s="46"/>
      <c r="PUM101" s="46"/>
      <c r="PUN101" s="46"/>
      <c r="PUO101" s="46"/>
      <c r="PUP101" s="46"/>
      <c r="PUQ101" s="46"/>
      <c r="PUR101" s="46"/>
      <c r="PUS101" s="46"/>
      <c r="PUT101" s="46"/>
      <c r="PUU101" s="46"/>
      <c r="PUV101" s="46"/>
      <c r="PUW101" s="46"/>
      <c r="PUX101" s="46"/>
      <c r="PUY101" s="46"/>
      <c r="PUZ101" s="46"/>
      <c r="PVA101" s="46"/>
      <c r="PVB101" s="46"/>
      <c r="PVC101" s="46"/>
      <c r="PVD101" s="46"/>
      <c r="PVE101" s="46"/>
      <c r="PVF101" s="46"/>
      <c r="PVG101" s="46"/>
      <c r="PVH101" s="46"/>
      <c r="PVI101" s="46"/>
      <c r="PVJ101" s="46"/>
      <c r="PVK101" s="46"/>
      <c r="PVL101" s="46"/>
      <c r="PVM101" s="46"/>
      <c r="PVN101" s="46"/>
      <c r="PVO101" s="46"/>
      <c r="PVP101" s="46"/>
      <c r="PVQ101" s="46"/>
      <c r="PVR101" s="46"/>
      <c r="PVS101" s="46"/>
      <c r="PVT101" s="46"/>
      <c r="PVU101" s="46"/>
      <c r="PVV101" s="46"/>
      <c r="PVW101" s="46"/>
      <c r="PVX101" s="46"/>
      <c r="PVY101" s="46"/>
      <c r="PVZ101" s="46"/>
      <c r="PWA101" s="46"/>
      <c r="PWB101" s="46"/>
      <c r="PWC101" s="46"/>
      <c r="PWD101" s="46"/>
      <c r="PWE101" s="46"/>
      <c r="PWF101" s="46"/>
      <c r="PWG101" s="46"/>
      <c r="PWH101" s="46"/>
      <c r="PWI101" s="46"/>
      <c r="PWJ101" s="46"/>
      <c r="PWK101" s="46"/>
      <c r="PWL101" s="46"/>
      <c r="PWM101" s="46"/>
      <c r="PWN101" s="46"/>
      <c r="PWO101" s="46"/>
      <c r="PWP101" s="46"/>
      <c r="PWQ101" s="46"/>
      <c r="PWR101" s="46"/>
      <c r="PWS101" s="46"/>
      <c r="PWT101" s="46"/>
      <c r="PWU101" s="46"/>
      <c r="PWV101" s="46"/>
      <c r="PWW101" s="46"/>
      <c r="PWX101" s="46"/>
      <c r="PWY101" s="46"/>
      <c r="PWZ101" s="46"/>
      <c r="PXA101" s="46"/>
      <c r="PXB101" s="46"/>
      <c r="PXC101" s="46"/>
      <c r="PXD101" s="46"/>
      <c r="PXE101" s="46"/>
      <c r="PXF101" s="46"/>
      <c r="PXG101" s="46"/>
      <c r="PXH101" s="46"/>
      <c r="PXI101" s="46"/>
      <c r="PXJ101" s="46"/>
      <c r="PXK101" s="46"/>
      <c r="PXL101" s="46"/>
      <c r="PXM101" s="46"/>
      <c r="PXN101" s="46"/>
      <c r="PXO101" s="46"/>
      <c r="PXP101" s="46"/>
      <c r="PXQ101" s="46"/>
      <c r="PXR101" s="46"/>
      <c r="PXS101" s="46"/>
      <c r="PXT101" s="46"/>
      <c r="PXU101" s="46"/>
      <c r="PXV101" s="46"/>
      <c r="PXW101" s="46"/>
      <c r="PXX101" s="46"/>
      <c r="PXY101" s="46"/>
      <c r="PXZ101" s="46"/>
      <c r="PYA101" s="46"/>
      <c r="PYB101" s="46"/>
      <c r="PYC101" s="46"/>
      <c r="PYD101" s="46"/>
      <c r="PYE101" s="46"/>
      <c r="PYF101" s="46"/>
      <c r="PYG101" s="46"/>
      <c r="PYH101" s="46"/>
      <c r="PYI101" s="46"/>
      <c r="PYJ101" s="46"/>
      <c r="PYK101" s="46"/>
      <c r="PYL101" s="46"/>
      <c r="PYM101" s="46"/>
      <c r="PYN101" s="46"/>
      <c r="PYO101" s="46"/>
      <c r="PYP101" s="46"/>
      <c r="PYQ101" s="46"/>
      <c r="PYR101" s="46"/>
      <c r="PYS101" s="46"/>
      <c r="PYT101" s="46"/>
      <c r="PYU101" s="46"/>
      <c r="PYV101" s="46"/>
      <c r="PYW101" s="46"/>
      <c r="PYX101" s="46"/>
      <c r="PYY101" s="46"/>
      <c r="PYZ101" s="46"/>
      <c r="PZA101" s="46"/>
      <c r="PZB101" s="46"/>
      <c r="PZC101" s="46"/>
      <c r="PZD101" s="46"/>
      <c r="PZE101" s="46"/>
      <c r="PZF101" s="46"/>
      <c r="PZG101" s="46"/>
      <c r="PZH101" s="46"/>
      <c r="PZI101" s="46"/>
      <c r="PZJ101" s="46"/>
      <c r="PZK101" s="46"/>
      <c r="PZL101" s="46"/>
      <c r="PZM101" s="46"/>
      <c r="PZN101" s="46"/>
      <c r="PZO101" s="46"/>
      <c r="PZP101" s="46"/>
      <c r="PZQ101" s="46"/>
      <c r="PZR101" s="46"/>
      <c r="PZS101" s="46"/>
      <c r="PZT101" s="46"/>
      <c r="PZU101" s="46"/>
      <c r="PZV101" s="46"/>
      <c r="PZW101" s="46"/>
      <c r="PZX101" s="46"/>
      <c r="PZY101" s="46"/>
      <c r="PZZ101" s="46"/>
      <c r="QAA101" s="46"/>
      <c r="QAB101" s="46"/>
      <c r="QAC101" s="46"/>
      <c r="QAD101" s="46"/>
      <c r="QAE101" s="46"/>
      <c r="QAF101" s="46"/>
      <c r="QAG101" s="46"/>
      <c r="QAH101" s="46"/>
      <c r="QAI101" s="46"/>
      <c r="QAJ101" s="46"/>
      <c r="QAK101" s="46"/>
      <c r="QAL101" s="46"/>
      <c r="QAM101" s="46"/>
      <c r="QAN101" s="46"/>
      <c r="QAO101" s="46"/>
      <c r="QAP101" s="46"/>
      <c r="QAQ101" s="46"/>
      <c r="QAR101" s="46"/>
      <c r="QAS101" s="46"/>
      <c r="QAT101" s="46"/>
      <c r="QAU101" s="46"/>
      <c r="QAV101" s="46"/>
      <c r="QAW101" s="46"/>
      <c r="QAX101" s="46"/>
      <c r="QAY101" s="46"/>
      <c r="QAZ101" s="46"/>
      <c r="QBA101" s="46"/>
      <c r="QBB101" s="46"/>
      <c r="QBC101" s="46"/>
      <c r="QBD101" s="46"/>
      <c r="QBE101" s="46"/>
      <c r="QBF101" s="46"/>
      <c r="QBG101" s="46"/>
      <c r="QBH101" s="46"/>
      <c r="QBI101" s="46"/>
      <c r="QBJ101" s="46"/>
      <c r="QBK101" s="46"/>
      <c r="QBL101" s="46"/>
      <c r="QBM101" s="46"/>
      <c r="QBN101" s="46"/>
      <c r="QBO101" s="46"/>
      <c r="QBP101" s="46"/>
      <c r="QBQ101" s="46"/>
      <c r="QBR101" s="46"/>
      <c r="QBS101" s="46"/>
      <c r="QBT101" s="46"/>
      <c r="QBU101" s="46"/>
      <c r="QBV101" s="46"/>
      <c r="QBW101" s="46"/>
      <c r="QBX101" s="46"/>
      <c r="QBY101" s="46"/>
      <c r="QBZ101" s="46"/>
      <c r="QCA101" s="46"/>
      <c r="QCB101" s="46"/>
      <c r="QCC101" s="46"/>
      <c r="QCD101" s="46"/>
      <c r="QCE101" s="46"/>
      <c r="QCF101" s="46"/>
      <c r="QCG101" s="46"/>
      <c r="QCH101" s="46"/>
      <c r="QCI101" s="46"/>
      <c r="QCJ101" s="46"/>
      <c r="QCK101" s="46"/>
      <c r="QCL101" s="46"/>
      <c r="QCM101" s="46"/>
      <c r="QCN101" s="46"/>
      <c r="QCO101" s="46"/>
      <c r="QCP101" s="46"/>
      <c r="QCQ101" s="46"/>
      <c r="QCR101" s="46"/>
      <c r="QCS101" s="46"/>
      <c r="QCT101" s="46"/>
      <c r="QCU101" s="46"/>
      <c r="QCV101" s="46"/>
      <c r="QCW101" s="46"/>
      <c r="QCX101" s="46"/>
      <c r="QCY101" s="46"/>
      <c r="QCZ101" s="46"/>
      <c r="QDA101" s="46"/>
      <c r="QDB101" s="46"/>
      <c r="QDC101" s="46"/>
      <c r="QDD101" s="46"/>
      <c r="QDE101" s="46"/>
      <c r="QDF101" s="46"/>
      <c r="QDG101" s="46"/>
      <c r="QDH101" s="46"/>
      <c r="QDI101" s="46"/>
      <c r="QDJ101" s="46"/>
      <c r="QDK101" s="46"/>
      <c r="QDL101" s="46"/>
      <c r="QDM101" s="46"/>
      <c r="QDN101" s="46"/>
      <c r="QDO101" s="46"/>
      <c r="QDP101" s="46"/>
      <c r="QDQ101" s="46"/>
      <c r="QDR101" s="46"/>
      <c r="QDS101" s="46"/>
      <c r="QDT101" s="46"/>
      <c r="QDU101" s="46"/>
      <c r="QDV101" s="46"/>
      <c r="QDW101" s="46"/>
      <c r="QDX101" s="46"/>
      <c r="QDY101" s="46"/>
      <c r="QDZ101" s="46"/>
      <c r="QEA101" s="46"/>
      <c r="QEB101" s="46"/>
      <c r="QEC101" s="46"/>
      <c r="QED101" s="46"/>
      <c r="QEE101" s="46"/>
      <c r="QEF101" s="46"/>
      <c r="QEG101" s="46"/>
      <c r="QEH101" s="46"/>
      <c r="QEI101" s="46"/>
      <c r="QEJ101" s="46"/>
      <c r="QEK101" s="46"/>
      <c r="QEL101" s="46"/>
      <c r="QEM101" s="46"/>
      <c r="QEN101" s="46"/>
      <c r="QEO101" s="46"/>
      <c r="QEP101" s="46"/>
      <c r="QEQ101" s="46"/>
      <c r="QER101" s="46"/>
      <c r="QES101" s="46"/>
      <c r="QET101" s="46"/>
      <c r="QEU101" s="46"/>
      <c r="QEV101" s="46"/>
      <c r="QEW101" s="46"/>
      <c r="QEX101" s="46"/>
      <c r="QEY101" s="46"/>
      <c r="QEZ101" s="46"/>
      <c r="QFA101" s="46"/>
      <c r="QFB101" s="46"/>
      <c r="QFC101" s="46"/>
      <c r="QFD101" s="46"/>
      <c r="QFE101" s="46"/>
      <c r="QFF101" s="46"/>
      <c r="QFG101" s="46"/>
      <c r="QFH101" s="46"/>
      <c r="QFI101" s="46"/>
      <c r="QFJ101" s="46"/>
      <c r="QFK101" s="46"/>
      <c r="QFL101" s="46"/>
      <c r="QFM101" s="46"/>
      <c r="QFN101" s="46"/>
      <c r="QFO101" s="46"/>
      <c r="QFP101" s="46"/>
      <c r="QFQ101" s="46"/>
      <c r="QFR101" s="46"/>
      <c r="QFS101" s="46"/>
      <c r="QFT101" s="46"/>
      <c r="QFU101" s="46"/>
      <c r="QFV101" s="46"/>
      <c r="QFW101" s="46"/>
      <c r="QFX101" s="46"/>
      <c r="QFY101" s="46"/>
      <c r="QFZ101" s="46"/>
      <c r="QGA101" s="46"/>
      <c r="QGB101" s="46"/>
      <c r="QGC101" s="46"/>
      <c r="QGD101" s="46"/>
      <c r="QGE101" s="46"/>
      <c r="QGF101" s="46"/>
      <c r="QGG101" s="46"/>
      <c r="QGH101" s="46"/>
      <c r="QGI101" s="46"/>
      <c r="QGJ101" s="46"/>
      <c r="QGK101" s="46"/>
      <c r="QGL101" s="46"/>
      <c r="QGM101" s="46"/>
      <c r="QGN101" s="46"/>
      <c r="QGO101" s="46"/>
      <c r="QGP101" s="46"/>
      <c r="QGQ101" s="46"/>
      <c r="QGR101" s="46"/>
      <c r="QGS101" s="46"/>
      <c r="QGT101" s="46"/>
      <c r="QGU101" s="46"/>
      <c r="QGV101" s="46"/>
      <c r="QGW101" s="46"/>
      <c r="QGX101" s="46"/>
      <c r="QGY101" s="46"/>
      <c r="QGZ101" s="46"/>
      <c r="QHA101" s="46"/>
      <c r="QHB101" s="46"/>
      <c r="QHC101" s="46"/>
      <c r="QHD101" s="46"/>
      <c r="QHE101" s="46"/>
      <c r="QHF101" s="46"/>
      <c r="QHG101" s="46"/>
      <c r="QHH101" s="46"/>
      <c r="QHI101" s="46"/>
      <c r="QHJ101" s="46"/>
      <c r="QHK101" s="46"/>
      <c r="QHL101" s="46"/>
      <c r="QHM101" s="46"/>
      <c r="QHN101" s="46"/>
      <c r="QHO101" s="46"/>
      <c r="QHP101" s="46"/>
      <c r="QHQ101" s="46"/>
      <c r="QHR101" s="46"/>
      <c r="QHS101" s="46"/>
      <c r="QHT101" s="46"/>
      <c r="QHU101" s="46"/>
      <c r="QHV101" s="46"/>
      <c r="QHW101" s="46"/>
      <c r="QHX101" s="46"/>
      <c r="QHY101" s="46"/>
      <c r="QHZ101" s="46"/>
      <c r="QIA101" s="46"/>
      <c r="QIB101" s="46"/>
      <c r="QIC101" s="46"/>
      <c r="QID101" s="46"/>
      <c r="QIE101" s="46"/>
      <c r="QIF101" s="46"/>
      <c r="QIG101" s="46"/>
      <c r="QIH101" s="46"/>
      <c r="QII101" s="46"/>
      <c r="QIJ101" s="46"/>
      <c r="QIK101" s="46"/>
      <c r="QIL101" s="46"/>
      <c r="QIM101" s="46"/>
      <c r="QIN101" s="46"/>
      <c r="QIO101" s="46"/>
      <c r="QIP101" s="46"/>
      <c r="QIQ101" s="46"/>
      <c r="QIR101" s="46"/>
      <c r="QIS101" s="46"/>
      <c r="QIT101" s="46"/>
      <c r="QIU101" s="46"/>
      <c r="QIV101" s="46"/>
      <c r="QIW101" s="46"/>
      <c r="QIX101" s="46"/>
      <c r="QIY101" s="46"/>
      <c r="QIZ101" s="46"/>
      <c r="QJA101" s="46"/>
      <c r="QJB101" s="46"/>
      <c r="QJC101" s="46"/>
      <c r="QJD101" s="46"/>
      <c r="QJE101" s="46"/>
      <c r="QJF101" s="46"/>
      <c r="QJG101" s="46"/>
      <c r="QJH101" s="46"/>
      <c r="QJI101" s="46"/>
      <c r="QJJ101" s="46"/>
      <c r="QJK101" s="46"/>
      <c r="QJL101" s="46"/>
      <c r="QJM101" s="46"/>
      <c r="QJN101" s="46"/>
      <c r="QJO101" s="46"/>
      <c r="QJP101" s="46"/>
      <c r="QJQ101" s="46"/>
      <c r="QJR101" s="46"/>
      <c r="QJS101" s="46"/>
      <c r="QJT101" s="46"/>
      <c r="QJU101" s="46"/>
      <c r="QJV101" s="46"/>
      <c r="QJW101" s="46"/>
      <c r="QJX101" s="46"/>
      <c r="QJY101" s="46"/>
      <c r="QJZ101" s="46"/>
      <c r="QKA101" s="46"/>
      <c r="QKB101" s="46"/>
      <c r="QKC101" s="46"/>
      <c r="QKD101" s="46"/>
      <c r="QKE101" s="46"/>
      <c r="QKF101" s="46"/>
      <c r="QKG101" s="46"/>
      <c r="QKH101" s="46"/>
      <c r="QKI101" s="46"/>
      <c r="QKJ101" s="46"/>
      <c r="QKK101" s="46"/>
      <c r="QKL101" s="46"/>
      <c r="QKM101" s="46"/>
      <c r="QKN101" s="46"/>
      <c r="QKO101" s="46"/>
      <c r="QKP101" s="46"/>
      <c r="QKQ101" s="46"/>
      <c r="QKR101" s="46"/>
      <c r="QKS101" s="46"/>
      <c r="QKT101" s="46"/>
      <c r="QKU101" s="46"/>
      <c r="QKV101" s="46"/>
      <c r="QKW101" s="46"/>
      <c r="QKX101" s="46"/>
      <c r="QKY101" s="46"/>
      <c r="QKZ101" s="46"/>
      <c r="QLA101" s="46"/>
      <c r="QLB101" s="46"/>
      <c r="QLC101" s="46"/>
      <c r="QLD101" s="46"/>
      <c r="QLE101" s="46"/>
      <c r="QLF101" s="46"/>
      <c r="QLG101" s="46"/>
      <c r="QLH101" s="46"/>
      <c r="QLI101" s="46"/>
      <c r="QLJ101" s="46"/>
      <c r="QLK101" s="46"/>
      <c r="QLL101" s="46"/>
      <c r="QLM101" s="46"/>
      <c r="QLN101" s="46"/>
      <c r="QLO101" s="46"/>
      <c r="QLP101" s="46"/>
      <c r="QLQ101" s="46"/>
      <c r="QLR101" s="46"/>
      <c r="QLS101" s="46"/>
      <c r="QLT101" s="46"/>
      <c r="QLU101" s="46"/>
      <c r="QLV101" s="46"/>
      <c r="QLW101" s="46"/>
      <c r="QLX101" s="46"/>
      <c r="QLY101" s="46"/>
      <c r="QLZ101" s="46"/>
      <c r="QMA101" s="46"/>
      <c r="QMB101" s="46"/>
      <c r="QMC101" s="46"/>
      <c r="QMD101" s="46"/>
      <c r="QME101" s="46"/>
      <c r="QMF101" s="46"/>
      <c r="QMG101" s="46"/>
      <c r="QMH101" s="46"/>
      <c r="QMI101" s="46"/>
      <c r="QMJ101" s="46"/>
      <c r="QMK101" s="46"/>
      <c r="QML101" s="46"/>
      <c r="QMM101" s="46"/>
      <c r="QMN101" s="46"/>
      <c r="QMO101" s="46"/>
      <c r="QMP101" s="46"/>
      <c r="QMQ101" s="46"/>
      <c r="QMR101" s="46"/>
      <c r="QMS101" s="46"/>
      <c r="QMT101" s="46"/>
      <c r="QMU101" s="46"/>
      <c r="QMV101" s="46"/>
      <c r="QMW101" s="46"/>
      <c r="QMX101" s="46"/>
      <c r="QMY101" s="46"/>
      <c r="QMZ101" s="46"/>
      <c r="QNA101" s="46"/>
      <c r="QNB101" s="46"/>
      <c r="QNC101" s="46"/>
      <c r="QND101" s="46"/>
      <c r="QNE101" s="46"/>
      <c r="QNF101" s="46"/>
      <c r="QNG101" s="46"/>
      <c r="QNH101" s="46"/>
      <c r="QNI101" s="46"/>
      <c r="QNJ101" s="46"/>
      <c r="QNK101" s="46"/>
      <c r="QNL101" s="46"/>
      <c r="QNM101" s="46"/>
      <c r="QNN101" s="46"/>
      <c r="QNO101" s="46"/>
      <c r="QNP101" s="46"/>
      <c r="QNQ101" s="46"/>
      <c r="QNR101" s="46"/>
      <c r="QNS101" s="46"/>
      <c r="QNT101" s="46"/>
      <c r="QNU101" s="46"/>
      <c r="QNV101" s="46"/>
      <c r="QNW101" s="46"/>
      <c r="QNX101" s="46"/>
      <c r="QNY101" s="46"/>
      <c r="QNZ101" s="46"/>
      <c r="QOA101" s="46"/>
      <c r="QOB101" s="46"/>
      <c r="QOC101" s="46"/>
      <c r="QOD101" s="46"/>
      <c r="QOE101" s="46"/>
      <c r="QOF101" s="46"/>
      <c r="QOG101" s="46"/>
      <c r="QOH101" s="46"/>
      <c r="QOI101" s="46"/>
      <c r="QOJ101" s="46"/>
      <c r="QOK101" s="46"/>
      <c r="QOL101" s="46"/>
      <c r="QOM101" s="46"/>
      <c r="QON101" s="46"/>
      <c r="QOO101" s="46"/>
      <c r="QOP101" s="46"/>
      <c r="QOQ101" s="46"/>
      <c r="QOR101" s="46"/>
      <c r="QOS101" s="46"/>
      <c r="QOT101" s="46"/>
      <c r="QOU101" s="46"/>
      <c r="QOV101" s="46"/>
      <c r="QOW101" s="46"/>
      <c r="QOX101" s="46"/>
      <c r="QOY101" s="46"/>
      <c r="QOZ101" s="46"/>
      <c r="QPA101" s="46"/>
      <c r="QPB101" s="46"/>
      <c r="QPC101" s="46"/>
      <c r="QPD101" s="46"/>
      <c r="QPE101" s="46"/>
      <c r="QPF101" s="46"/>
      <c r="QPG101" s="46"/>
      <c r="QPH101" s="46"/>
      <c r="QPI101" s="46"/>
      <c r="QPJ101" s="46"/>
      <c r="QPK101" s="46"/>
      <c r="QPL101" s="46"/>
      <c r="QPM101" s="46"/>
      <c r="QPN101" s="46"/>
      <c r="QPO101" s="46"/>
      <c r="QPP101" s="46"/>
      <c r="QPQ101" s="46"/>
      <c r="QPR101" s="46"/>
      <c r="QPS101" s="46"/>
      <c r="QPT101" s="46"/>
      <c r="QPU101" s="46"/>
      <c r="QPV101" s="46"/>
      <c r="QPW101" s="46"/>
      <c r="QPX101" s="46"/>
      <c r="QPY101" s="46"/>
      <c r="QPZ101" s="46"/>
      <c r="QQA101" s="46"/>
      <c r="QQB101" s="46"/>
      <c r="QQC101" s="46"/>
      <c r="QQD101" s="46"/>
      <c r="QQE101" s="46"/>
      <c r="QQF101" s="46"/>
      <c r="QQG101" s="46"/>
      <c r="QQH101" s="46"/>
      <c r="QQI101" s="46"/>
      <c r="QQJ101" s="46"/>
      <c r="QQK101" s="46"/>
      <c r="QQL101" s="46"/>
      <c r="QQM101" s="46"/>
      <c r="QQN101" s="46"/>
      <c r="QQO101" s="46"/>
      <c r="QQP101" s="46"/>
      <c r="QQQ101" s="46"/>
      <c r="QQR101" s="46"/>
      <c r="QQS101" s="46"/>
      <c r="QQT101" s="46"/>
      <c r="QQU101" s="46"/>
      <c r="QQV101" s="46"/>
      <c r="QQW101" s="46"/>
      <c r="QQX101" s="46"/>
      <c r="QQY101" s="46"/>
      <c r="QQZ101" s="46"/>
      <c r="QRA101" s="46"/>
      <c r="QRB101" s="46"/>
      <c r="QRC101" s="46"/>
      <c r="QRD101" s="46"/>
      <c r="QRE101" s="46"/>
      <c r="QRF101" s="46"/>
      <c r="QRG101" s="46"/>
      <c r="QRH101" s="46"/>
      <c r="QRI101" s="46"/>
      <c r="QRJ101" s="46"/>
      <c r="QRK101" s="46"/>
      <c r="QRL101" s="46"/>
      <c r="QRM101" s="46"/>
      <c r="QRN101" s="46"/>
      <c r="QRO101" s="46"/>
      <c r="QRP101" s="46"/>
      <c r="QRQ101" s="46"/>
      <c r="QRR101" s="46"/>
      <c r="QRS101" s="46"/>
      <c r="QRT101" s="46"/>
      <c r="QRU101" s="46"/>
      <c r="QRV101" s="46"/>
      <c r="QRW101" s="46"/>
      <c r="QRX101" s="46"/>
      <c r="QRY101" s="46"/>
      <c r="QRZ101" s="46"/>
      <c r="QSA101" s="46"/>
      <c r="QSB101" s="46"/>
      <c r="QSC101" s="46"/>
      <c r="QSD101" s="46"/>
      <c r="QSE101" s="46"/>
      <c r="QSF101" s="46"/>
      <c r="QSG101" s="46"/>
      <c r="QSH101" s="46"/>
      <c r="QSI101" s="46"/>
      <c r="QSJ101" s="46"/>
      <c r="QSK101" s="46"/>
      <c r="QSL101" s="46"/>
      <c r="QSM101" s="46"/>
      <c r="QSN101" s="46"/>
      <c r="QSO101" s="46"/>
      <c r="QSP101" s="46"/>
      <c r="QSQ101" s="46"/>
      <c r="QSR101" s="46"/>
      <c r="QSS101" s="46"/>
      <c r="QST101" s="46"/>
      <c r="QSU101" s="46"/>
      <c r="QSV101" s="46"/>
      <c r="QSW101" s="46"/>
      <c r="QSX101" s="46"/>
      <c r="QSY101" s="46"/>
      <c r="QSZ101" s="46"/>
      <c r="QTA101" s="46"/>
      <c r="QTB101" s="46"/>
      <c r="QTC101" s="46"/>
      <c r="QTD101" s="46"/>
      <c r="QTE101" s="46"/>
      <c r="QTF101" s="46"/>
      <c r="QTG101" s="46"/>
      <c r="QTH101" s="46"/>
      <c r="QTI101" s="46"/>
      <c r="QTJ101" s="46"/>
      <c r="QTK101" s="46"/>
      <c r="QTL101" s="46"/>
      <c r="QTM101" s="46"/>
      <c r="QTN101" s="46"/>
      <c r="QTO101" s="46"/>
      <c r="QTP101" s="46"/>
      <c r="QTQ101" s="46"/>
      <c r="QTR101" s="46"/>
      <c r="QTS101" s="46"/>
      <c r="QTT101" s="46"/>
      <c r="QTU101" s="46"/>
      <c r="QTV101" s="46"/>
      <c r="QTW101" s="46"/>
      <c r="QTX101" s="46"/>
      <c r="QTY101" s="46"/>
      <c r="QTZ101" s="46"/>
      <c r="QUA101" s="46"/>
      <c r="QUB101" s="46"/>
      <c r="QUC101" s="46"/>
      <c r="QUD101" s="46"/>
      <c r="QUE101" s="46"/>
      <c r="QUF101" s="46"/>
      <c r="QUG101" s="46"/>
      <c r="QUH101" s="46"/>
      <c r="QUI101" s="46"/>
      <c r="QUJ101" s="46"/>
      <c r="QUK101" s="46"/>
      <c r="QUL101" s="46"/>
      <c r="QUM101" s="46"/>
      <c r="QUN101" s="46"/>
      <c r="QUO101" s="46"/>
      <c r="QUP101" s="46"/>
      <c r="QUQ101" s="46"/>
      <c r="QUR101" s="46"/>
      <c r="QUS101" s="46"/>
      <c r="QUT101" s="46"/>
      <c r="QUU101" s="46"/>
      <c r="QUV101" s="46"/>
      <c r="QUW101" s="46"/>
      <c r="QUX101" s="46"/>
      <c r="QUY101" s="46"/>
      <c r="QUZ101" s="46"/>
      <c r="QVA101" s="46"/>
      <c r="QVB101" s="46"/>
      <c r="QVC101" s="46"/>
      <c r="QVD101" s="46"/>
      <c r="QVE101" s="46"/>
      <c r="QVF101" s="46"/>
      <c r="QVG101" s="46"/>
      <c r="QVH101" s="46"/>
      <c r="QVI101" s="46"/>
      <c r="QVJ101" s="46"/>
      <c r="QVK101" s="46"/>
      <c r="QVL101" s="46"/>
      <c r="QVM101" s="46"/>
      <c r="QVN101" s="46"/>
      <c r="QVO101" s="46"/>
      <c r="QVP101" s="46"/>
      <c r="QVQ101" s="46"/>
      <c r="QVR101" s="46"/>
      <c r="QVS101" s="46"/>
      <c r="QVT101" s="46"/>
      <c r="QVU101" s="46"/>
      <c r="QVV101" s="46"/>
      <c r="QVW101" s="46"/>
      <c r="QVX101" s="46"/>
      <c r="QVY101" s="46"/>
      <c r="QVZ101" s="46"/>
      <c r="QWA101" s="46"/>
      <c r="QWB101" s="46"/>
      <c r="QWC101" s="46"/>
      <c r="QWD101" s="46"/>
      <c r="QWE101" s="46"/>
      <c r="QWF101" s="46"/>
      <c r="QWG101" s="46"/>
      <c r="QWH101" s="46"/>
      <c r="QWI101" s="46"/>
      <c r="QWJ101" s="46"/>
      <c r="QWK101" s="46"/>
      <c r="QWL101" s="46"/>
      <c r="QWM101" s="46"/>
      <c r="QWN101" s="46"/>
      <c r="QWO101" s="46"/>
      <c r="QWP101" s="46"/>
      <c r="QWQ101" s="46"/>
      <c r="QWR101" s="46"/>
      <c r="QWS101" s="46"/>
      <c r="QWT101" s="46"/>
      <c r="QWU101" s="46"/>
      <c r="QWV101" s="46"/>
      <c r="QWW101" s="46"/>
      <c r="QWX101" s="46"/>
      <c r="QWY101" s="46"/>
      <c r="QWZ101" s="46"/>
      <c r="QXA101" s="46"/>
      <c r="QXB101" s="46"/>
      <c r="QXC101" s="46"/>
      <c r="QXD101" s="46"/>
      <c r="QXE101" s="46"/>
      <c r="QXF101" s="46"/>
      <c r="QXG101" s="46"/>
      <c r="QXH101" s="46"/>
      <c r="QXI101" s="46"/>
      <c r="QXJ101" s="46"/>
      <c r="QXK101" s="46"/>
      <c r="QXL101" s="46"/>
      <c r="QXM101" s="46"/>
      <c r="QXN101" s="46"/>
      <c r="QXO101" s="46"/>
      <c r="QXP101" s="46"/>
      <c r="QXQ101" s="46"/>
      <c r="QXR101" s="46"/>
      <c r="QXS101" s="46"/>
      <c r="QXT101" s="46"/>
      <c r="QXU101" s="46"/>
      <c r="QXV101" s="46"/>
      <c r="QXW101" s="46"/>
      <c r="QXX101" s="46"/>
      <c r="QXY101" s="46"/>
      <c r="QXZ101" s="46"/>
      <c r="QYA101" s="46"/>
      <c r="QYB101" s="46"/>
      <c r="QYC101" s="46"/>
      <c r="QYD101" s="46"/>
      <c r="QYE101" s="46"/>
      <c r="QYF101" s="46"/>
      <c r="QYG101" s="46"/>
      <c r="QYH101" s="46"/>
      <c r="QYI101" s="46"/>
      <c r="QYJ101" s="46"/>
      <c r="QYK101" s="46"/>
      <c r="QYL101" s="46"/>
      <c r="QYM101" s="46"/>
      <c r="QYN101" s="46"/>
      <c r="QYO101" s="46"/>
      <c r="QYP101" s="46"/>
      <c r="QYQ101" s="46"/>
      <c r="QYR101" s="46"/>
      <c r="QYS101" s="46"/>
      <c r="QYT101" s="46"/>
      <c r="QYU101" s="46"/>
      <c r="QYV101" s="46"/>
      <c r="QYW101" s="46"/>
      <c r="QYX101" s="46"/>
      <c r="QYY101" s="46"/>
      <c r="QYZ101" s="46"/>
      <c r="QZA101" s="46"/>
      <c r="QZB101" s="46"/>
      <c r="QZC101" s="46"/>
      <c r="QZD101" s="46"/>
      <c r="QZE101" s="46"/>
      <c r="QZF101" s="46"/>
      <c r="QZG101" s="46"/>
      <c r="QZH101" s="46"/>
      <c r="QZI101" s="46"/>
      <c r="QZJ101" s="46"/>
      <c r="QZK101" s="46"/>
      <c r="QZL101" s="46"/>
      <c r="QZM101" s="46"/>
      <c r="QZN101" s="46"/>
      <c r="QZO101" s="46"/>
      <c r="QZP101" s="46"/>
      <c r="QZQ101" s="46"/>
      <c r="QZR101" s="46"/>
      <c r="QZS101" s="46"/>
      <c r="QZT101" s="46"/>
      <c r="QZU101" s="46"/>
      <c r="QZV101" s="46"/>
      <c r="QZW101" s="46"/>
      <c r="QZX101" s="46"/>
      <c r="QZY101" s="46"/>
      <c r="QZZ101" s="46"/>
      <c r="RAA101" s="46"/>
      <c r="RAB101" s="46"/>
      <c r="RAC101" s="46"/>
      <c r="RAD101" s="46"/>
      <c r="RAE101" s="46"/>
      <c r="RAF101" s="46"/>
      <c r="RAG101" s="46"/>
      <c r="RAH101" s="46"/>
      <c r="RAI101" s="46"/>
      <c r="RAJ101" s="46"/>
      <c r="RAK101" s="46"/>
      <c r="RAL101" s="46"/>
      <c r="RAM101" s="46"/>
      <c r="RAN101" s="46"/>
      <c r="RAO101" s="46"/>
      <c r="RAP101" s="46"/>
      <c r="RAQ101" s="46"/>
      <c r="RAR101" s="46"/>
      <c r="RAS101" s="46"/>
      <c r="RAT101" s="46"/>
      <c r="RAU101" s="46"/>
      <c r="RAV101" s="46"/>
      <c r="RAW101" s="46"/>
      <c r="RAX101" s="46"/>
      <c r="RAY101" s="46"/>
      <c r="RAZ101" s="46"/>
      <c r="RBA101" s="46"/>
      <c r="RBB101" s="46"/>
      <c r="RBC101" s="46"/>
      <c r="RBD101" s="46"/>
      <c r="RBE101" s="46"/>
      <c r="RBF101" s="46"/>
      <c r="RBG101" s="46"/>
      <c r="RBH101" s="46"/>
      <c r="RBI101" s="46"/>
      <c r="RBJ101" s="46"/>
      <c r="RBK101" s="46"/>
      <c r="RBL101" s="46"/>
      <c r="RBM101" s="46"/>
      <c r="RBN101" s="46"/>
      <c r="RBO101" s="46"/>
      <c r="RBP101" s="46"/>
      <c r="RBQ101" s="46"/>
      <c r="RBR101" s="46"/>
      <c r="RBS101" s="46"/>
      <c r="RBT101" s="46"/>
      <c r="RBU101" s="46"/>
      <c r="RBV101" s="46"/>
      <c r="RBW101" s="46"/>
      <c r="RBX101" s="46"/>
      <c r="RBY101" s="46"/>
      <c r="RBZ101" s="46"/>
      <c r="RCA101" s="46"/>
      <c r="RCB101" s="46"/>
      <c r="RCC101" s="46"/>
      <c r="RCD101" s="46"/>
      <c r="RCE101" s="46"/>
      <c r="RCF101" s="46"/>
      <c r="RCG101" s="46"/>
      <c r="RCH101" s="46"/>
      <c r="RCI101" s="46"/>
      <c r="RCJ101" s="46"/>
      <c r="RCK101" s="46"/>
      <c r="RCL101" s="46"/>
      <c r="RCM101" s="46"/>
      <c r="RCN101" s="46"/>
      <c r="RCO101" s="46"/>
      <c r="RCP101" s="46"/>
      <c r="RCQ101" s="46"/>
      <c r="RCR101" s="46"/>
      <c r="RCS101" s="46"/>
      <c r="RCT101" s="46"/>
      <c r="RCU101" s="46"/>
      <c r="RCV101" s="46"/>
      <c r="RCW101" s="46"/>
      <c r="RCX101" s="46"/>
      <c r="RCY101" s="46"/>
      <c r="RCZ101" s="46"/>
      <c r="RDA101" s="46"/>
      <c r="RDB101" s="46"/>
      <c r="RDC101" s="46"/>
      <c r="RDD101" s="46"/>
      <c r="RDE101" s="46"/>
      <c r="RDF101" s="46"/>
      <c r="RDG101" s="46"/>
      <c r="RDH101" s="46"/>
      <c r="RDI101" s="46"/>
      <c r="RDJ101" s="46"/>
      <c r="RDK101" s="46"/>
      <c r="RDL101" s="46"/>
      <c r="RDM101" s="46"/>
      <c r="RDN101" s="46"/>
      <c r="RDO101" s="46"/>
      <c r="RDP101" s="46"/>
      <c r="RDQ101" s="46"/>
      <c r="RDR101" s="46"/>
      <c r="RDS101" s="46"/>
      <c r="RDT101" s="46"/>
      <c r="RDU101" s="46"/>
      <c r="RDV101" s="46"/>
      <c r="RDW101" s="46"/>
      <c r="RDX101" s="46"/>
      <c r="RDY101" s="46"/>
      <c r="RDZ101" s="46"/>
      <c r="REA101" s="46"/>
      <c r="REB101" s="46"/>
      <c r="REC101" s="46"/>
      <c r="RED101" s="46"/>
      <c r="REE101" s="46"/>
      <c r="REF101" s="46"/>
      <c r="REG101" s="46"/>
      <c r="REH101" s="46"/>
      <c r="REI101" s="46"/>
      <c r="REJ101" s="46"/>
      <c r="REK101" s="46"/>
      <c r="REL101" s="46"/>
      <c r="REM101" s="46"/>
      <c r="REN101" s="46"/>
      <c r="REO101" s="46"/>
      <c r="REP101" s="46"/>
      <c r="REQ101" s="46"/>
      <c r="RER101" s="46"/>
      <c r="RES101" s="46"/>
      <c r="RET101" s="46"/>
      <c r="REU101" s="46"/>
      <c r="REV101" s="46"/>
      <c r="REW101" s="46"/>
      <c r="REX101" s="46"/>
      <c r="REY101" s="46"/>
      <c r="REZ101" s="46"/>
      <c r="RFA101" s="46"/>
      <c r="RFB101" s="46"/>
      <c r="RFC101" s="46"/>
      <c r="RFD101" s="46"/>
      <c r="RFE101" s="46"/>
      <c r="RFF101" s="46"/>
      <c r="RFG101" s="46"/>
      <c r="RFH101" s="46"/>
      <c r="RFI101" s="46"/>
      <c r="RFJ101" s="46"/>
      <c r="RFK101" s="46"/>
      <c r="RFL101" s="46"/>
      <c r="RFM101" s="46"/>
      <c r="RFN101" s="46"/>
      <c r="RFO101" s="46"/>
      <c r="RFP101" s="46"/>
      <c r="RFQ101" s="46"/>
      <c r="RFR101" s="46"/>
      <c r="RFS101" s="46"/>
      <c r="RFT101" s="46"/>
      <c r="RFU101" s="46"/>
      <c r="RFV101" s="46"/>
      <c r="RFW101" s="46"/>
      <c r="RFX101" s="46"/>
      <c r="RFY101" s="46"/>
      <c r="RFZ101" s="46"/>
      <c r="RGA101" s="46"/>
      <c r="RGB101" s="46"/>
      <c r="RGC101" s="46"/>
      <c r="RGD101" s="46"/>
      <c r="RGE101" s="46"/>
      <c r="RGF101" s="46"/>
      <c r="RGG101" s="46"/>
      <c r="RGH101" s="46"/>
      <c r="RGI101" s="46"/>
      <c r="RGJ101" s="46"/>
      <c r="RGK101" s="46"/>
      <c r="RGL101" s="46"/>
      <c r="RGM101" s="46"/>
      <c r="RGN101" s="46"/>
      <c r="RGO101" s="46"/>
      <c r="RGP101" s="46"/>
      <c r="RGQ101" s="46"/>
      <c r="RGR101" s="46"/>
      <c r="RGS101" s="46"/>
      <c r="RGT101" s="46"/>
      <c r="RGU101" s="46"/>
      <c r="RGV101" s="46"/>
      <c r="RGW101" s="46"/>
      <c r="RGX101" s="46"/>
      <c r="RGY101" s="46"/>
      <c r="RGZ101" s="46"/>
      <c r="RHA101" s="46"/>
      <c r="RHB101" s="46"/>
      <c r="RHC101" s="46"/>
      <c r="RHD101" s="46"/>
      <c r="RHE101" s="46"/>
      <c r="RHF101" s="46"/>
      <c r="RHG101" s="46"/>
      <c r="RHH101" s="46"/>
      <c r="RHI101" s="46"/>
      <c r="RHJ101" s="46"/>
      <c r="RHK101" s="46"/>
      <c r="RHL101" s="46"/>
      <c r="RHM101" s="46"/>
      <c r="RHN101" s="46"/>
      <c r="RHO101" s="46"/>
      <c r="RHP101" s="46"/>
      <c r="RHQ101" s="46"/>
      <c r="RHR101" s="46"/>
      <c r="RHS101" s="46"/>
      <c r="RHT101" s="46"/>
      <c r="RHU101" s="46"/>
      <c r="RHV101" s="46"/>
      <c r="RHW101" s="46"/>
      <c r="RHX101" s="46"/>
      <c r="RHY101" s="46"/>
      <c r="RHZ101" s="46"/>
      <c r="RIA101" s="46"/>
      <c r="RIB101" s="46"/>
      <c r="RIC101" s="46"/>
      <c r="RID101" s="46"/>
      <c r="RIE101" s="46"/>
      <c r="RIF101" s="46"/>
      <c r="RIG101" s="46"/>
      <c r="RIH101" s="46"/>
      <c r="RII101" s="46"/>
      <c r="RIJ101" s="46"/>
      <c r="RIK101" s="46"/>
      <c r="RIL101" s="46"/>
      <c r="RIM101" s="46"/>
      <c r="RIN101" s="46"/>
      <c r="RIO101" s="46"/>
      <c r="RIP101" s="46"/>
      <c r="RIQ101" s="46"/>
      <c r="RIR101" s="46"/>
      <c r="RIS101" s="46"/>
      <c r="RIT101" s="46"/>
      <c r="RIU101" s="46"/>
      <c r="RIV101" s="46"/>
      <c r="RIW101" s="46"/>
      <c r="RIX101" s="46"/>
      <c r="RIY101" s="46"/>
      <c r="RIZ101" s="46"/>
      <c r="RJA101" s="46"/>
      <c r="RJB101" s="46"/>
      <c r="RJC101" s="46"/>
      <c r="RJD101" s="46"/>
      <c r="RJE101" s="46"/>
      <c r="RJF101" s="46"/>
      <c r="RJG101" s="46"/>
      <c r="RJH101" s="46"/>
      <c r="RJI101" s="46"/>
      <c r="RJJ101" s="46"/>
      <c r="RJK101" s="46"/>
      <c r="RJL101" s="46"/>
      <c r="RJM101" s="46"/>
      <c r="RJN101" s="46"/>
      <c r="RJO101" s="46"/>
      <c r="RJP101" s="46"/>
      <c r="RJQ101" s="46"/>
      <c r="RJR101" s="46"/>
      <c r="RJS101" s="46"/>
      <c r="RJT101" s="46"/>
      <c r="RJU101" s="46"/>
      <c r="RJV101" s="46"/>
      <c r="RJW101" s="46"/>
      <c r="RJX101" s="46"/>
      <c r="RJY101" s="46"/>
      <c r="RJZ101" s="46"/>
      <c r="RKA101" s="46"/>
      <c r="RKB101" s="46"/>
      <c r="RKC101" s="46"/>
      <c r="RKD101" s="46"/>
      <c r="RKE101" s="46"/>
      <c r="RKF101" s="46"/>
      <c r="RKG101" s="46"/>
      <c r="RKH101" s="46"/>
      <c r="RKI101" s="46"/>
      <c r="RKJ101" s="46"/>
      <c r="RKK101" s="46"/>
      <c r="RKL101" s="46"/>
      <c r="RKM101" s="46"/>
      <c r="RKN101" s="46"/>
      <c r="RKO101" s="46"/>
      <c r="RKP101" s="46"/>
      <c r="RKQ101" s="46"/>
      <c r="RKR101" s="46"/>
      <c r="RKS101" s="46"/>
      <c r="RKT101" s="46"/>
      <c r="RKU101" s="46"/>
      <c r="RKV101" s="46"/>
      <c r="RKW101" s="46"/>
      <c r="RKX101" s="46"/>
      <c r="RKY101" s="46"/>
      <c r="RKZ101" s="46"/>
      <c r="RLA101" s="46"/>
      <c r="RLB101" s="46"/>
      <c r="RLC101" s="46"/>
      <c r="RLD101" s="46"/>
      <c r="RLE101" s="46"/>
      <c r="RLF101" s="46"/>
      <c r="RLG101" s="46"/>
      <c r="RLH101" s="46"/>
      <c r="RLI101" s="46"/>
      <c r="RLJ101" s="46"/>
      <c r="RLK101" s="46"/>
      <c r="RLL101" s="46"/>
      <c r="RLM101" s="46"/>
      <c r="RLN101" s="46"/>
      <c r="RLO101" s="46"/>
      <c r="RLP101" s="46"/>
      <c r="RLQ101" s="46"/>
      <c r="RLR101" s="46"/>
      <c r="RLS101" s="46"/>
      <c r="RLT101" s="46"/>
      <c r="RLU101" s="46"/>
      <c r="RLV101" s="46"/>
      <c r="RLW101" s="46"/>
      <c r="RLX101" s="46"/>
      <c r="RLY101" s="46"/>
      <c r="RLZ101" s="46"/>
      <c r="RMA101" s="46"/>
      <c r="RMB101" s="46"/>
      <c r="RMC101" s="46"/>
      <c r="RMD101" s="46"/>
      <c r="RME101" s="46"/>
      <c r="RMF101" s="46"/>
      <c r="RMG101" s="46"/>
      <c r="RMH101" s="46"/>
      <c r="RMI101" s="46"/>
      <c r="RMJ101" s="46"/>
      <c r="RMK101" s="46"/>
      <c r="RML101" s="46"/>
      <c r="RMM101" s="46"/>
      <c r="RMN101" s="46"/>
      <c r="RMO101" s="46"/>
      <c r="RMP101" s="46"/>
      <c r="RMQ101" s="46"/>
      <c r="RMR101" s="46"/>
      <c r="RMS101" s="46"/>
      <c r="RMT101" s="46"/>
      <c r="RMU101" s="46"/>
      <c r="RMV101" s="46"/>
      <c r="RMW101" s="46"/>
      <c r="RMX101" s="46"/>
      <c r="RMY101" s="46"/>
      <c r="RMZ101" s="46"/>
      <c r="RNA101" s="46"/>
      <c r="RNB101" s="46"/>
      <c r="RNC101" s="46"/>
      <c r="RND101" s="46"/>
      <c r="RNE101" s="46"/>
      <c r="RNF101" s="46"/>
      <c r="RNG101" s="46"/>
      <c r="RNH101" s="46"/>
      <c r="RNI101" s="46"/>
      <c r="RNJ101" s="46"/>
      <c r="RNK101" s="46"/>
      <c r="RNL101" s="46"/>
      <c r="RNM101" s="46"/>
      <c r="RNN101" s="46"/>
      <c r="RNO101" s="46"/>
      <c r="RNP101" s="46"/>
      <c r="RNQ101" s="46"/>
      <c r="RNR101" s="46"/>
      <c r="RNS101" s="46"/>
      <c r="RNT101" s="46"/>
      <c r="RNU101" s="46"/>
      <c r="RNV101" s="46"/>
      <c r="RNW101" s="46"/>
      <c r="RNX101" s="46"/>
      <c r="RNY101" s="46"/>
      <c r="RNZ101" s="46"/>
      <c r="ROA101" s="46"/>
      <c r="ROB101" s="46"/>
      <c r="ROC101" s="46"/>
      <c r="ROD101" s="46"/>
      <c r="ROE101" s="46"/>
      <c r="ROF101" s="46"/>
      <c r="ROG101" s="46"/>
      <c r="ROH101" s="46"/>
      <c r="ROI101" s="46"/>
      <c r="ROJ101" s="46"/>
      <c r="ROK101" s="46"/>
      <c r="ROL101" s="46"/>
      <c r="ROM101" s="46"/>
      <c r="RON101" s="46"/>
      <c r="ROO101" s="46"/>
      <c r="ROP101" s="46"/>
      <c r="ROQ101" s="46"/>
      <c r="ROR101" s="46"/>
      <c r="ROS101" s="46"/>
      <c r="ROT101" s="46"/>
      <c r="ROU101" s="46"/>
      <c r="ROV101" s="46"/>
      <c r="ROW101" s="46"/>
      <c r="ROX101" s="46"/>
      <c r="ROY101" s="46"/>
      <c r="ROZ101" s="46"/>
      <c r="RPA101" s="46"/>
      <c r="RPB101" s="46"/>
      <c r="RPC101" s="46"/>
      <c r="RPD101" s="46"/>
      <c r="RPE101" s="46"/>
      <c r="RPF101" s="46"/>
      <c r="RPG101" s="46"/>
      <c r="RPH101" s="46"/>
      <c r="RPI101" s="46"/>
      <c r="RPJ101" s="46"/>
      <c r="RPK101" s="46"/>
      <c r="RPL101" s="46"/>
      <c r="RPM101" s="46"/>
      <c r="RPN101" s="46"/>
      <c r="RPO101" s="46"/>
      <c r="RPP101" s="46"/>
      <c r="RPQ101" s="46"/>
      <c r="RPR101" s="46"/>
      <c r="RPS101" s="46"/>
      <c r="RPT101" s="46"/>
      <c r="RPU101" s="46"/>
      <c r="RPV101" s="46"/>
      <c r="RPW101" s="46"/>
      <c r="RPX101" s="46"/>
      <c r="RPY101" s="46"/>
      <c r="RPZ101" s="46"/>
      <c r="RQA101" s="46"/>
      <c r="RQB101" s="46"/>
      <c r="RQC101" s="46"/>
      <c r="RQD101" s="46"/>
      <c r="RQE101" s="46"/>
      <c r="RQF101" s="46"/>
      <c r="RQG101" s="46"/>
      <c r="RQH101" s="46"/>
      <c r="RQI101" s="46"/>
      <c r="RQJ101" s="46"/>
      <c r="RQK101" s="46"/>
      <c r="RQL101" s="46"/>
      <c r="RQM101" s="46"/>
      <c r="RQN101" s="46"/>
      <c r="RQO101" s="46"/>
      <c r="RQP101" s="46"/>
      <c r="RQQ101" s="46"/>
      <c r="RQR101" s="46"/>
      <c r="RQS101" s="46"/>
      <c r="RQT101" s="46"/>
      <c r="RQU101" s="46"/>
      <c r="RQV101" s="46"/>
      <c r="RQW101" s="46"/>
      <c r="RQX101" s="46"/>
      <c r="RQY101" s="46"/>
      <c r="RQZ101" s="46"/>
      <c r="RRA101" s="46"/>
      <c r="RRB101" s="46"/>
      <c r="RRC101" s="46"/>
      <c r="RRD101" s="46"/>
      <c r="RRE101" s="46"/>
      <c r="RRF101" s="46"/>
      <c r="RRG101" s="46"/>
      <c r="RRH101" s="46"/>
      <c r="RRI101" s="46"/>
      <c r="RRJ101" s="46"/>
      <c r="RRK101" s="46"/>
      <c r="RRL101" s="46"/>
      <c r="RRM101" s="46"/>
      <c r="RRN101" s="46"/>
      <c r="RRO101" s="46"/>
      <c r="RRP101" s="46"/>
      <c r="RRQ101" s="46"/>
      <c r="RRR101" s="46"/>
      <c r="RRS101" s="46"/>
      <c r="RRT101" s="46"/>
      <c r="RRU101" s="46"/>
      <c r="RRV101" s="46"/>
      <c r="RRW101" s="46"/>
      <c r="RRX101" s="46"/>
      <c r="RRY101" s="46"/>
      <c r="RRZ101" s="46"/>
      <c r="RSA101" s="46"/>
      <c r="RSB101" s="46"/>
      <c r="RSC101" s="46"/>
      <c r="RSD101" s="46"/>
      <c r="RSE101" s="46"/>
      <c r="RSF101" s="46"/>
      <c r="RSG101" s="46"/>
      <c r="RSH101" s="46"/>
      <c r="RSI101" s="46"/>
      <c r="RSJ101" s="46"/>
      <c r="RSK101" s="46"/>
      <c r="RSL101" s="46"/>
      <c r="RSM101" s="46"/>
      <c r="RSN101" s="46"/>
      <c r="RSO101" s="46"/>
      <c r="RSP101" s="46"/>
      <c r="RSQ101" s="46"/>
      <c r="RSR101" s="46"/>
      <c r="RSS101" s="46"/>
      <c r="RST101" s="46"/>
      <c r="RSU101" s="46"/>
      <c r="RSV101" s="46"/>
      <c r="RSW101" s="46"/>
      <c r="RSX101" s="46"/>
      <c r="RSY101" s="46"/>
      <c r="RSZ101" s="46"/>
      <c r="RTA101" s="46"/>
      <c r="RTB101" s="46"/>
      <c r="RTC101" s="46"/>
      <c r="RTD101" s="46"/>
      <c r="RTE101" s="46"/>
      <c r="RTF101" s="46"/>
      <c r="RTG101" s="46"/>
      <c r="RTH101" s="46"/>
      <c r="RTI101" s="46"/>
      <c r="RTJ101" s="46"/>
      <c r="RTK101" s="46"/>
      <c r="RTL101" s="46"/>
      <c r="RTM101" s="46"/>
      <c r="RTN101" s="46"/>
      <c r="RTO101" s="46"/>
      <c r="RTP101" s="46"/>
      <c r="RTQ101" s="46"/>
      <c r="RTR101" s="46"/>
      <c r="RTS101" s="46"/>
      <c r="RTT101" s="46"/>
      <c r="RTU101" s="46"/>
      <c r="RTV101" s="46"/>
      <c r="RTW101" s="46"/>
      <c r="RTX101" s="46"/>
      <c r="RTY101" s="46"/>
      <c r="RTZ101" s="46"/>
      <c r="RUA101" s="46"/>
      <c r="RUB101" s="46"/>
      <c r="RUC101" s="46"/>
      <c r="RUD101" s="46"/>
      <c r="RUE101" s="46"/>
      <c r="RUF101" s="46"/>
      <c r="RUG101" s="46"/>
      <c r="RUH101" s="46"/>
      <c r="RUI101" s="46"/>
      <c r="RUJ101" s="46"/>
      <c r="RUK101" s="46"/>
      <c r="RUL101" s="46"/>
      <c r="RUM101" s="46"/>
      <c r="RUN101" s="46"/>
      <c r="RUO101" s="46"/>
      <c r="RUP101" s="46"/>
      <c r="RUQ101" s="46"/>
      <c r="RUR101" s="46"/>
      <c r="RUS101" s="46"/>
      <c r="RUT101" s="46"/>
      <c r="RUU101" s="46"/>
      <c r="RUV101" s="46"/>
      <c r="RUW101" s="46"/>
      <c r="RUX101" s="46"/>
      <c r="RUY101" s="46"/>
      <c r="RUZ101" s="46"/>
      <c r="RVA101" s="46"/>
      <c r="RVB101" s="46"/>
      <c r="RVC101" s="46"/>
      <c r="RVD101" s="46"/>
      <c r="RVE101" s="46"/>
      <c r="RVF101" s="46"/>
      <c r="RVG101" s="46"/>
      <c r="RVH101" s="46"/>
      <c r="RVI101" s="46"/>
      <c r="RVJ101" s="46"/>
      <c r="RVK101" s="46"/>
      <c r="RVL101" s="46"/>
      <c r="RVM101" s="46"/>
      <c r="RVN101" s="46"/>
      <c r="RVO101" s="46"/>
      <c r="RVP101" s="46"/>
      <c r="RVQ101" s="46"/>
      <c r="RVR101" s="46"/>
      <c r="RVS101" s="46"/>
      <c r="RVT101" s="46"/>
      <c r="RVU101" s="46"/>
      <c r="RVV101" s="46"/>
      <c r="RVW101" s="46"/>
      <c r="RVX101" s="46"/>
      <c r="RVY101" s="46"/>
      <c r="RVZ101" s="46"/>
      <c r="RWA101" s="46"/>
      <c r="RWB101" s="46"/>
      <c r="RWC101" s="46"/>
      <c r="RWD101" s="46"/>
      <c r="RWE101" s="46"/>
      <c r="RWF101" s="46"/>
      <c r="RWG101" s="46"/>
      <c r="RWH101" s="46"/>
      <c r="RWI101" s="46"/>
      <c r="RWJ101" s="46"/>
      <c r="RWK101" s="46"/>
      <c r="RWL101" s="46"/>
      <c r="RWM101" s="46"/>
      <c r="RWN101" s="46"/>
      <c r="RWO101" s="46"/>
      <c r="RWP101" s="46"/>
      <c r="RWQ101" s="46"/>
      <c r="RWR101" s="46"/>
      <c r="RWS101" s="46"/>
      <c r="RWT101" s="46"/>
      <c r="RWU101" s="46"/>
      <c r="RWV101" s="46"/>
      <c r="RWW101" s="46"/>
      <c r="RWX101" s="46"/>
      <c r="RWY101" s="46"/>
      <c r="RWZ101" s="46"/>
      <c r="RXA101" s="46"/>
      <c r="RXB101" s="46"/>
      <c r="RXC101" s="46"/>
      <c r="RXD101" s="46"/>
      <c r="RXE101" s="46"/>
      <c r="RXF101" s="46"/>
      <c r="RXG101" s="46"/>
      <c r="RXH101" s="46"/>
      <c r="RXI101" s="46"/>
      <c r="RXJ101" s="46"/>
      <c r="RXK101" s="46"/>
      <c r="RXL101" s="46"/>
      <c r="RXM101" s="46"/>
      <c r="RXN101" s="46"/>
      <c r="RXO101" s="46"/>
      <c r="RXP101" s="46"/>
      <c r="RXQ101" s="46"/>
      <c r="RXR101" s="46"/>
      <c r="RXS101" s="46"/>
      <c r="RXT101" s="46"/>
      <c r="RXU101" s="46"/>
      <c r="RXV101" s="46"/>
      <c r="RXW101" s="46"/>
      <c r="RXX101" s="46"/>
      <c r="RXY101" s="46"/>
      <c r="RXZ101" s="46"/>
      <c r="RYA101" s="46"/>
      <c r="RYB101" s="46"/>
      <c r="RYC101" s="46"/>
      <c r="RYD101" s="46"/>
      <c r="RYE101" s="46"/>
      <c r="RYF101" s="46"/>
      <c r="RYG101" s="46"/>
      <c r="RYH101" s="46"/>
      <c r="RYI101" s="46"/>
      <c r="RYJ101" s="46"/>
      <c r="RYK101" s="46"/>
      <c r="RYL101" s="46"/>
      <c r="RYM101" s="46"/>
      <c r="RYN101" s="46"/>
      <c r="RYO101" s="46"/>
      <c r="RYP101" s="46"/>
      <c r="RYQ101" s="46"/>
      <c r="RYR101" s="46"/>
      <c r="RYS101" s="46"/>
      <c r="RYT101" s="46"/>
      <c r="RYU101" s="46"/>
      <c r="RYV101" s="46"/>
      <c r="RYW101" s="46"/>
      <c r="RYX101" s="46"/>
      <c r="RYY101" s="46"/>
      <c r="RYZ101" s="46"/>
      <c r="RZA101" s="46"/>
      <c r="RZB101" s="46"/>
      <c r="RZC101" s="46"/>
      <c r="RZD101" s="46"/>
      <c r="RZE101" s="46"/>
      <c r="RZF101" s="46"/>
      <c r="RZG101" s="46"/>
      <c r="RZH101" s="46"/>
      <c r="RZI101" s="46"/>
      <c r="RZJ101" s="46"/>
      <c r="RZK101" s="46"/>
      <c r="RZL101" s="46"/>
      <c r="RZM101" s="46"/>
      <c r="RZN101" s="46"/>
      <c r="RZO101" s="46"/>
      <c r="RZP101" s="46"/>
      <c r="RZQ101" s="46"/>
      <c r="RZR101" s="46"/>
      <c r="RZS101" s="46"/>
      <c r="RZT101" s="46"/>
      <c r="RZU101" s="46"/>
      <c r="RZV101" s="46"/>
      <c r="RZW101" s="46"/>
      <c r="RZX101" s="46"/>
      <c r="RZY101" s="46"/>
      <c r="RZZ101" s="46"/>
      <c r="SAA101" s="46"/>
      <c r="SAB101" s="46"/>
      <c r="SAC101" s="46"/>
      <c r="SAD101" s="46"/>
      <c r="SAE101" s="46"/>
      <c r="SAF101" s="46"/>
      <c r="SAG101" s="46"/>
      <c r="SAH101" s="46"/>
      <c r="SAI101" s="46"/>
      <c r="SAJ101" s="46"/>
      <c r="SAK101" s="46"/>
      <c r="SAL101" s="46"/>
      <c r="SAM101" s="46"/>
      <c r="SAN101" s="46"/>
      <c r="SAO101" s="46"/>
      <c r="SAP101" s="46"/>
      <c r="SAQ101" s="46"/>
      <c r="SAR101" s="46"/>
      <c r="SAS101" s="46"/>
      <c r="SAT101" s="46"/>
      <c r="SAU101" s="46"/>
      <c r="SAV101" s="46"/>
      <c r="SAW101" s="46"/>
      <c r="SAX101" s="46"/>
      <c r="SAY101" s="46"/>
      <c r="SAZ101" s="46"/>
      <c r="SBA101" s="46"/>
      <c r="SBB101" s="46"/>
      <c r="SBC101" s="46"/>
      <c r="SBD101" s="46"/>
      <c r="SBE101" s="46"/>
      <c r="SBF101" s="46"/>
      <c r="SBG101" s="46"/>
      <c r="SBH101" s="46"/>
      <c r="SBI101" s="46"/>
      <c r="SBJ101" s="46"/>
      <c r="SBK101" s="46"/>
      <c r="SBL101" s="46"/>
      <c r="SBM101" s="46"/>
      <c r="SBN101" s="46"/>
      <c r="SBO101" s="46"/>
      <c r="SBP101" s="46"/>
      <c r="SBQ101" s="46"/>
      <c r="SBR101" s="46"/>
      <c r="SBS101" s="46"/>
      <c r="SBT101" s="46"/>
      <c r="SBU101" s="46"/>
      <c r="SBV101" s="46"/>
      <c r="SBW101" s="46"/>
      <c r="SBX101" s="46"/>
      <c r="SBY101" s="46"/>
      <c r="SBZ101" s="46"/>
      <c r="SCA101" s="46"/>
      <c r="SCB101" s="46"/>
      <c r="SCC101" s="46"/>
      <c r="SCD101" s="46"/>
      <c r="SCE101" s="46"/>
      <c r="SCF101" s="46"/>
      <c r="SCG101" s="46"/>
      <c r="SCH101" s="46"/>
      <c r="SCI101" s="46"/>
      <c r="SCJ101" s="46"/>
      <c r="SCK101" s="46"/>
      <c r="SCL101" s="46"/>
      <c r="SCM101" s="46"/>
      <c r="SCN101" s="46"/>
      <c r="SCO101" s="46"/>
      <c r="SCP101" s="46"/>
      <c r="SCQ101" s="46"/>
      <c r="SCR101" s="46"/>
      <c r="SCS101" s="46"/>
      <c r="SCT101" s="46"/>
      <c r="SCU101" s="46"/>
      <c r="SCV101" s="46"/>
      <c r="SCW101" s="46"/>
      <c r="SCX101" s="46"/>
      <c r="SCY101" s="46"/>
      <c r="SCZ101" s="46"/>
      <c r="SDA101" s="46"/>
      <c r="SDB101" s="46"/>
      <c r="SDC101" s="46"/>
      <c r="SDD101" s="46"/>
      <c r="SDE101" s="46"/>
      <c r="SDF101" s="46"/>
      <c r="SDG101" s="46"/>
      <c r="SDH101" s="46"/>
      <c r="SDI101" s="46"/>
      <c r="SDJ101" s="46"/>
      <c r="SDK101" s="46"/>
      <c r="SDL101" s="46"/>
      <c r="SDM101" s="46"/>
      <c r="SDN101" s="46"/>
      <c r="SDO101" s="46"/>
      <c r="SDP101" s="46"/>
      <c r="SDQ101" s="46"/>
      <c r="SDR101" s="46"/>
      <c r="SDS101" s="46"/>
      <c r="SDT101" s="46"/>
      <c r="SDU101" s="46"/>
      <c r="SDV101" s="46"/>
      <c r="SDW101" s="46"/>
      <c r="SDX101" s="46"/>
      <c r="SDY101" s="46"/>
      <c r="SDZ101" s="46"/>
      <c r="SEA101" s="46"/>
      <c r="SEB101" s="46"/>
      <c r="SEC101" s="46"/>
      <c r="SED101" s="46"/>
      <c r="SEE101" s="46"/>
      <c r="SEF101" s="46"/>
      <c r="SEG101" s="46"/>
      <c r="SEH101" s="46"/>
      <c r="SEI101" s="46"/>
      <c r="SEJ101" s="46"/>
      <c r="SEK101" s="46"/>
      <c r="SEL101" s="46"/>
      <c r="SEM101" s="46"/>
      <c r="SEN101" s="46"/>
      <c r="SEO101" s="46"/>
      <c r="SEP101" s="46"/>
      <c r="SEQ101" s="46"/>
      <c r="SER101" s="46"/>
      <c r="SES101" s="46"/>
      <c r="SET101" s="46"/>
      <c r="SEU101" s="46"/>
      <c r="SEV101" s="46"/>
      <c r="SEW101" s="46"/>
      <c r="SEX101" s="46"/>
      <c r="SEY101" s="46"/>
      <c r="SEZ101" s="46"/>
      <c r="SFA101" s="46"/>
      <c r="SFB101" s="46"/>
      <c r="SFC101" s="46"/>
      <c r="SFD101" s="46"/>
      <c r="SFE101" s="46"/>
      <c r="SFF101" s="46"/>
      <c r="SFG101" s="46"/>
      <c r="SFH101" s="46"/>
      <c r="SFI101" s="46"/>
      <c r="SFJ101" s="46"/>
      <c r="SFK101" s="46"/>
      <c r="SFL101" s="46"/>
      <c r="SFM101" s="46"/>
      <c r="SFN101" s="46"/>
      <c r="SFO101" s="46"/>
      <c r="SFP101" s="46"/>
      <c r="SFQ101" s="46"/>
      <c r="SFR101" s="46"/>
      <c r="SFS101" s="46"/>
      <c r="SFT101" s="46"/>
      <c r="SFU101" s="46"/>
      <c r="SFV101" s="46"/>
      <c r="SFW101" s="46"/>
      <c r="SFX101" s="46"/>
      <c r="SFY101" s="46"/>
      <c r="SFZ101" s="46"/>
      <c r="SGA101" s="46"/>
      <c r="SGB101" s="46"/>
      <c r="SGC101" s="46"/>
      <c r="SGD101" s="46"/>
      <c r="SGE101" s="46"/>
      <c r="SGF101" s="46"/>
      <c r="SGG101" s="46"/>
      <c r="SGH101" s="46"/>
      <c r="SGI101" s="46"/>
      <c r="SGJ101" s="46"/>
      <c r="SGK101" s="46"/>
      <c r="SGL101" s="46"/>
      <c r="SGM101" s="46"/>
      <c r="SGN101" s="46"/>
      <c r="SGO101" s="46"/>
      <c r="SGP101" s="46"/>
      <c r="SGQ101" s="46"/>
      <c r="SGR101" s="46"/>
      <c r="SGS101" s="46"/>
      <c r="SGT101" s="46"/>
      <c r="SGU101" s="46"/>
      <c r="SGV101" s="46"/>
      <c r="SGW101" s="46"/>
      <c r="SGX101" s="46"/>
      <c r="SGY101" s="46"/>
      <c r="SGZ101" s="46"/>
      <c r="SHA101" s="46"/>
      <c r="SHB101" s="46"/>
      <c r="SHC101" s="46"/>
      <c r="SHD101" s="46"/>
      <c r="SHE101" s="46"/>
      <c r="SHF101" s="46"/>
      <c r="SHG101" s="46"/>
      <c r="SHH101" s="46"/>
      <c r="SHI101" s="46"/>
      <c r="SHJ101" s="46"/>
      <c r="SHK101" s="46"/>
      <c r="SHL101" s="46"/>
      <c r="SHM101" s="46"/>
      <c r="SHN101" s="46"/>
      <c r="SHO101" s="46"/>
      <c r="SHP101" s="46"/>
      <c r="SHQ101" s="46"/>
      <c r="SHR101" s="46"/>
      <c r="SHS101" s="46"/>
      <c r="SHT101" s="46"/>
      <c r="SHU101" s="46"/>
      <c r="SHV101" s="46"/>
      <c r="SHW101" s="46"/>
      <c r="SHX101" s="46"/>
      <c r="SHY101" s="46"/>
      <c r="SHZ101" s="46"/>
      <c r="SIA101" s="46"/>
      <c r="SIB101" s="46"/>
      <c r="SIC101" s="46"/>
      <c r="SID101" s="46"/>
      <c r="SIE101" s="46"/>
      <c r="SIF101" s="46"/>
      <c r="SIG101" s="46"/>
      <c r="SIH101" s="46"/>
      <c r="SII101" s="46"/>
      <c r="SIJ101" s="46"/>
      <c r="SIK101" s="46"/>
      <c r="SIL101" s="46"/>
      <c r="SIM101" s="46"/>
      <c r="SIN101" s="46"/>
      <c r="SIO101" s="46"/>
      <c r="SIP101" s="46"/>
      <c r="SIQ101" s="46"/>
      <c r="SIR101" s="46"/>
      <c r="SIS101" s="46"/>
      <c r="SIT101" s="46"/>
      <c r="SIU101" s="46"/>
      <c r="SIV101" s="46"/>
      <c r="SIW101" s="46"/>
      <c r="SIX101" s="46"/>
      <c r="SIY101" s="46"/>
      <c r="SIZ101" s="46"/>
      <c r="SJA101" s="46"/>
      <c r="SJB101" s="46"/>
      <c r="SJC101" s="46"/>
      <c r="SJD101" s="46"/>
      <c r="SJE101" s="46"/>
      <c r="SJF101" s="46"/>
      <c r="SJG101" s="46"/>
      <c r="SJH101" s="46"/>
      <c r="SJI101" s="46"/>
      <c r="SJJ101" s="46"/>
      <c r="SJK101" s="46"/>
      <c r="SJL101" s="46"/>
      <c r="SJM101" s="46"/>
      <c r="SJN101" s="46"/>
      <c r="SJO101" s="46"/>
      <c r="SJP101" s="46"/>
      <c r="SJQ101" s="46"/>
      <c r="SJR101" s="46"/>
      <c r="SJS101" s="46"/>
      <c r="SJT101" s="46"/>
      <c r="SJU101" s="46"/>
      <c r="SJV101" s="46"/>
      <c r="SJW101" s="46"/>
      <c r="SJX101" s="46"/>
      <c r="SJY101" s="46"/>
      <c r="SJZ101" s="46"/>
      <c r="SKA101" s="46"/>
      <c r="SKB101" s="46"/>
      <c r="SKC101" s="46"/>
      <c r="SKD101" s="46"/>
      <c r="SKE101" s="46"/>
      <c r="SKF101" s="46"/>
      <c r="SKG101" s="46"/>
      <c r="SKH101" s="46"/>
      <c r="SKI101" s="46"/>
      <c r="SKJ101" s="46"/>
      <c r="SKK101" s="46"/>
      <c r="SKL101" s="46"/>
      <c r="SKM101" s="46"/>
      <c r="SKN101" s="46"/>
      <c r="SKO101" s="46"/>
      <c r="SKP101" s="46"/>
      <c r="SKQ101" s="46"/>
      <c r="SKR101" s="46"/>
      <c r="SKS101" s="46"/>
      <c r="SKT101" s="46"/>
      <c r="SKU101" s="46"/>
      <c r="SKV101" s="46"/>
      <c r="SKW101" s="46"/>
      <c r="SKX101" s="46"/>
      <c r="SKY101" s="46"/>
      <c r="SKZ101" s="46"/>
      <c r="SLA101" s="46"/>
      <c r="SLB101" s="46"/>
      <c r="SLC101" s="46"/>
      <c r="SLD101" s="46"/>
      <c r="SLE101" s="46"/>
      <c r="SLF101" s="46"/>
      <c r="SLG101" s="46"/>
      <c r="SLH101" s="46"/>
      <c r="SLI101" s="46"/>
      <c r="SLJ101" s="46"/>
      <c r="SLK101" s="46"/>
      <c r="SLL101" s="46"/>
      <c r="SLM101" s="46"/>
      <c r="SLN101" s="46"/>
      <c r="SLO101" s="46"/>
      <c r="SLP101" s="46"/>
      <c r="SLQ101" s="46"/>
      <c r="SLR101" s="46"/>
      <c r="SLS101" s="46"/>
      <c r="SLT101" s="46"/>
      <c r="SLU101" s="46"/>
      <c r="SLV101" s="46"/>
      <c r="SLW101" s="46"/>
      <c r="SLX101" s="46"/>
      <c r="SLY101" s="46"/>
      <c r="SLZ101" s="46"/>
      <c r="SMA101" s="46"/>
      <c r="SMB101" s="46"/>
      <c r="SMC101" s="46"/>
      <c r="SMD101" s="46"/>
      <c r="SME101" s="46"/>
      <c r="SMF101" s="46"/>
      <c r="SMG101" s="46"/>
      <c r="SMH101" s="46"/>
      <c r="SMI101" s="46"/>
      <c r="SMJ101" s="46"/>
      <c r="SMK101" s="46"/>
      <c r="SML101" s="46"/>
      <c r="SMM101" s="46"/>
      <c r="SMN101" s="46"/>
      <c r="SMO101" s="46"/>
      <c r="SMP101" s="46"/>
      <c r="SMQ101" s="46"/>
      <c r="SMR101" s="46"/>
      <c r="SMS101" s="46"/>
      <c r="SMT101" s="46"/>
      <c r="SMU101" s="46"/>
      <c r="SMV101" s="46"/>
      <c r="SMW101" s="46"/>
      <c r="SMX101" s="46"/>
      <c r="SMY101" s="46"/>
      <c r="SMZ101" s="46"/>
      <c r="SNA101" s="46"/>
      <c r="SNB101" s="46"/>
      <c r="SNC101" s="46"/>
      <c r="SND101" s="46"/>
      <c r="SNE101" s="46"/>
      <c r="SNF101" s="46"/>
      <c r="SNG101" s="46"/>
      <c r="SNH101" s="46"/>
      <c r="SNI101" s="46"/>
      <c r="SNJ101" s="46"/>
      <c r="SNK101" s="46"/>
      <c r="SNL101" s="46"/>
      <c r="SNM101" s="46"/>
      <c r="SNN101" s="46"/>
      <c r="SNO101" s="46"/>
      <c r="SNP101" s="46"/>
      <c r="SNQ101" s="46"/>
      <c r="SNR101" s="46"/>
      <c r="SNS101" s="46"/>
      <c r="SNT101" s="46"/>
      <c r="SNU101" s="46"/>
      <c r="SNV101" s="46"/>
      <c r="SNW101" s="46"/>
      <c r="SNX101" s="46"/>
      <c r="SNY101" s="46"/>
      <c r="SNZ101" s="46"/>
      <c r="SOA101" s="46"/>
      <c r="SOB101" s="46"/>
      <c r="SOC101" s="46"/>
      <c r="SOD101" s="46"/>
      <c r="SOE101" s="46"/>
      <c r="SOF101" s="46"/>
      <c r="SOG101" s="46"/>
      <c r="SOH101" s="46"/>
      <c r="SOI101" s="46"/>
      <c r="SOJ101" s="46"/>
      <c r="SOK101" s="46"/>
      <c r="SOL101" s="46"/>
      <c r="SOM101" s="46"/>
      <c r="SON101" s="46"/>
      <c r="SOO101" s="46"/>
      <c r="SOP101" s="46"/>
      <c r="SOQ101" s="46"/>
      <c r="SOR101" s="46"/>
      <c r="SOS101" s="46"/>
      <c r="SOT101" s="46"/>
      <c r="SOU101" s="46"/>
      <c r="SOV101" s="46"/>
      <c r="SOW101" s="46"/>
      <c r="SOX101" s="46"/>
      <c r="SOY101" s="46"/>
      <c r="SOZ101" s="46"/>
      <c r="SPA101" s="46"/>
      <c r="SPB101" s="46"/>
      <c r="SPC101" s="46"/>
      <c r="SPD101" s="46"/>
      <c r="SPE101" s="46"/>
      <c r="SPF101" s="46"/>
      <c r="SPG101" s="46"/>
      <c r="SPH101" s="46"/>
      <c r="SPI101" s="46"/>
      <c r="SPJ101" s="46"/>
      <c r="SPK101" s="46"/>
      <c r="SPL101" s="46"/>
      <c r="SPM101" s="46"/>
      <c r="SPN101" s="46"/>
      <c r="SPO101" s="46"/>
      <c r="SPP101" s="46"/>
      <c r="SPQ101" s="46"/>
      <c r="SPR101" s="46"/>
      <c r="SPS101" s="46"/>
      <c r="SPT101" s="46"/>
      <c r="SPU101" s="46"/>
      <c r="SPV101" s="46"/>
      <c r="SPW101" s="46"/>
      <c r="SPX101" s="46"/>
      <c r="SPY101" s="46"/>
      <c r="SPZ101" s="46"/>
      <c r="SQA101" s="46"/>
      <c r="SQB101" s="46"/>
      <c r="SQC101" s="46"/>
      <c r="SQD101" s="46"/>
      <c r="SQE101" s="46"/>
      <c r="SQF101" s="46"/>
      <c r="SQG101" s="46"/>
      <c r="SQH101" s="46"/>
      <c r="SQI101" s="46"/>
      <c r="SQJ101" s="46"/>
      <c r="SQK101" s="46"/>
      <c r="SQL101" s="46"/>
      <c r="SQM101" s="46"/>
      <c r="SQN101" s="46"/>
      <c r="SQO101" s="46"/>
      <c r="SQP101" s="46"/>
      <c r="SQQ101" s="46"/>
      <c r="SQR101" s="46"/>
      <c r="SQS101" s="46"/>
      <c r="SQT101" s="46"/>
      <c r="SQU101" s="46"/>
      <c r="SQV101" s="46"/>
      <c r="SQW101" s="46"/>
      <c r="SQX101" s="46"/>
      <c r="SQY101" s="46"/>
      <c r="SQZ101" s="46"/>
      <c r="SRA101" s="46"/>
      <c r="SRB101" s="46"/>
      <c r="SRC101" s="46"/>
      <c r="SRD101" s="46"/>
      <c r="SRE101" s="46"/>
      <c r="SRF101" s="46"/>
      <c r="SRG101" s="46"/>
      <c r="SRH101" s="46"/>
      <c r="SRI101" s="46"/>
      <c r="SRJ101" s="46"/>
      <c r="SRK101" s="46"/>
      <c r="SRL101" s="46"/>
      <c r="SRM101" s="46"/>
      <c r="SRN101" s="46"/>
      <c r="SRO101" s="46"/>
      <c r="SRP101" s="46"/>
      <c r="SRQ101" s="46"/>
      <c r="SRR101" s="46"/>
      <c r="SRS101" s="46"/>
      <c r="SRT101" s="46"/>
      <c r="SRU101" s="46"/>
      <c r="SRV101" s="46"/>
      <c r="SRW101" s="46"/>
      <c r="SRX101" s="46"/>
      <c r="SRY101" s="46"/>
      <c r="SRZ101" s="46"/>
      <c r="SSA101" s="46"/>
      <c r="SSB101" s="46"/>
      <c r="SSC101" s="46"/>
      <c r="SSD101" s="46"/>
      <c r="SSE101" s="46"/>
      <c r="SSF101" s="46"/>
      <c r="SSG101" s="46"/>
      <c r="SSH101" s="46"/>
      <c r="SSI101" s="46"/>
      <c r="SSJ101" s="46"/>
      <c r="SSK101" s="46"/>
      <c r="SSL101" s="46"/>
      <c r="SSM101" s="46"/>
      <c r="SSN101" s="46"/>
      <c r="SSO101" s="46"/>
      <c r="SSP101" s="46"/>
      <c r="SSQ101" s="46"/>
      <c r="SSR101" s="46"/>
      <c r="SSS101" s="46"/>
      <c r="SST101" s="46"/>
      <c r="SSU101" s="46"/>
      <c r="SSV101" s="46"/>
      <c r="SSW101" s="46"/>
      <c r="SSX101" s="46"/>
      <c r="SSY101" s="46"/>
      <c r="SSZ101" s="46"/>
      <c r="STA101" s="46"/>
      <c r="STB101" s="46"/>
      <c r="STC101" s="46"/>
      <c r="STD101" s="46"/>
      <c r="STE101" s="46"/>
      <c r="STF101" s="46"/>
      <c r="STG101" s="46"/>
      <c r="STH101" s="46"/>
      <c r="STI101" s="46"/>
      <c r="STJ101" s="46"/>
      <c r="STK101" s="46"/>
      <c r="STL101" s="46"/>
      <c r="STM101" s="46"/>
      <c r="STN101" s="46"/>
      <c r="STO101" s="46"/>
      <c r="STP101" s="46"/>
      <c r="STQ101" s="46"/>
      <c r="STR101" s="46"/>
      <c r="STS101" s="46"/>
      <c r="STT101" s="46"/>
      <c r="STU101" s="46"/>
      <c r="STV101" s="46"/>
      <c r="STW101" s="46"/>
      <c r="STX101" s="46"/>
      <c r="STY101" s="46"/>
      <c r="STZ101" s="46"/>
      <c r="SUA101" s="46"/>
      <c r="SUB101" s="46"/>
      <c r="SUC101" s="46"/>
      <c r="SUD101" s="46"/>
      <c r="SUE101" s="46"/>
      <c r="SUF101" s="46"/>
      <c r="SUG101" s="46"/>
      <c r="SUH101" s="46"/>
      <c r="SUI101" s="46"/>
      <c r="SUJ101" s="46"/>
      <c r="SUK101" s="46"/>
      <c r="SUL101" s="46"/>
      <c r="SUM101" s="46"/>
      <c r="SUN101" s="46"/>
      <c r="SUO101" s="46"/>
      <c r="SUP101" s="46"/>
      <c r="SUQ101" s="46"/>
      <c r="SUR101" s="46"/>
      <c r="SUS101" s="46"/>
      <c r="SUT101" s="46"/>
      <c r="SUU101" s="46"/>
      <c r="SUV101" s="46"/>
      <c r="SUW101" s="46"/>
      <c r="SUX101" s="46"/>
      <c r="SUY101" s="46"/>
      <c r="SUZ101" s="46"/>
      <c r="SVA101" s="46"/>
      <c r="SVB101" s="46"/>
      <c r="SVC101" s="46"/>
      <c r="SVD101" s="46"/>
      <c r="SVE101" s="46"/>
      <c r="SVF101" s="46"/>
      <c r="SVG101" s="46"/>
      <c r="SVH101" s="46"/>
      <c r="SVI101" s="46"/>
      <c r="SVJ101" s="46"/>
      <c r="SVK101" s="46"/>
      <c r="SVL101" s="46"/>
      <c r="SVM101" s="46"/>
      <c r="SVN101" s="46"/>
      <c r="SVO101" s="46"/>
      <c r="SVP101" s="46"/>
      <c r="SVQ101" s="46"/>
      <c r="SVR101" s="46"/>
      <c r="SVS101" s="46"/>
      <c r="SVT101" s="46"/>
      <c r="SVU101" s="46"/>
      <c r="SVV101" s="46"/>
      <c r="SVW101" s="46"/>
      <c r="SVX101" s="46"/>
      <c r="SVY101" s="46"/>
      <c r="SVZ101" s="46"/>
      <c r="SWA101" s="46"/>
      <c r="SWB101" s="46"/>
      <c r="SWC101" s="46"/>
      <c r="SWD101" s="46"/>
      <c r="SWE101" s="46"/>
      <c r="SWF101" s="46"/>
      <c r="SWG101" s="46"/>
      <c r="SWH101" s="46"/>
      <c r="SWI101" s="46"/>
      <c r="SWJ101" s="46"/>
      <c r="SWK101" s="46"/>
      <c r="SWL101" s="46"/>
      <c r="SWM101" s="46"/>
      <c r="SWN101" s="46"/>
      <c r="SWO101" s="46"/>
      <c r="SWP101" s="46"/>
      <c r="SWQ101" s="46"/>
      <c r="SWR101" s="46"/>
      <c r="SWS101" s="46"/>
      <c r="SWT101" s="46"/>
      <c r="SWU101" s="46"/>
      <c r="SWV101" s="46"/>
      <c r="SWW101" s="46"/>
      <c r="SWX101" s="46"/>
      <c r="SWY101" s="46"/>
      <c r="SWZ101" s="46"/>
      <c r="SXA101" s="46"/>
      <c r="SXB101" s="46"/>
      <c r="SXC101" s="46"/>
      <c r="SXD101" s="46"/>
      <c r="SXE101" s="46"/>
      <c r="SXF101" s="46"/>
      <c r="SXG101" s="46"/>
      <c r="SXH101" s="46"/>
      <c r="SXI101" s="46"/>
      <c r="SXJ101" s="46"/>
      <c r="SXK101" s="46"/>
      <c r="SXL101" s="46"/>
      <c r="SXM101" s="46"/>
      <c r="SXN101" s="46"/>
      <c r="SXO101" s="46"/>
      <c r="SXP101" s="46"/>
      <c r="SXQ101" s="46"/>
      <c r="SXR101" s="46"/>
      <c r="SXS101" s="46"/>
      <c r="SXT101" s="46"/>
      <c r="SXU101" s="46"/>
      <c r="SXV101" s="46"/>
      <c r="SXW101" s="46"/>
      <c r="SXX101" s="46"/>
      <c r="SXY101" s="46"/>
      <c r="SXZ101" s="46"/>
      <c r="SYA101" s="46"/>
      <c r="SYB101" s="46"/>
      <c r="SYC101" s="46"/>
      <c r="SYD101" s="46"/>
      <c r="SYE101" s="46"/>
      <c r="SYF101" s="46"/>
      <c r="SYG101" s="46"/>
      <c r="SYH101" s="46"/>
      <c r="SYI101" s="46"/>
      <c r="SYJ101" s="46"/>
      <c r="SYK101" s="46"/>
      <c r="SYL101" s="46"/>
      <c r="SYM101" s="46"/>
      <c r="SYN101" s="46"/>
      <c r="SYO101" s="46"/>
      <c r="SYP101" s="46"/>
      <c r="SYQ101" s="46"/>
      <c r="SYR101" s="46"/>
      <c r="SYS101" s="46"/>
      <c r="SYT101" s="46"/>
      <c r="SYU101" s="46"/>
      <c r="SYV101" s="46"/>
      <c r="SYW101" s="46"/>
      <c r="SYX101" s="46"/>
      <c r="SYY101" s="46"/>
      <c r="SYZ101" s="46"/>
      <c r="SZA101" s="46"/>
      <c r="SZB101" s="46"/>
      <c r="SZC101" s="46"/>
      <c r="SZD101" s="46"/>
      <c r="SZE101" s="46"/>
      <c r="SZF101" s="46"/>
      <c r="SZG101" s="46"/>
      <c r="SZH101" s="46"/>
      <c r="SZI101" s="46"/>
      <c r="SZJ101" s="46"/>
      <c r="SZK101" s="46"/>
      <c r="SZL101" s="46"/>
      <c r="SZM101" s="46"/>
      <c r="SZN101" s="46"/>
      <c r="SZO101" s="46"/>
      <c r="SZP101" s="46"/>
      <c r="SZQ101" s="46"/>
      <c r="SZR101" s="46"/>
      <c r="SZS101" s="46"/>
      <c r="SZT101" s="46"/>
      <c r="SZU101" s="46"/>
      <c r="SZV101" s="46"/>
      <c r="SZW101" s="46"/>
      <c r="SZX101" s="46"/>
      <c r="SZY101" s="46"/>
      <c r="SZZ101" s="46"/>
      <c r="TAA101" s="46"/>
      <c r="TAB101" s="46"/>
      <c r="TAC101" s="46"/>
      <c r="TAD101" s="46"/>
      <c r="TAE101" s="46"/>
      <c r="TAF101" s="46"/>
      <c r="TAG101" s="46"/>
      <c r="TAH101" s="46"/>
      <c r="TAI101" s="46"/>
      <c r="TAJ101" s="46"/>
      <c r="TAK101" s="46"/>
      <c r="TAL101" s="46"/>
      <c r="TAM101" s="46"/>
      <c r="TAN101" s="46"/>
      <c r="TAO101" s="46"/>
      <c r="TAP101" s="46"/>
      <c r="TAQ101" s="46"/>
      <c r="TAR101" s="46"/>
      <c r="TAS101" s="46"/>
      <c r="TAT101" s="46"/>
      <c r="TAU101" s="46"/>
      <c r="TAV101" s="46"/>
      <c r="TAW101" s="46"/>
      <c r="TAX101" s="46"/>
      <c r="TAY101" s="46"/>
      <c r="TAZ101" s="46"/>
      <c r="TBA101" s="46"/>
      <c r="TBB101" s="46"/>
      <c r="TBC101" s="46"/>
      <c r="TBD101" s="46"/>
      <c r="TBE101" s="46"/>
      <c r="TBF101" s="46"/>
      <c r="TBG101" s="46"/>
      <c r="TBH101" s="46"/>
      <c r="TBI101" s="46"/>
      <c r="TBJ101" s="46"/>
      <c r="TBK101" s="46"/>
      <c r="TBL101" s="46"/>
      <c r="TBM101" s="46"/>
      <c r="TBN101" s="46"/>
      <c r="TBO101" s="46"/>
      <c r="TBP101" s="46"/>
      <c r="TBQ101" s="46"/>
      <c r="TBR101" s="46"/>
      <c r="TBS101" s="46"/>
      <c r="TBT101" s="46"/>
      <c r="TBU101" s="46"/>
      <c r="TBV101" s="46"/>
      <c r="TBW101" s="46"/>
      <c r="TBX101" s="46"/>
      <c r="TBY101" s="46"/>
      <c r="TBZ101" s="46"/>
      <c r="TCA101" s="46"/>
      <c r="TCB101" s="46"/>
      <c r="TCC101" s="46"/>
      <c r="TCD101" s="46"/>
      <c r="TCE101" s="46"/>
      <c r="TCF101" s="46"/>
      <c r="TCG101" s="46"/>
      <c r="TCH101" s="46"/>
      <c r="TCI101" s="46"/>
      <c r="TCJ101" s="46"/>
      <c r="TCK101" s="46"/>
      <c r="TCL101" s="46"/>
      <c r="TCM101" s="46"/>
      <c r="TCN101" s="46"/>
      <c r="TCO101" s="46"/>
      <c r="TCP101" s="46"/>
      <c r="TCQ101" s="46"/>
      <c r="TCR101" s="46"/>
      <c r="TCS101" s="46"/>
      <c r="TCT101" s="46"/>
      <c r="TCU101" s="46"/>
      <c r="TCV101" s="46"/>
      <c r="TCW101" s="46"/>
      <c r="TCX101" s="46"/>
      <c r="TCY101" s="46"/>
      <c r="TCZ101" s="46"/>
      <c r="TDA101" s="46"/>
      <c r="TDB101" s="46"/>
      <c r="TDC101" s="46"/>
      <c r="TDD101" s="46"/>
      <c r="TDE101" s="46"/>
      <c r="TDF101" s="46"/>
      <c r="TDG101" s="46"/>
      <c r="TDH101" s="46"/>
      <c r="TDI101" s="46"/>
      <c r="TDJ101" s="46"/>
      <c r="TDK101" s="46"/>
      <c r="TDL101" s="46"/>
      <c r="TDM101" s="46"/>
      <c r="TDN101" s="46"/>
      <c r="TDO101" s="46"/>
      <c r="TDP101" s="46"/>
      <c r="TDQ101" s="46"/>
      <c r="TDR101" s="46"/>
      <c r="TDS101" s="46"/>
      <c r="TDT101" s="46"/>
      <c r="TDU101" s="46"/>
      <c r="TDV101" s="46"/>
      <c r="TDW101" s="46"/>
      <c r="TDX101" s="46"/>
      <c r="TDY101" s="46"/>
      <c r="TDZ101" s="46"/>
      <c r="TEA101" s="46"/>
      <c r="TEB101" s="46"/>
      <c r="TEC101" s="46"/>
      <c r="TED101" s="46"/>
      <c r="TEE101" s="46"/>
      <c r="TEF101" s="46"/>
      <c r="TEG101" s="46"/>
      <c r="TEH101" s="46"/>
      <c r="TEI101" s="46"/>
      <c r="TEJ101" s="46"/>
      <c r="TEK101" s="46"/>
      <c r="TEL101" s="46"/>
      <c r="TEM101" s="46"/>
      <c r="TEN101" s="46"/>
      <c r="TEO101" s="46"/>
      <c r="TEP101" s="46"/>
      <c r="TEQ101" s="46"/>
      <c r="TER101" s="46"/>
      <c r="TES101" s="46"/>
      <c r="TET101" s="46"/>
      <c r="TEU101" s="46"/>
      <c r="TEV101" s="46"/>
      <c r="TEW101" s="46"/>
      <c r="TEX101" s="46"/>
      <c r="TEY101" s="46"/>
      <c r="TEZ101" s="46"/>
      <c r="TFA101" s="46"/>
      <c r="TFB101" s="46"/>
      <c r="TFC101" s="46"/>
      <c r="TFD101" s="46"/>
      <c r="TFE101" s="46"/>
      <c r="TFF101" s="46"/>
      <c r="TFG101" s="46"/>
      <c r="TFH101" s="46"/>
      <c r="TFI101" s="46"/>
      <c r="TFJ101" s="46"/>
      <c r="TFK101" s="46"/>
      <c r="TFL101" s="46"/>
      <c r="TFM101" s="46"/>
      <c r="TFN101" s="46"/>
      <c r="TFO101" s="46"/>
      <c r="TFP101" s="46"/>
      <c r="TFQ101" s="46"/>
      <c r="TFR101" s="46"/>
      <c r="TFS101" s="46"/>
      <c r="TFT101" s="46"/>
      <c r="TFU101" s="46"/>
      <c r="TFV101" s="46"/>
      <c r="TFW101" s="46"/>
      <c r="TFX101" s="46"/>
      <c r="TFY101" s="46"/>
      <c r="TFZ101" s="46"/>
      <c r="TGA101" s="46"/>
      <c r="TGB101" s="46"/>
      <c r="TGC101" s="46"/>
      <c r="TGD101" s="46"/>
      <c r="TGE101" s="46"/>
      <c r="TGF101" s="46"/>
      <c r="TGG101" s="46"/>
      <c r="TGH101" s="46"/>
      <c r="TGI101" s="46"/>
      <c r="TGJ101" s="46"/>
      <c r="TGK101" s="46"/>
      <c r="TGL101" s="46"/>
      <c r="TGM101" s="46"/>
      <c r="TGN101" s="46"/>
      <c r="TGO101" s="46"/>
      <c r="TGP101" s="46"/>
      <c r="TGQ101" s="46"/>
      <c r="TGR101" s="46"/>
      <c r="TGS101" s="46"/>
      <c r="TGT101" s="46"/>
      <c r="TGU101" s="46"/>
      <c r="TGV101" s="46"/>
      <c r="TGW101" s="46"/>
      <c r="TGX101" s="46"/>
      <c r="TGY101" s="46"/>
      <c r="TGZ101" s="46"/>
      <c r="THA101" s="46"/>
      <c r="THB101" s="46"/>
      <c r="THC101" s="46"/>
      <c r="THD101" s="46"/>
      <c r="THE101" s="46"/>
      <c r="THF101" s="46"/>
      <c r="THG101" s="46"/>
      <c r="THH101" s="46"/>
      <c r="THI101" s="46"/>
      <c r="THJ101" s="46"/>
      <c r="THK101" s="46"/>
      <c r="THL101" s="46"/>
      <c r="THM101" s="46"/>
      <c r="THN101" s="46"/>
      <c r="THO101" s="46"/>
      <c r="THP101" s="46"/>
      <c r="THQ101" s="46"/>
      <c r="THR101" s="46"/>
      <c r="THS101" s="46"/>
      <c r="THT101" s="46"/>
      <c r="THU101" s="46"/>
      <c r="THV101" s="46"/>
      <c r="THW101" s="46"/>
      <c r="THX101" s="46"/>
      <c r="THY101" s="46"/>
      <c r="THZ101" s="46"/>
      <c r="TIA101" s="46"/>
      <c r="TIB101" s="46"/>
      <c r="TIC101" s="46"/>
      <c r="TID101" s="46"/>
      <c r="TIE101" s="46"/>
      <c r="TIF101" s="46"/>
      <c r="TIG101" s="46"/>
      <c r="TIH101" s="46"/>
      <c r="TII101" s="46"/>
      <c r="TIJ101" s="46"/>
      <c r="TIK101" s="46"/>
      <c r="TIL101" s="46"/>
      <c r="TIM101" s="46"/>
      <c r="TIN101" s="46"/>
      <c r="TIO101" s="46"/>
      <c r="TIP101" s="46"/>
      <c r="TIQ101" s="46"/>
      <c r="TIR101" s="46"/>
      <c r="TIS101" s="46"/>
      <c r="TIT101" s="46"/>
      <c r="TIU101" s="46"/>
      <c r="TIV101" s="46"/>
      <c r="TIW101" s="46"/>
      <c r="TIX101" s="46"/>
      <c r="TIY101" s="46"/>
      <c r="TIZ101" s="46"/>
      <c r="TJA101" s="46"/>
      <c r="TJB101" s="46"/>
      <c r="TJC101" s="46"/>
      <c r="TJD101" s="46"/>
      <c r="TJE101" s="46"/>
      <c r="TJF101" s="46"/>
      <c r="TJG101" s="46"/>
      <c r="TJH101" s="46"/>
      <c r="TJI101" s="46"/>
      <c r="TJJ101" s="46"/>
      <c r="TJK101" s="46"/>
      <c r="TJL101" s="46"/>
      <c r="TJM101" s="46"/>
      <c r="TJN101" s="46"/>
      <c r="TJO101" s="46"/>
      <c r="TJP101" s="46"/>
      <c r="TJQ101" s="46"/>
      <c r="TJR101" s="46"/>
      <c r="TJS101" s="46"/>
      <c r="TJT101" s="46"/>
      <c r="TJU101" s="46"/>
      <c r="TJV101" s="46"/>
      <c r="TJW101" s="46"/>
      <c r="TJX101" s="46"/>
      <c r="TJY101" s="46"/>
      <c r="TJZ101" s="46"/>
      <c r="TKA101" s="46"/>
      <c r="TKB101" s="46"/>
      <c r="TKC101" s="46"/>
      <c r="TKD101" s="46"/>
      <c r="TKE101" s="46"/>
      <c r="TKF101" s="46"/>
      <c r="TKG101" s="46"/>
      <c r="TKH101" s="46"/>
      <c r="TKI101" s="46"/>
      <c r="TKJ101" s="46"/>
      <c r="TKK101" s="46"/>
      <c r="TKL101" s="46"/>
      <c r="TKM101" s="46"/>
      <c r="TKN101" s="46"/>
      <c r="TKO101" s="46"/>
      <c r="TKP101" s="46"/>
      <c r="TKQ101" s="46"/>
      <c r="TKR101" s="46"/>
      <c r="TKS101" s="46"/>
      <c r="TKT101" s="46"/>
      <c r="TKU101" s="46"/>
      <c r="TKV101" s="46"/>
      <c r="TKW101" s="46"/>
      <c r="TKX101" s="46"/>
      <c r="TKY101" s="46"/>
      <c r="TKZ101" s="46"/>
      <c r="TLA101" s="46"/>
      <c r="TLB101" s="46"/>
      <c r="TLC101" s="46"/>
      <c r="TLD101" s="46"/>
      <c r="TLE101" s="46"/>
      <c r="TLF101" s="46"/>
      <c r="TLG101" s="46"/>
      <c r="TLH101" s="46"/>
      <c r="TLI101" s="46"/>
      <c r="TLJ101" s="46"/>
      <c r="TLK101" s="46"/>
      <c r="TLL101" s="46"/>
      <c r="TLM101" s="46"/>
      <c r="TLN101" s="46"/>
      <c r="TLO101" s="46"/>
      <c r="TLP101" s="46"/>
      <c r="TLQ101" s="46"/>
      <c r="TLR101" s="46"/>
      <c r="TLS101" s="46"/>
      <c r="TLT101" s="46"/>
      <c r="TLU101" s="46"/>
      <c r="TLV101" s="46"/>
      <c r="TLW101" s="46"/>
      <c r="TLX101" s="46"/>
      <c r="TLY101" s="46"/>
      <c r="TLZ101" s="46"/>
      <c r="TMA101" s="46"/>
      <c r="TMB101" s="46"/>
      <c r="TMC101" s="46"/>
      <c r="TMD101" s="46"/>
      <c r="TME101" s="46"/>
      <c r="TMF101" s="46"/>
      <c r="TMG101" s="46"/>
      <c r="TMH101" s="46"/>
      <c r="TMI101" s="46"/>
      <c r="TMJ101" s="46"/>
      <c r="TMK101" s="46"/>
      <c r="TML101" s="46"/>
      <c r="TMM101" s="46"/>
      <c r="TMN101" s="46"/>
      <c r="TMO101" s="46"/>
      <c r="TMP101" s="46"/>
      <c r="TMQ101" s="46"/>
      <c r="TMR101" s="46"/>
      <c r="TMS101" s="46"/>
      <c r="TMT101" s="46"/>
      <c r="TMU101" s="46"/>
      <c r="TMV101" s="46"/>
      <c r="TMW101" s="46"/>
      <c r="TMX101" s="46"/>
      <c r="TMY101" s="46"/>
      <c r="TMZ101" s="46"/>
      <c r="TNA101" s="46"/>
      <c r="TNB101" s="46"/>
      <c r="TNC101" s="46"/>
      <c r="TND101" s="46"/>
      <c r="TNE101" s="46"/>
      <c r="TNF101" s="46"/>
      <c r="TNG101" s="46"/>
      <c r="TNH101" s="46"/>
      <c r="TNI101" s="46"/>
      <c r="TNJ101" s="46"/>
      <c r="TNK101" s="46"/>
      <c r="TNL101" s="46"/>
      <c r="TNM101" s="46"/>
      <c r="TNN101" s="46"/>
      <c r="TNO101" s="46"/>
      <c r="TNP101" s="46"/>
      <c r="TNQ101" s="46"/>
      <c r="TNR101" s="46"/>
      <c r="TNS101" s="46"/>
      <c r="TNT101" s="46"/>
      <c r="TNU101" s="46"/>
      <c r="TNV101" s="46"/>
      <c r="TNW101" s="46"/>
      <c r="TNX101" s="46"/>
      <c r="TNY101" s="46"/>
      <c r="TNZ101" s="46"/>
      <c r="TOA101" s="46"/>
      <c r="TOB101" s="46"/>
      <c r="TOC101" s="46"/>
      <c r="TOD101" s="46"/>
      <c r="TOE101" s="46"/>
      <c r="TOF101" s="46"/>
      <c r="TOG101" s="46"/>
      <c r="TOH101" s="46"/>
      <c r="TOI101" s="46"/>
      <c r="TOJ101" s="46"/>
      <c r="TOK101" s="46"/>
      <c r="TOL101" s="46"/>
      <c r="TOM101" s="46"/>
      <c r="TON101" s="46"/>
      <c r="TOO101" s="46"/>
      <c r="TOP101" s="46"/>
      <c r="TOQ101" s="46"/>
      <c r="TOR101" s="46"/>
      <c r="TOS101" s="46"/>
      <c r="TOT101" s="46"/>
      <c r="TOU101" s="46"/>
      <c r="TOV101" s="46"/>
      <c r="TOW101" s="46"/>
      <c r="TOX101" s="46"/>
      <c r="TOY101" s="46"/>
      <c r="TOZ101" s="46"/>
      <c r="TPA101" s="46"/>
      <c r="TPB101" s="46"/>
      <c r="TPC101" s="46"/>
      <c r="TPD101" s="46"/>
      <c r="TPE101" s="46"/>
      <c r="TPF101" s="46"/>
      <c r="TPG101" s="46"/>
      <c r="TPH101" s="46"/>
      <c r="TPI101" s="46"/>
      <c r="TPJ101" s="46"/>
      <c r="TPK101" s="46"/>
      <c r="TPL101" s="46"/>
      <c r="TPM101" s="46"/>
      <c r="TPN101" s="46"/>
      <c r="TPO101" s="46"/>
      <c r="TPP101" s="46"/>
      <c r="TPQ101" s="46"/>
      <c r="TPR101" s="46"/>
      <c r="TPS101" s="46"/>
      <c r="TPT101" s="46"/>
      <c r="TPU101" s="46"/>
      <c r="TPV101" s="46"/>
      <c r="TPW101" s="46"/>
      <c r="TPX101" s="46"/>
      <c r="TPY101" s="46"/>
      <c r="TPZ101" s="46"/>
      <c r="TQA101" s="46"/>
      <c r="TQB101" s="46"/>
      <c r="TQC101" s="46"/>
      <c r="TQD101" s="46"/>
      <c r="TQE101" s="46"/>
      <c r="TQF101" s="46"/>
      <c r="TQG101" s="46"/>
      <c r="TQH101" s="46"/>
      <c r="TQI101" s="46"/>
      <c r="TQJ101" s="46"/>
      <c r="TQK101" s="46"/>
      <c r="TQL101" s="46"/>
      <c r="TQM101" s="46"/>
      <c r="TQN101" s="46"/>
      <c r="TQO101" s="46"/>
      <c r="TQP101" s="46"/>
      <c r="TQQ101" s="46"/>
      <c r="TQR101" s="46"/>
      <c r="TQS101" s="46"/>
      <c r="TQT101" s="46"/>
      <c r="TQU101" s="46"/>
      <c r="TQV101" s="46"/>
      <c r="TQW101" s="46"/>
      <c r="TQX101" s="46"/>
      <c r="TQY101" s="46"/>
      <c r="TQZ101" s="46"/>
      <c r="TRA101" s="46"/>
      <c r="TRB101" s="46"/>
      <c r="TRC101" s="46"/>
      <c r="TRD101" s="46"/>
      <c r="TRE101" s="46"/>
      <c r="TRF101" s="46"/>
      <c r="TRG101" s="46"/>
      <c r="TRH101" s="46"/>
      <c r="TRI101" s="46"/>
      <c r="TRJ101" s="46"/>
      <c r="TRK101" s="46"/>
      <c r="TRL101" s="46"/>
      <c r="TRM101" s="46"/>
      <c r="TRN101" s="46"/>
      <c r="TRO101" s="46"/>
      <c r="TRP101" s="46"/>
      <c r="TRQ101" s="46"/>
      <c r="TRR101" s="46"/>
      <c r="TRS101" s="46"/>
      <c r="TRT101" s="46"/>
      <c r="TRU101" s="46"/>
      <c r="TRV101" s="46"/>
      <c r="TRW101" s="46"/>
      <c r="TRX101" s="46"/>
      <c r="TRY101" s="46"/>
      <c r="TRZ101" s="46"/>
      <c r="TSA101" s="46"/>
      <c r="TSB101" s="46"/>
      <c r="TSC101" s="46"/>
      <c r="TSD101" s="46"/>
      <c r="TSE101" s="46"/>
      <c r="TSF101" s="46"/>
      <c r="TSG101" s="46"/>
      <c r="TSH101" s="46"/>
      <c r="TSI101" s="46"/>
      <c r="TSJ101" s="46"/>
      <c r="TSK101" s="46"/>
      <c r="TSL101" s="46"/>
      <c r="TSM101" s="46"/>
      <c r="TSN101" s="46"/>
      <c r="TSO101" s="46"/>
      <c r="TSP101" s="46"/>
      <c r="TSQ101" s="46"/>
      <c r="TSR101" s="46"/>
      <c r="TSS101" s="46"/>
      <c r="TST101" s="46"/>
      <c r="TSU101" s="46"/>
      <c r="TSV101" s="46"/>
      <c r="TSW101" s="46"/>
      <c r="TSX101" s="46"/>
      <c r="TSY101" s="46"/>
      <c r="TSZ101" s="46"/>
      <c r="TTA101" s="46"/>
      <c r="TTB101" s="46"/>
      <c r="TTC101" s="46"/>
      <c r="TTD101" s="46"/>
      <c r="TTE101" s="46"/>
      <c r="TTF101" s="46"/>
      <c r="TTG101" s="46"/>
      <c r="TTH101" s="46"/>
      <c r="TTI101" s="46"/>
      <c r="TTJ101" s="46"/>
      <c r="TTK101" s="46"/>
      <c r="TTL101" s="46"/>
      <c r="TTM101" s="46"/>
      <c r="TTN101" s="46"/>
      <c r="TTO101" s="46"/>
      <c r="TTP101" s="46"/>
      <c r="TTQ101" s="46"/>
      <c r="TTR101" s="46"/>
      <c r="TTS101" s="46"/>
      <c r="TTT101" s="46"/>
      <c r="TTU101" s="46"/>
      <c r="TTV101" s="46"/>
      <c r="TTW101" s="46"/>
      <c r="TTX101" s="46"/>
      <c r="TTY101" s="46"/>
      <c r="TTZ101" s="46"/>
      <c r="TUA101" s="46"/>
      <c r="TUB101" s="46"/>
      <c r="TUC101" s="46"/>
      <c r="TUD101" s="46"/>
      <c r="TUE101" s="46"/>
      <c r="TUF101" s="46"/>
      <c r="TUG101" s="46"/>
      <c r="TUH101" s="46"/>
      <c r="TUI101" s="46"/>
      <c r="TUJ101" s="46"/>
      <c r="TUK101" s="46"/>
      <c r="TUL101" s="46"/>
      <c r="TUM101" s="46"/>
      <c r="TUN101" s="46"/>
      <c r="TUO101" s="46"/>
      <c r="TUP101" s="46"/>
      <c r="TUQ101" s="46"/>
      <c r="TUR101" s="46"/>
      <c r="TUS101" s="46"/>
      <c r="TUT101" s="46"/>
      <c r="TUU101" s="46"/>
      <c r="TUV101" s="46"/>
      <c r="TUW101" s="46"/>
      <c r="TUX101" s="46"/>
      <c r="TUY101" s="46"/>
      <c r="TUZ101" s="46"/>
      <c r="TVA101" s="46"/>
      <c r="TVB101" s="46"/>
      <c r="TVC101" s="46"/>
      <c r="TVD101" s="46"/>
      <c r="TVE101" s="46"/>
      <c r="TVF101" s="46"/>
      <c r="TVG101" s="46"/>
      <c r="TVH101" s="46"/>
      <c r="TVI101" s="46"/>
      <c r="TVJ101" s="46"/>
      <c r="TVK101" s="46"/>
      <c r="TVL101" s="46"/>
      <c r="TVM101" s="46"/>
      <c r="TVN101" s="46"/>
      <c r="TVO101" s="46"/>
      <c r="TVP101" s="46"/>
      <c r="TVQ101" s="46"/>
      <c r="TVR101" s="46"/>
      <c r="TVS101" s="46"/>
      <c r="TVT101" s="46"/>
      <c r="TVU101" s="46"/>
      <c r="TVV101" s="46"/>
      <c r="TVW101" s="46"/>
      <c r="TVX101" s="46"/>
      <c r="TVY101" s="46"/>
      <c r="TVZ101" s="46"/>
      <c r="TWA101" s="46"/>
      <c r="TWB101" s="46"/>
      <c r="TWC101" s="46"/>
      <c r="TWD101" s="46"/>
      <c r="TWE101" s="46"/>
      <c r="TWF101" s="46"/>
      <c r="TWG101" s="46"/>
      <c r="TWH101" s="46"/>
      <c r="TWI101" s="46"/>
      <c r="TWJ101" s="46"/>
      <c r="TWK101" s="46"/>
      <c r="TWL101" s="46"/>
      <c r="TWM101" s="46"/>
      <c r="TWN101" s="46"/>
      <c r="TWO101" s="46"/>
      <c r="TWP101" s="46"/>
      <c r="TWQ101" s="46"/>
      <c r="TWR101" s="46"/>
      <c r="TWS101" s="46"/>
      <c r="TWT101" s="46"/>
      <c r="TWU101" s="46"/>
      <c r="TWV101" s="46"/>
      <c r="TWW101" s="46"/>
      <c r="TWX101" s="46"/>
      <c r="TWY101" s="46"/>
      <c r="TWZ101" s="46"/>
      <c r="TXA101" s="46"/>
      <c r="TXB101" s="46"/>
      <c r="TXC101" s="46"/>
      <c r="TXD101" s="46"/>
      <c r="TXE101" s="46"/>
      <c r="TXF101" s="46"/>
      <c r="TXG101" s="46"/>
      <c r="TXH101" s="46"/>
      <c r="TXI101" s="46"/>
      <c r="TXJ101" s="46"/>
      <c r="TXK101" s="46"/>
      <c r="TXL101" s="46"/>
      <c r="TXM101" s="46"/>
      <c r="TXN101" s="46"/>
      <c r="TXO101" s="46"/>
      <c r="TXP101" s="46"/>
      <c r="TXQ101" s="46"/>
      <c r="TXR101" s="46"/>
      <c r="TXS101" s="46"/>
      <c r="TXT101" s="46"/>
      <c r="TXU101" s="46"/>
      <c r="TXV101" s="46"/>
      <c r="TXW101" s="46"/>
      <c r="TXX101" s="46"/>
      <c r="TXY101" s="46"/>
      <c r="TXZ101" s="46"/>
      <c r="TYA101" s="46"/>
      <c r="TYB101" s="46"/>
      <c r="TYC101" s="46"/>
      <c r="TYD101" s="46"/>
      <c r="TYE101" s="46"/>
      <c r="TYF101" s="46"/>
      <c r="TYG101" s="46"/>
      <c r="TYH101" s="46"/>
      <c r="TYI101" s="46"/>
      <c r="TYJ101" s="46"/>
      <c r="TYK101" s="46"/>
      <c r="TYL101" s="46"/>
      <c r="TYM101" s="46"/>
      <c r="TYN101" s="46"/>
      <c r="TYO101" s="46"/>
      <c r="TYP101" s="46"/>
      <c r="TYQ101" s="46"/>
      <c r="TYR101" s="46"/>
      <c r="TYS101" s="46"/>
      <c r="TYT101" s="46"/>
      <c r="TYU101" s="46"/>
      <c r="TYV101" s="46"/>
      <c r="TYW101" s="46"/>
      <c r="TYX101" s="46"/>
      <c r="TYY101" s="46"/>
      <c r="TYZ101" s="46"/>
      <c r="TZA101" s="46"/>
      <c r="TZB101" s="46"/>
      <c r="TZC101" s="46"/>
      <c r="TZD101" s="46"/>
      <c r="TZE101" s="46"/>
      <c r="TZF101" s="46"/>
      <c r="TZG101" s="46"/>
      <c r="TZH101" s="46"/>
      <c r="TZI101" s="46"/>
      <c r="TZJ101" s="46"/>
      <c r="TZK101" s="46"/>
      <c r="TZL101" s="46"/>
      <c r="TZM101" s="46"/>
      <c r="TZN101" s="46"/>
      <c r="TZO101" s="46"/>
      <c r="TZP101" s="46"/>
      <c r="TZQ101" s="46"/>
      <c r="TZR101" s="46"/>
      <c r="TZS101" s="46"/>
      <c r="TZT101" s="46"/>
      <c r="TZU101" s="46"/>
      <c r="TZV101" s="46"/>
      <c r="TZW101" s="46"/>
      <c r="TZX101" s="46"/>
      <c r="TZY101" s="46"/>
      <c r="TZZ101" s="46"/>
      <c r="UAA101" s="46"/>
      <c r="UAB101" s="46"/>
      <c r="UAC101" s="46"/>
      <c r="UAD101" s="46"/>
      <c r="UAE101" s="46"/>
      <c r="UAF101" s="46"/>
      <c r="UAG101" s="46"/>
      <c r="UAH101" s="46"/>
      <c r="UAI101" s="46"/>
      <c r="UAJ101" s="46"/>
      <c r="UAK101" s="46"/>
      <c r="UAL101" s="46"/>
      <c r="UAM101" s="46"/>
      <c r="UAN101" s="46"/>
      <c r="UAO101" s="46"/>
      <c r="UAP101" s="46"/>
      <c r="UAQ101" s="46"/>
      <c r="UAR101" s="46"/>
      <c r="UAS101" s="46"/>
      <c r="UAT101" s="46"/>
      <c r="UAU101" s="46"/>
      <c r="UAV101" s="46"/>
      <c r="UAW101" s="46"/>
      <c r="UAX101" s="46"/>
      <c r="UAY101" s="46"/>
      <c r="UAZ101" s="46"/>
      <c r="UBA101" s="46"/>
      <c r="UBB101" s="46"/>
      <c r="UBC101" s="46"/>
      <c r="UBD101" s="46"/>
      <c r="UBE101" s="46"/>
      <c r="UBF101" s="46"/>
      <c r="UBG101" s="46"/>
      <c r="UBH101" s="46"/>
      <c r="UBI101" s="46"/>
      <c r="UBJ101" s="46"/>
      <c r="UBK101" s="46"/>
      <c r="UBL101" s="46"/>
      <c r="UBM101" s="46"/>
      <c r="UBN101" s="46"/>
      <c r="UBO101" s="46"/>
      <c r="UBP101" s="46"/>
      <c r="UBQ101" s="46"/>
      <c r="UBR101" s="46"/>
      <c r="UBS101" s="46"/>
      <c r="UBT101" s="46"/>
      <c r="UBU101" s="46"/>
      <c r="UBV101" s="46"/>
      <c r="UBW101" s="46"/>
      <c r="UBX101" s="46"/>
      <c r="UBY101" s="46"/>
      <c r="UBZ101" s="46"/>
      <c r="UCA101" s="46"/>
      <c r="UCB101" s="46"/>
      <c r="UCC101" s="46"/>
      <c r="UCD101" s="46"/>
      <c r="UCE101" s="46"/>
      <c r="UCF101" s="46"/>
      <c r="UCG101" s="46"/>
      <c r="UCH101" s="46"/>
      <c r="UCI101" s="46"/>
      <c r="UCJ101" s="46"/>
      <c r="UCK101" s="46"/>
      <c r="UCL101" s="46"/>
      <c r="UCM101" s="46"/>
      <c r="UCN101" s="46"/>
      <c r="UCO101" s="46"/>
      <c r="UCP101" s="46"/>
      <c r="UCQ101" s="46"/>
      <c r="UCR101" s="46"/>
      <c r="UCS101" s="46"/>
      <c r="UCT101" s="46"/>
      <c r="UCU101" s="46"/>
      <c r="UCV101" s="46"/>
      <c r="UCW101" s="46"/>
      <c r="UCX101" s="46"/>
      <c r="UCY101" s="46"/>
      <c r="UCZ101" s="46"/>
      <c r="UDA101" s="46"/>
      <c r="UDB101" s="46"/>
      <c r="UDC101" s="46"/>
      <c r="UDD101" s="46"/>
      <c r="UDE101" s="46"/>
      <c r="UDF101" s="46"/>
      <c r="UDG101" s="46"/>
      <c r="UDH101" s="46"/>
      <c r="UDI101" s="46"/>
      <c r="UDJ101" s="46"/>
      <c r="UDK101" s="46"/>
      <c r="UDL101" s="46"/>
      <c r="UDM101" s="46"/>
      <c r="UDN101" s="46"/>
      <c r="UDO101" s="46"/>
      <c r="UDP101" s="46"/>
      <c r="UDQ101" s="46"/>
      <c r="UDR101" s="46"/>
      <c r="UDS101" s="46"/>
      <c r="UDT101" s="46"/>
      <c r="UDU101" s="46"/>
      <c r="UDV101" s="46"/>
      <c r="UDW101" s="46"/>
      <c r="UDX101" s="46"/>
      <c r="UDY101" s="46"/>
      <c r="UDZ101" s="46"/>
      <c r="UEA101" s="46"/>
      <c r="UEB101" s="46"/>
      <c r="UEC101" s="46"/>
      <c r="UED101" s="46"/>
      <c r="UEE101" s="46"/>
      <c r="UEF101" s="46"/>
      <c r="UEG101" s="46"/>
      <c r="UEH101" s="46"/>
      <c r="UEI101" s="46"/>
      <c r="UEJ101" s="46"/>
      <c r="UEK101" s="46"/>
      <c r="UEL101" s="46"/>
      <c r="UEM101" s="46"/>
      <c r="UEN101" s="46"/>
      <c r="UEO101" s="46"/>
      <c r="UEP101" s="46"/>
      <c r="UEQ101" s="46"/>
      <c r="UER101" s="46"/>
      <c r="UES101" s="46"/>
      <c r="UET101" s="46"/>
      <c r="UEU101" s="46"/>
      <c r="UEV101" s="46"/>
      <c r="UEW101" s="46"/>
      <c r="UEX101" s="46"/>
      <c r="UEY101" s="46"/>
      <c r="UEZ101" s="46"/>
      <c r="UFA101" s="46"/>
      <c r="UFB101" s="46"/>
      <c r="UFC101" s="46"/>
      <c r="UFD101" s="46"/>
      <c r="UFE101" s="46"/>
      <c r="UFF101" s="46"/>
      <c r="UFG101" s="46"/>
      <c r="UFH101" s="46"/>
      <c r="UFI101" s="46"/>
      <c r="UFJ101" s="46"/>
      <c r="UFK101" s="46"/>
      <c r="UFL101" s="46"/>
      <c r="UFM101" s="46"/>
      <c r="UFN101" s="46"/>
      <c r="UFO101" s="46"/>
      <c r="UFP101" s="46"/>
      <c r="UFQ101" s="46"/>
      <c r="UFR101" s="46"/>
      <c r="UFS101" s="46"/>
      <c r="UFT101" s="46"/>
      <c r="UFU101" s="46"/>
      <c r="UFV101" s="46"/>
      <c r="UFW101" s="46"/>
      <c r="UFX101" s="46"/>
      <c r="UFY101" s="46"/>
      <c r="UFZ101" s="46"/>
      <c r="UGA101" s="46"/>
      <c r="UGB101" s="46"/>
      <c r="UGC101" s="46"/>
      <c r="UGD101" s="46"/>
      <c r="UGE101" s="46"/>
      <c r="UGF101" s="46"/>
      <c r="UGG101" s="46"/>
      <c r="UGH101" s="46"/>
      <c r="UGI101" s="46"/>
      <c r="UGJ101" s="46"/>
      <c r="UGK101" s="46"/>
      <c r="UGL101" s="46"/>
      <c r="UGM101" s="46"/>
      <c r="UGN101" s="46"/>
      <c r="UGO101" s="46"/>
      <c r="UGP101" s="46"/>
      <c r="UGQ101" s="46"/>
      <c r="UGR101" s="46"/>
      <c r="UGS101" s="46"/>
      <c r="UGT101" s="46"/>
      <c r="UGU101" s="46"/>
      <c r="UGV101" s="46"/>
      <c r="UGW101" s="46"/>
      <c r="UGX101" s="46"/>
      <c r="UGY101" s="46"/>
      <c r="UGZ101" s="46"/>
      <c r="UHA101" s="46"/>
      <c r="UHB101" s="46"/>
      <c r="UHC101" s="46"/>
      <c r="UHD101" s="46"/>
      <c r="UHE101" s="46"/>
      <c r="UHF101" s="46"/>
      <c r="UHG101" s="46"/>
      <c r="UHH101" s="46"/>
      <c r="UHI101" s="46"/>
      <c r="UHJ101" s="46"/>
      <c r="UHK101" s="46"/>
      <c r="UHL101" s="46"/>
      <c r="UHM101" s="46"/>
      <c r="UHN101" s="46"/>
      <c r="UHO101" s="46"/>
      <c r="UHP101" s="46"/>
      <c r="UHQ101" s="46"/>
      <c r="UHR101" s="46"/>
      <c r="UHS101" s="46"/>
      <c r="UHT101" s="46"/>
      <c r="UHU101" s="46"/>
      <c r="UHV101" s="46"/>
      <c r="UHW101" s="46"/>
      <c r="UHX101" s="46"/>
      <c r="UHY101" s="46"/>
      <c r="UHZ101" s="46"/>
      <c r="UIA101" s="46"/>
      <c r="UIB101" s="46"/>
      <c r="UIC101" s="46"/>
      <c r="UID101" s="46"/>
      <c r="UIE101" s="46"/>
      <c r="UIF101" s="46"/>
      <c r="UIG101" s="46"/>
      <c r="UIH101" s="46"/>
      <c r="UII101" s="46"/>
      <c r="UIJ101" s="46"/>
      <c r="UIK101" s="46"/>
      <c r="UIL101" s="46"/>
      <c r="UIM101" s="46"/>
      <c r="UIN101" s="46"/>
      <c r="UIO101" s="46"/>
      <c r="UIP101" s="46"/>
      <c r="UIQ101" s="46"/>
      <c r="UIR101" s="46"/>
      <c r="UIS101" s="46"/>
      <c r="UIT101" s="46"/>
      <c r="UIU101" s="46"/>
      <c r="UIV101" s="46"/>
      <c r="UIW101" s="46"/>
      <c r="UIX101" s="46"/>
      <c r="UIY101" s="46"/>
      <c r="UIZ101" s="46"/>
      <c r="UJA101" s="46"/>
      <c r="UJB101" s="46"/>
      <c r="UJC101" s="46"/>
      <c r="UJD101" s="46"/>
      <c r="UJE101" s="46"/>
      <c r="UJF101" s="46"/>
      <c r="UJG101" s="46"/>
      <c r="UJH101" s="46"/>
      <c r="UJI101" s="46"/>
      <c r="UJJ101" s="46"/>
      <c r="UJK101" s="46"/>
      <c r="UJL101" s="46"/>
      <c r="UJM101" s="46"/>
      <c r="UJN101" s="46"/>
      <c r="UJO101" s="46"/>
      <c r="UJP101" s="46"/>
      <c r="UJQ101" s="46"/>
      <c r="UJR101" s="46"/>
      <c r="UJS101" s="46"/>
      <c r="UJT101" s="46"/>
      <c r="UJU101" s="46"/>
      <c r="UJV101" s="46"/>
      <c r="UJW101" s="46"/>
      <c r="UJX101" s="46"/>
      <c r="UJY101" s="46"/>
      <c r="UJZ101" s="46"/>
      <c r="UKA101" s="46"/>
      <c r="UKB101" s="46"/>
      <c r="UKC101" s="46"/>
      <c r="UKD101" s="46"/>
      <c r="UKE101" s="46"/>
      <c r="UKF101" s="46"/>
      <c r="UKG101" s="46"/>
      <c r="UKH101" s="46"/>
      <c r="UKI101" s="46"/>
      <c r="UKJ101" s="46"/>
      <c r="UKK101" s="46"/>
      <c r="UKL101" s="46"/>
      <c r="UKM101" s="46"/>
      <c r="UKN101" s="46"/>
      <c r="UKO101" s="46"/>
      <c r="UKP101" s="46"/>
      <c r="UKQ101" s="46"/>
      <c r="UKR101" s="46"/>
      <c r="UKS101" s="46"/>
      <c r="UKT101" s="46"/>
      <c r="UKU101" s="46"/>
      <c r="UKV101" s="46"/>
      <c r="UKW101" s="46"/>
      <c r="UKX101" s="46"/>
      <c r="UKY101" s="46"/>
      <c r="UKZ101" s="46"/>
      <c r="ULA101" s="46"/>
      <c r="ULB101" s="46"/>
      <c r="ULC101" s="46"/>
      <c r="ULD101" s="46"/>
      <c r="ULE101" s="46"/>
      <c r="ULF101" s="46"/>
      <c r="ULG101" s="46"/>
      <c r="ULH101" s="46"/>
      <c r="ULI101" s="46"/>
      <c r="ULJ101" s="46"/>
      <c r="ULK101" s="46"/>
      <c r="ULL101" s="46"/>
      <c r="ULM101" s="46"/>
      <c r="ULN101" s="46"/>
      <c r="ULO101" s="46"/>
      <c r="ULP101" s="46"/>
      <c r="ULQ101" s="46"/>
      <c r="ULR101" s="46"/>
      <c r="ULS101" s="46"/>
      <c r="ULT101" s="46"/>
      <c r="ULU101" s="46"/>
      <c r="ULV101" s="46"/>
      <c r="ULW101" s="46"/>
      <c r="ULX101" s="46"/>
      <c r="ULY101" s="46"/>
      <c r="ULZ101" s="46"/>
      <c r="UMA101" s="46"/>
      <c r="UMB101" s="46"/>
      <c r="UMC101" s="46"/>
      <c r="UMD101" s="46"/>
      <c r="UME101" s="46"/>
      <c r="UMF101" s="46"/>
      <c r="UMG101" s="46"/>
      <c r="UMH101" s="46"/>
      <c r="UMI101" s="46"/>
      <c r="UMJ101" s="46"/>
      <c r="UMK101" s="46"/>
      <c r="UML101" s="46"/>
      <c r="UMM101" s="46"/>
      <c r="UMN101" s="46"/>
      <c r="UMO101" s="46"/>
      <c r="UMP101" s="46"/>
      <c r="UMQ101" s="46"/>
      <c r="UMR101" s="46"/>
      <c r="UMS101" s="46"/>
      <c r="UMT101" s="46"/>
      <c r="UMU101" s="46"/>
      <c r="UMV101" s="46"/>
      <c r="UMW101" s="46"/>
      <c r="UMX101" s="46"/>
      <c r="UMY101" s="46"/>
      <c r="UMZ101" s="46"/>
      <c r="UNA101" s="46"/>
      <c r="UNB101" s="46"/>
      <c r="UNC101" s="46"/>
      <c r="UND101" s="46"/>
      <c r="UNE101" s="46"/>
      <c r="UNF101" s="46"/>
      <c r="UNG101" s="46"/>
      <c r="UNH101" s="46"/>
      <c r="UNI101" s="46"/>
      <c r="UNJ101" s="46"/>
      <c r="UNK101" s="46"/>
      <c r="UNL101" s="46"/>
      <c r="UNM101" s="46"/>
      <c r="UNN101" s="46"/>
      <c r="UNO101" s="46"/>
      <c r="UNP101" s="46"/>
      <c r="UNQ101" s="46"/>
      <c r="UNR101" s="46"/>
      <c r="UNS101" s="46"/>
      <c r="UNT101" s="46"/>
      <c r="UNU101" s="46"/>
      <c r="UNV101" s="46"/>
      <c r="UNW101" s="46"/>
      <c r="UNX101" s="46"/>
      <c r="UNY101" s="46"/>
      <c r="UNZ101" s="46"/>
      <c r="UOA101" s="46"/>
      <c r="UOB101" s="46"/>
      <c r="UOC101" s="46"/>
      <c r="UOD101" s="46"/>
      <c r="UOE101" s="46"/>
      <c r="UOF101" s="46"/>
      <c r="UOG101" s="46"/>
      <c r="UOH101" s="46"/>
      <c r="UOI101" s="46"/>
      <c r="UOJ101" s="46"/>
      <c r="UOK101" s="46"/>
      <c r="UOL101" s="46"/>
      <c r="UOM101" s="46"/>
      <c r="UON101" s="46"/>
      <c r="UOO101" s="46"/>
      <c r="UOP101" s="46"/>
      <c r="UOQ101" s="46"/>
      <c r="UOR101" s="46"/>
      <c r="UOS101" s="46"/>
      <c r="UOT101" s="46"/>
      <c r="UOU101" s="46"/>
      <c r="UOV101" s="46"/>
      <c r="UOW101" s="46"/>
      <c r="UOX101" s="46"/>
      <c r="UOY101" s="46"/>
      <c r="UOZ101" s="46"/>
      <c r="UPA101" s="46"/>
      <c r="UPB101" s="46"/>
      <c r="UPC101" s="46"/>
      <c r="UPD101" s="46"/>
      <c r="UPE101" s="46"/>
      <c r="UPF101" s="46"/>
      <c r="UPG101" s="46"/>
      <c r="UPH101" s="46"/>
      <c r="UPI101" s="46"/>
      <c r="UPJ101" s="46"/>
      <c r="UPK101" s="46"/>
      <c r="UPL101" s="46"/>
      <c r="UPM101" s="46"/>
      <c r="UPN101" s="46"/>
      <c r="UPO101" s="46"/>
      <c r="UPP101" s="46"/>
      <c r="UPQ101" s="46"/>
      <c r="UPR101" s="46"/>
      <c r="UPS101" s="46"/>
      <c r="UPT101" s="46"/>
      <c r="UPU101" s="46"/>
      <c r="UPV101" s="46"/>
      <c r="UPW101" s="46"/>
      <c r="UPX101" s="46"/>
      <c r="UPY101" s="46"/>
      <c r="UPZ101" s="46"/>
      <c r="UQA101" s="46"/>
      <c r="UQB101" s="46"/>
      <c r="UQC101" s="46"/>
      <c r="UQD101" s="46"/>
      <c r="UQE101" s="46"/>
      <c r="UQF101" s="46"/>
      <c r="UQG101" s="46"/>
      <c r="UQH101" s="46"/>
      <c r="UQI101" s="46"/>
      <c r="UQJ101" s="46"/>
      <c r="UQK101" s="46"/>
      <c r="UQL101" s="46"/>
      <c r="UQM101" s="46"/>
      <c r="UQN101" s="46"/>
      <c r="UQO101" s="46"/>
      <c r="UQP101" s="46"/>
      <c r="UQQ101" s="46"/>
      <c r="UQR101" s="46"/>
      <c r="UQS101" s="46"/>
      <c r="UQT101" s="46"/>
      <c r="UQU101" s="46"/>
      <c r="UQV101" s="46"/>
      <c r="UQW101" s="46"/>
      <c r="UQX101" s="46"/>
      <c r="UQY101" s="46"/>
      <c r="UQZ101" s="46"/>
      <c r="URA101" s="46"/>
      <c r="URB101" s="46"/>
      <c r="URC101" s="46"/>
      <c r="URD101" s="46"/>
      <c r="URE101" s="46"/>
      <c r="URF101" s="46"/>
      <c r="URG101" s="46"/>
      <c r="URH101" s="46"/>
      <c r="URI101" s="46"/>
      <c r="URJ101" s="46"/>
      <c r="URK101" s="46"/>
      <c r="URL101" s="46"/>
      <c r="URM101" s="46"/>
      <c r="URN101" s="46"/>
      <c r="URO101" s="46"/>
      <c r="URP101" s="46"/>
      <c r="URQ101" s="46"/>
      <c r="URR101" s="46"/>
      <c r="URS101" s="46"/>
      <c r="URT101" s="46"/>
      <c r="URU101" s="46"/>
      <c r="URV101" s="46"/>
      <c r="URW101" s="46"/>
      <c r="URX101" s="46"/>
      <c r="URY101" s="46"/>
      <c r="URZ101" s="46"/>
      <c r="USA101" s="46"/>
      <c r="USB101" s="46"/>
      <c r="USC101" s="46"/>
      <c r="USD101" s="46"/>
      <c r="USE101" s="46"/>
      <c r="USF101" s="46"/>
      <c r="USG101" s="46"/>
      <c r="USH101" s="46"/>
      <c r="USI101" s="46"/>
      <c r="USJ101" s="46"/>
      <c r="USK101" s="46"/>
      <c r="USL101" s="46"/>
      <c r="USM101" s="46"/>
      <c r="USN101" s="46"/>
      <c r="USO101" s="46"/>
      <c r="USP101" s="46"/>
      <c r="USQ101" s="46"/>
      <c r="USR101" s="46"/>
      <c r="USS101" s="46"/>
      <c r="UST101" s="46"/>
      <c r="USU101" s="46"/>
      <c r="USV101" s="46"/>
      <c r="USW101" s="46"/>
      <c r="USX101" s="46"/>
      <c r="USY101" s="46"/>
      <c r="USZ101" s="46"/>
      <c r="UTA101" s="46"/>
      <c r="UTB101" s="46"/>
      <c r="UTC101" s="46"/>
      <c r="UTD101" s="46"/>
      <c r="UTE101" s="46"/>
      <c r="UTF101" s="46"/>
      <c r="UTG101" s="46"/>
      <c r="UTH101" s="46"/>
      <c r="UTI101" s="46"/>
      <c r="UTJ101" s="46"/>
      <c r="UTK101" s="46"/>
      <c r="UTL101" s="46"/>
      <c r="UTM101" s="46"/>
      <c r="UTN101" s="46"/>
      <c r="UTO101" s="46"/>
      <c r="UTP101" s="46"/>
      <c r="UTQ101" s="46"/>
      <c r="UTR101" s="46"/>
      <c r="UTS101" s="46"/>
      <c r="UTT101" s="46"/>
      <c r="UTU101" s="46"/>
      <c r="UTV101" s="46"/>
      <c r="UTW101" s="46"/>
      <c r="UTX101" s="46"/>
      <c r="UTY101" s="46"/>
      <c r="UTZ101" s="46"/>
      <c r="UUA101" s="46"/>
      <c r="UUB101" s="46"/>
      <c r="UUC101" s="46"/>
      <c r="UUD101" s="46"/>
      <c r="UUE101" s="46"/>
      <c r="UUF101" s="46"/>
      <c r="UUG101" s="46"/>
      <c r="UUH101" s="46"/>
      <c r="UUI101" s="46"/>
      <c r="UUJ101" s="46"/>
      <c r="UUK101" s="46"/>
      <c r="UUL101" s="46"/>
      <c r="UUM101" s="46"/>
      <c r="UUN101" s="46"/>
      <c r="UUO101" s="46"/>
      <c r="UUP101" s="46"/>
      <c r="UUQ101" s="46"/>
      <c r="UUR101" s="46"/>
      <c r="UUS101" s="46"/>
      <c r="UUT101" s="46"/>
      <c r="UUU101" s="46"/>
      <c r="UUV101" s="46"/>
      <c r="UUW101" s="46"/>
      <c r="UUX101" s="46"/>
      <c r="UUY101" s="46"/>
      <c r="UUZ101" s="46"/>
      <c r="UVA101" s="46"/>
      <c r="UVB101" s="46"/>
      <c r="UVC101" s="46"/>
      <c r="UVD101" s="46"/>
      <c r="UVE101" s="46"/>
      <c r="UVF101" s="46"/>
      <c r="UVG101" s="46"/>
      <c r="UVH101" s="46"/>
      <c r="UVI101" s="46"/>
      <c r="UVJ101" s="46"/>
      <c r="UVK101" s="46"/>
      <c r="UVL101" s="46"/>
      <c r="UVM101" s="46"/>
      <c r="UVN101" s="46"/>
      <c r="UVO101" s="46"/>
      <c r="UVP101" s="46"/>
      <c r="UVQ101" s="46"/>
      <c r="UVR101" s="46"/>
      <c r="UVS101" s="46"/>
      <c r="UVT101" s="46"/>
      <c r="UVU101" s="46"/>
      <c r="UVV101" s="46"/>
      <c r="UVW101" s="46"/>
      <c r="UVX101" s="46"/>
      <c r="UVY101" s="46"/>
      <c r="UVZ101" s="46"/>
      <c r="UWA101" s="46"/>
      <c r="UWB101" s="46"/>
      <c r="UWC101" s="46"/>
      <c r="UWD101" s="46"/>
      <c r="UWE101" s="46"/>
      <c r="UWF101" s="46"/>
      <c r="UWG101" s="46"/>
      <c r="UWH101" s="46"/>
      <c r="UWI101" s="46"/>
      <c r="UWJ101" s="46"/>
      <c r="UWK101" s="46"/>
      <c r="UWL101" s="46"/>
      <c r="UWM101" s="46"/>
      <c r="UWN101" s="46"/>
      <c r="UWO101" s="46"/>
      <c r="UWP101" s="46"/>
      <c r="UWQ101" s="46"/>
      <c r="UWR101" s="46"/>
      <c r="UWS101" s="46"/>
      <c r="UWT101" s="46"/>
      <c r="UWU101" s="46"/>
      <c r="UWV101" s="46"/>
      <c r="UWW101" s="46"/>
      <c r="UWX101" s="46"/>
      <c r="UWY101" s="46"/>
      <c r="UWZ101" s="46"/>
      <c r="UXA101" s="46"/>
      <c r="UXB101" s="46"/>
      <c r="UXC101" s="46"/>
      <c r="UXD101" s="46"/>
      <c r="UXE101" s="46"/>
      <c r="UXF101" s="46"/>
      <c r="UXG101" s="46"/>
      <c r="UXH101" s="46"/>
      <c r="UXI101" s="46"/>
      <c r="UXJ101" s="46"/>
      <c r="UXK101" s="46"/>
      <c r="UXL101" s="46"/>
      <c r="UXM101" s="46"/>
      <c r="UXN101" s="46"/>
      <c r="UXO101" s="46"/>
      <c r="UXP101" s="46"/>
      <c r="UXQ101" s="46"/>
      <c r="UXR101" s="46"/>
      <c r="UXS101" s="46"/>
      <c r="UXT101" s="46"/>
      <c r="UXU101" s="46"/>
      <c r="UXV101" s="46"/>
      <c r="UXW101" s="46"/>
      <c r="UXX101" s="46"/>
      <c r="UXY101" s="46"/>
      <c r="UXZ101" s="46"/>
      <c r="UYA101" s="46"/>
      <c r="UYB101" s="46"/>
      <c r="UYC101" s="46"/>
      <c r="UYD101" s="46"/>
      <c r="UYE101" s="46"/>
      <c r="UYF101" s="46"/>
      <c r="UYG101" s="46"/>
      <c r="UYH101" s="46"/>
      <c r="UYI101" s="46"/>
      <c r="UYJ101" s="46"/>
      <c r="UYK101" s="46"/>
      <c r="UYL101" s="46"/>
      <c r="UYM101" s="46"/>
      <c r="UYN101" s="46"/>
      <c r="UYO101" s="46"/>
      <c r="UYP101" s="46"/>
      <c r="UYQ101" s="46"/>
      <c r="UYR101" s="46"/>
      <c r="UYS101" s="46"/>
      <c r="UYT101" s="46"/>
      <c r="UYU101" s="46"/>
      <c r="UYV101" s="46"/>
      <c r="UYW101" s="46"/>
      <c r="UYX101" s="46"/>
      <c r="UYY101" s="46"/>
      <c r="UYZ101" s="46"/>
      <c r="UZA101" s="46"/>
      <c r="UZB101" s="46"/>
      <c r="UZC101" s="46"/>
      <c r="UZD101" s="46"/>
      <c r="UZE101" s="46"/>
      <c r="UZF101" s="46"/>
      <c r="UZG101" s="46"/>
      <c r="UZH101" s="46"/>
      <c r="UZI101" s="46"/>
      <c r="UZJ101" s="46"/>
      <c r="UZK101" s="46"/>
      <c r="UZL101" s="46"/>
      <c r="UZM101" s="46"/>
      <c r="UZN101" s="46"/>
      <c r="UZO101" s="46"/>
      <c r="UZP101" s="46"/>
      <c r="UZQ101" s="46"/>
      <c r="UZR101" s="46"/>
      <c r="UZS101" s="46"/>
      <c r="UZT101" s="46"/>
      <c r="UZU101" s="46"/>
      <c r="UZV101" s="46"/>
      <c r="UZW101" s="46"/>
      <c r="UZX101" s="46"/>
      <c r="UZY101" s="46"/>
      <c r="UZZ101" s="46"/>
      <c r="VAA101" s="46"/>
      <c r="VAB101" s="46"/>
      <c r="VAC101" s="46"/>
      <c r="VAD101" s="46"/>
      <c r="VAE101" s="46"/>
      <c r="VAF101" s="46"/>
      <c r="VAG101" s="46"/>
      <c r="VAH101" s="46"/>
      <c r="VAI101" s="46"/>
      <c r="VAJ101" s="46"/>
      <c r="VAK101" s="46"/>
      <c r="VAL101" s="46"/>
      <c r="VAM101" s="46"/>
      <c r="VAN101" s="46"/>
      <c r="VAO101" s="46"/>
      <c r="VAP101" s="46"/>
      <c r="VAQ101" s="46"/>
      <c r="VAR101" s="46"/>
      <c r="VAS101" s="46"/>
      <c r="VAT101" s="46"/>
      <c r="VAU101" s="46"/>
      <c r="VAV101" s="46"/>
      <c r="VAW101" s="46"/>
      <c r="VAX101" s="46"/>
      <c r="VAY101" s="46"/>
      <c r="VAZ101" s="46"/>
      <c r="VBA101" s="46"/>
      <c r="VBB101" s="46"/>
      <c r="VBC101" s="46"/>
      <c r="VBD101" s="46"/>
      <c r="VBE101" s="46"/>
      <c r="VBF101" s="46"/>
      <c r="VBG101" s="46"/>
      <c r="VBH101" s="46"/>
      <c r="VBI101" s="46"/>
      <c r="VBJ101" s="46"/>
      <c r="VBK101" s="46"/>
      <c r="VBL101" s="46"/>
      <c r="VBM101" s="46"/>
      <c r="VBN101" s="46"/>
      <c r="VBO101" s="46"/>
      <c r="VBP101" s="46"/>
      <c r="VBQ101" s="46"/>
      <c r="VBR101" s="46"/>
      <c r="VBS101" s="46"/>
      <c r="VBT101" s="46"/>
      <c r="VBU101" s="46"/>
      <c r="VBV101" s="46"/>
      <c r="VBW101" s="46"/>
      <c r="VBX101" s="46"/>
      <c r="VBY101" s="46"/>
      <c r="VBZ101" s="46"/>
      <c r="VCA101" s="46"/>
      <c r="VCB101" s="46"/>
      <c r="VCC101" s="46"/>
      <c r="VCD101" s="46"/>
      <c r="VCE101" s="46"/>
      <c r="VCF101" s="46"/>
      <c r="VCG101" s="46"/>
      <c r="VCH101" s="46"/>
      <c r="VCI101" s="46"/>
      <c r="VCJ101" s="46"/>
      <c r="VCK101" s="46"/>
      <c r="VCL101" s="46"/>
      <c r="VCM101" s="46"/>
      <c r="VCN101" s="46"/>
      <c r="VCO101" s="46"/>
      <c r="VCP101" s="46"/>
      <c r="VCQ101" s="46"/>
      <c r="VCR101" s="46"/>
      <c r="VCS101" s="46"/>
      <c r="VCT101" s="46"/>
      <c r="VCU101" s="46"/>
      <c r="VCV101" s="46"/>
      <c r="VCW101" s="46"/>
      <c r="VCX101" s="46"/>
      <c r="VCY101" s="46"/>
      <c r="VCZ101" s="46"/>
      <c r="VDA101" s="46"/>
      <c r="VDB101" s="46"/>
      <c r="VDC101" s="46"/>
      <c r="VDD101" s="46"/>
      <c r="VDE101" s="46"/>
      <c r="VDF101" s="46"/>
      <c r="VDG101" s="46"/>
      <c r="VDH101" s="46"/>
      <c r="VDI101" s="46"/>
      <c r="VDJ101" s="46"/>
      <c r="VDK101" s="46"/>
      <c r="VDL101" s="46"/>
      <c r="VDM101" s="46"/>
      <c r="VDN101" s="46"/>
      <c r="VDO101" s="46"/>
      <c r="VDP101" s="46"/>
      <c r="VDQ101" s="46"/>
      <c r="VDR101" s="46"/>
      <c r="VDS101" s="46"/>
      <c r="VDT101" s="46"/>
      <c r="VDU101" s="46"/>
      <c r="VDV101" s="46"/>
      <c r="VDW101" s="46"/>
      <c r="VDX101" s="46"/>
      <c r="VDY101" s="46"/>
      <c r="VDZ101" s="46"/>
      <c r="VEA101" s="46"/>
      <c r="VEB101" s="46"/>
      <c r="VEC101" s="46"/>
      <c r="VED101" s="46"/>
      <c r="VEE101" s="46"/>
      <c r="VEF101" s="46"/>
      <c r="VEG101" s="46"/>
      <c r="VEH101" s="46"/>
      <c r="VEI101" s="46"/>
      <c r="VEJ101" s="46"/>
      <c r="VEK101" s="46"/>
      <c r="VEL101" s="46"/>
      <c r="VEM101" s="46"/>
      <c r="VEN101" s="46"/>
      <c r="VEO101" s="46"/>
      <c r="VEP101" s="46"/>
      <c r="VEQ101" s="46"/>
      <c r="VER101" s="46"/>
      <c r="VES101" s="46"/>
      <c r="VET101" s="46"/>
      <c r="VEU101" s="46"/>
      <c r="VEV101" s="46"/>
      <c r="VEW101" s="46"/>
      <c r="VEX101" s="46"/>
      <c r="VEY101" s="46"/>
      <c r="VEZ101" s="46"/>
      <c r="VFA101" s="46"/>
      <c r="VFB101" s="46"/>
      <c r="VFC101" s="46"/>
      <c r="VFD101" s="46"/>
      <c r="VFE101" s="46"/>
      <c r="VFF101" s="46"/>
      <c r="VFG101" s="46"/>
      <c r="VFH101" s="46"/>
      <c r="VFI101" s="46"/>
      <c r="VFJ101" s="46"/>
      <c r="VFK101" s="46"/>
      <c r="VFL101" s="46"/>
      <c r="VFM101" s="46"/>
      <c r="VFN101" s="46"/>
      <c r="VFO101" s="46"/>
      <c r="VFP101" s="46"/>
      <c r="VFQ101" s="46"/>
      <c r="VFR101" s="46"/>
      <c r="VFS101" s="46"/>
      <c r="VFT101" s="46"/>
      <c r="VFU101" s="46"/>
      <c r="VFV101" s="46"/>
      <c r="VFW101" s="46"/>
      <c r="VFX101" s="46"/>
      <c r="VFY101" s="46"/>
      <c r="VFZ101" s="46"/>
      <c r="VGA101" s="46"/>
      <c r="VGB101" s="46"/>
      <c r="VGC101" s="46"/>
      <c r="VGD101" s="46"/>
      <c r="VGE101" s="46"/>
      <c r="VGF101" s="46"/>
      <c r="VGG101" s="46"/>
      <c r="VGH101" s="46"/>
      <c r="VGI101" s="46"/>
      <c r="VGJ101" s="46"/>
      <c r="VGK101" s="46"/>
      <c r="VGL101" s="46"/>
      <c r="VGM101" s="46"/>
      <c r="VGN101" s="46"/>
      <c r="VGO101" s="46"/>
      <c r="VGP101" s="46"/>
      <c r="VGQ101" s="46"/>
      <c r="VGR101" s="46"/>
      <c r="VGS101" s="46"/>
      <c r="VGT101" s="46"/>
      <c r="VGU101" s="46"/>
      <c r="VGV101" s="46"/>
      <c r="VGW101" s="46"/>
      <c r="VGX101" s="46"/>
      <c r="VGY101" s="46"/>
      <c r="VGZ101" s="46"/>
      <c r="VHA101" s="46"/>
      <c r="VHB101" s="46"/>
      <c r="VHC101" s="46"/>
      <c r="VHD101" s="46"/>
      <c r="VHE101" s="46"/>
      <c r="VHF101" s="46"/>
      <c r="VHG101" s="46"/>
      <c r="VHH101" s="46"/>
      <c r="VHI101" s="46"/>
      <c r="VHJ101" s="46"/>
      <c r="VHK101" s="46"/>
      <c r="VHL101" s="46"/>
      <c r="VHM101" s="46"/>
      <c r="VHN101" s="46"/>
      <c r="VHO101" s="46"/>
      <c r="VHP101" s="46"/>
      <c r="VHQ101" s="46"/>
      <c r="VHR101" s="46"/>
      <c r="VHS101" s="46"/>
      <c r="VHT101" s="46"/>
      <c r="VHU101" s="46"/>
      <c r="VHV101" s="46"/>
      <c r="VHW101" s="46"/>
      <c r="VHX101" s="46"/>
      <c r="VHY101" s="46"/>
      <c r="VHZ101" s="46"/>
      <c r="VIA101" s="46"/>
      <c r="VIB101" s="46"/>
      <c r="VIC101" s="46"/>
      <c r="VID101" s="46"/>
      <c r="VIE101" s="46"/>
      <c r="VIF101" s="46"/>
      <c r="VIG101" s="46"/>
      <c r="VIH101" s="46"/>
      <c r="VII101" s="46"/>
      <c r="VIJ101" s="46"/>
      <c r="VIK101" s="46"/>
      <c r="VIL101" s="46"/>
      <c r="VIM101" s="46"/>
      <c r="VIN101" s="46"/>
      <c r="VIO101" s="46"/>
      <c r="VIP101" s="46"/>
      <c r="VIQ101" s="46"/>
      <c r="VIR101" s="46"/>
      <c r="VIS101" s="46"/>
      <c r="VIT101" s="46"/>
      <c r="VIU101" s="46"/>
      <c r="VIV101" s="46"/>
      <c r="VIW101" s="46"/>
      <c r="VIX101" s="46"/>
      <c r="VIY101" s="46"/>
      <c r="VIZ101" s="46"/>
      <c r="VJA101" s="46"/>
      <c r="VJB101" s="46"/>
      <c r="VJC101" s="46"/>
      <c r="VJD101" s="46"/>
      <c r="VJE101" s="46"/>
      <c r="VJF101" s="46"/>
      <c r="VJG101" s="46"/>
      <c r="VJH101" s="46"/>
      <c r="VJI101" s="46"/>
      <c r="VJJ101" s="46"/>
      <c r="VJK101" s="46"/>
      <c r="VJL101" s="46"/>
      <c r="VJM101" s="46"/>
      <c r="VJN101" s="46"/>
      <c r="VJO101" s="46"/>
      <c r="VJP101" s="46"/>
      <c r="VJQ101" s="46"/>
      <c r="VJR101" s="46"/>
      <c r="VJS101" s="46"/>
      <c r="VJT101" s="46"/>
      <c r="VJU101" s="46"/>
      <c r="VJV101" s="46"/>
      <c r="VJW101" s="46"/>
      <c r="VJX101" s="46"/>
      <c r="VJY101" s="46"/>
      <c r="VJZ101" s="46"/>
      <c r="VKA101" s="46"/>
      <c r="VKB101" s="46"/>
      <c r="VKC101" s="46"/>
      <c r="VKD101" s="46"/>
      <c r="VKE101" s="46"/>
      <c r="VKF101" s="46"/>
      <c r="VKG101" s="46"/>
      <c r="VKH101" s="46"/>
      <c r="VKI101" s="46"/>
      <c r="VKJ101" s="46"/>
      <c r="VKK101" s="46"/>
      <c r="VKL101" s="46"/>
      <c r="VKM101" s="46"/>
      <c r="VKN101" s="46"/>
      <c r="VKO101" s="46"/>
      <c r="VKP101" s="46"/>
      <c r="VKQ101" s="46"/>
      <c r="VKR101" s="46"/>
      <c r="VKS101" s="46"/>
      <c r="VKT101" s="46"/>
      <c r="VKU101" s="46"/>
      <c r="VKV101" s="46"/>
      <c r="VKW101" s="46"/>
      <c r="VKX101" s="46"/>
      <c r="VKY101" s="46"/>
      <c r="VKZ101" s="46"/>
      <c r="VLA101" s="46"/>
      <c r="VLB101" s="46"/>
      <c r="VLC101" s="46"/>
      <c r="VLD101" s="46"/>
      <c r="VLE101" s="46"/>
      <c r="VLF101" s="46"/>
      <c r="VLG101" s="46"/>
      <c r="VLH101" s="46"/>
      <c r="VLI101" s="46"/>
      <c r="VLJ101" s="46"/>
      <c r="VLK101" s="46"/>
      <c r="VLL101" s="46"/>
      <c r="VLM101" s="46"/>
      <c r="VLN101" s="46"/>
      <c r="VLO101" s="46"/>
      <c r="VLP101" s="46"/>
      <c r="VLQ101" s="46"/>
      <c r="VLR101" s="46"/>
      <c r="VLS101" s="46"/>
      <c r="VLT101" s="46"/>
      <c r="VLU101" s="46"/>
      <c r="VLV101" s="46"/>
      <c r="VLW101" s="46"/>
      <c r="VLX101" s="46"/>
      <c r="VLY101" s="46"/>
      <c r="VLZ101" s="46"/>
      <c r="VMA101" s="46"/>
      <c r="VMB101" s="46"/>
      <c r="VMC101" s="46"/>
      <c r="VMD101" s="46"/>
      <c r="VME101" s="46"/>
      <c r="VMF101" s="46"/>
      <c r="VMG101" s="46"/>
      <c r="VMH101" s="46"/>
      <c r="VMI101" s="46"/>
      <c r="VMJ101" s="46"/>
      <c r="VMK101" s="46"/>
      <c r="VML101" s="46"/>
      <c r="VMM101" s="46"/>
      <c r="VMN101" s="46"/>
      <c r="VMO101" s="46"/>
      <c r="VMP101" s="46"/>
      <c r="VMQ101" s="46"/>
      <c r="VMR101" s="46"/>
      <c r="VMS101" s="46"/>
      <c r="VMT101" s="46"/>
      <c r="VMU101" s="46"/>
      <c r="VMV101" s="46"/>
      <c r="VMW101" s="46"/>
      <c r="VMX101" s="46"/>
      <c r="VMY101" s="46"/>
      <c r="VMZ101" s="46"/>
      <c r="VNA101" s="46"/>
      <c r="VNB101" s="46"/>
      <c r="VNC101" s="46"/>
      <c r="VND101" s="46"/>
      <c r="VNE101" s="46"/>
      <c r="VNF101" s="46"/>
      <c r="VNG101" s="46"/>
      <c r="VNH101" s="46"/>
      <c r="VNI101" s="46"/>
      <c r="VNJ101" s="46"/>
      <c r="VNK101" s="46"/>
      <c r="VNL101" s="46"/>
      <c r="VNM101" s="46"/>
      <c r="VNN101" s="46"/>
      <c r="VNO101" s="46"/>
      <c r="VNP101" s="46"/>
      <c r="VNQ101" s="46"/>
      <c r="VNR101" s="46"/>
      <c r="VNS101" s="46"/>
      <c r="VNT101" s="46"/>
      <c r="VNU101" s="46"/>
      <c r="VNV101" s="46"/>
      <c r="VNW101" s="46"/>
      <c r="VNX101" s="46"/>
      <c r="VNY101" s="46"/>
      <c r="VNZ101" s="46"/>
      <c r="VOA101" s="46"/>
      <c r="VOB101" s="46"/>
      <c r="VOC101" s="46"/>
      <c r="VOD101" s="46"/>
      <c r="VOE101" s="46"/>
      <c r="VOF101" s="46"/>
      <c r="VOG101" s="46"/>
      <c r="VOH101" s="46"/>
      <c r="VOI101" s="46"/>
      <c r="VOJ101" s="46"/>
      <c r="VOK101" s="46"/>
      <c r="VOL101" s="46"/>
      <c r="VOM101" s="46"/>
      <c r="VON101" s="46"/>
      <c r="VOO101" s="46"/>
      <c r="VOP101" s="46"/>
      <c r="VOQ101" s="46"/>
      <c r="VOR101" s="46"/>
      <c r="VOS101" s="46"/>
      <c r="VOT101" s="46"/>
      <c r="VOU101" s="46"/>
      <c r="VOV101" s="46"/>
      <c r="VOW101" s="46"/>
      <c r="VOX101" s="46"/>
      <c r="VOY101" s="46"/>
      <c r="VOZ101" s="46"/>
      <c r="VPA101" s="46"/>
      <c r="VPB101" s="46"/>
      <c r="VPC101" s="46"/>
      <c r="VPD101" s="46"/>
      <c r="VPE101" s="46"/>
      <c r="VPF101" s="46"/>
      <c r="VPG101" s="46"/>
      <c r="VPH101" s="46"/>
      <c r="VPI101" s="46"/>
      <c r="VPJ101" s="46"/>
      <c r="VPK101" s="46"/>
      <c r="VPL101" s="46"/>
      <c r="VPM101" s="46"/>
      <c r="VPN101" s="46"/>
      <c r="VPO101" s="46"/>
      <c r="VPP101" s="46"/>
      <c r="VPQ101" s="46"/>
      <c r="VPR101" s="46"/>
      <c r="VPS101" s="46"/>
      <c r="VPT101" s="46"/>
      <c r="VPU101" s="46"/>
      <c r="VPV101" s="46"/>
      <c r="VPW101" s="46"/>
      <c r="VPX101" s="46"/>
      <c r="VPY101" s="46"/>
      <c r="VPZ101" s="46"/>
      <c r="VQA101" s="46"/>
      <c r="VQB101" s="46"/>
      <c r="VQC101" s="46"/>
      <c r="VQD101" s="46"/>
      <c r="VQE101" s="46"/>
      <c r="VQF101" s="46"/>
      <c r="VQG101" s="46"/>
      <c r="VQH101" s="46"/>
      <c r="VQI101" s="46"/>
      <c r="VQJ101" s="46"/>
      <c r="VQK101" s="46"/>
      <c r="VQL101" s="46"/>
      <c r="VQM101" s="46"/>
      <c r="VQN101" s="46"/>
      <c r="VQO101" s="46"/>
      <c r="VQP101" s="46"/>
      <c r="VQQ101" s="46"/>
      <c r="VQR101" s="46"/>
      <c r="VQS101" s="46"/>
      <c r="VQT101" s="46"/>
      <c r="VQU101" s="46"/>
      <c r="VQV101" s="46"/>
      <c r="VQW101" s="46"/>
      <c r="VQX101" s="46"/>
      <c r="VQY101" s="46"/>
      <c r="VQZ101" s="46"/>
      <c r="VRA101" s="46"/>
      <c r="VRB101" s="46"/>
      <c r="VRC101" s="46"/>
      <c r="VRD101" s="46"/>
      <c r="VRE101" s="46"/>
      <c r="VRF101" s="46"/>
      <c r="VRG101" s="46"/>
      <c r="VRH101" s="46"/>
      <c r="VRI101" s="46"/>
      <c r="VRJ101" s="46"/>
      <c r="VRK101" s="46"/>
      <c r="VRL101" s="46"/>
      <c r="VRM101" s="46"/>
      <c r="VRN101" s="46"/>
      <c r="VRO101" s="46"/>
      <c r="VRP101" s="46"/>
      <c r="VRQ101" s="46"/>
      <c r="VRR101" s="46"/>
      <c r="VRS101" s="46"/>
      <c r="VRT101" s="46"/>
      <c r="VRU101" s="46"/>
      <c r="VRV101" s="46"/>
      <c r="VRW101" s="46"/>
      <c r="VRX101" s="46"/>
      <c r="VRY101" s="46"/>
      <c r="VRZ101" s="46"/>
      <c r="VSA101" s="46"/>
      <c r="VSB101" s="46"/>
      <c r="VSC101" s="46"/>
      <c r="VSD101" s="46"/>
      <c r="VSE101" s="46"/>
      <c r="VSF101" s="46"/>
      <c r="VSG101" s="46"/>
      <c r="VSH101" s="46"/>
      <c r="VSI101" s="46"/>
      <c r="VSJ101" s="46"/>
      <c r="VSK101" s="46"/>
      <c r="VSL101" s="46"/>
      <c r="VSM101" s="46"/>
      <c r="VSN101" s="46"/>
      <c r="VSO101" s="46"/>
      <c r="VSP101" s="46"/>
      <c r="VSQ101" s="46"/>
      <c r="VSR101" s="46"/>
      <c r="VSS101" s="46"/>
      <c r="VST101" s="46"/>
      <c r="VSU101" s="46"/>
      <c r="VSV101" s="46"/>
      <c r="VSW101" s="46"/>
      <c r="VSX101" s="46"/>
      <c r="VSY101" s="46"/>
      <c r="VSZ101" s="46"/>
      <c r="VTA101" s="46"/>
      <c r="VTB101" s="46"/>
      <c r="VTC101" s="46"/>
      <c r="VTD101" s="46"/>
      <c r="VTE101" s="46"/>
      <c r="VTF101" s="46"/>
      <c r="VTG101" s="46"/>
      <c r="VTH101" s="46"/>
      <c r="VTI101" s="46"/>
      <c r="VTJ101" s="46"/>
      <c r="VTK101" s="46"/>
      <c r="VTL101" s="46"/>
      <c r="VTM101" s="46"/>
      <c r="VTN101" s="46"/>
      <c r="VTO101" s="46"/>
      <c r="VTP101" s="46"/>
      <c r="VTQ101" s="46"/>
      <c r="VTR101" s="46"/>
      <c r="VTS101" s="46"/>
      <c r="VTT101" s="46"/>
      <c r="VTU101" s="46"/>
      <c r="VTV101" s="46"/>
      <c r="VTW101" s="46"/>
      <c r="VTX101" s="46"/>
      <c r="VTY101" s="46"/>
      <c r="VTZ101" s="46"/>
      <c r="VUA101" s="46"/>
      <c r="VUB101" s="46"/>
      <c r="VUC101" s="46"/>
      <c r="VUD101" s="46"/>
      <c r="VUE101" s="46"/>
      <c r="VUF101" s="46"/>
      <c r="VUG101" s="46"/>
      <c r="VUH101" s="46"/>
      <c r="VUI101" s="46"/>
      <c r="VUJ101" s="46"/>
      <c r="VUK101" s="46"/>
      <c r="VUL101" s="46"/>
      <c r="VUM101" s="46"/>
      <c r="VUN101" s="46"/>
      <c r="VUO101" s="46"/>
      <c r="VUP101" s="46"/>
      <c r="VUQ101" s="46"/>
      <c r="VUR101" s="46"/>
      <c r="VUS101" s="46"/>
      <c r="VUT101" s="46"/>
      <c r="VUU101" s="46"/>
      <c r="VUV101" s="46"/>
      <c r="VUW101" s="46"/>
      <c r="VUX101" s="46"/>
      <c r="VUY101" s="46"/>
      <c r="VUZ101" s="46"/>
      <c r="VVA101" s="46"/>
      <c r="VVB101" s="46"/>
      <c r="VVC101" s="46"/>
      <c r="VVD101" s="46"/>
      <c r="VVE101" s="46"/>
      <c r="VVF101" s="46"/>
      <c r="VVG101" s="46"/>
      <c r="VVH101" s="46"/>
      <c r="VVI101" s="46"/>
      <c r="VVJ101" s="46"/>
      <c r="VVK101" s="46"/>
      <c r="VVL101" s="46"/>
      <c r="VVM101" s="46"/>
      <c r="VVN101" s="46"/>
      <c r="VVO101" s="46"/>
      <c r="VVP101" s="46"/>
      <c r="VVQ101" s="46"/>
      <c r="VVR101" s="46"/>
      <c r="VVS101" s="46"/>
      <c r="VVT101" s="46"/>
      <c r="VVU101" s="46"/>
      <c r="VVV101" s="46"/>
      <c r="VVW101" s="46"/>
      <c r="VVX101" s="46"/>
      <c r="VVY101" s="46"/>
      <c r="VVZ101" s="46"/>
      <c r="VWA101" s="46"/>
      <c r="VWB101" s="46"/>
      <c r="VWC101" s="46"/>
      <c r="VWD101" s="46"/>
      <c r="VWE101" s="46"/>
      <c r="VWF101" s="46"/>
      <c r="VWG101" s="46"/>
      <c r="VWH101" s="46"/>
      <c r="VWI101" s="46"/>
      <c r="VWJ101" s="46"/>
      <c r="VWK101" s="46"/>
      <c r="VWL101" s="46"/>
      <c r="VWM101" s="46"/>
      <c r="VWN101" s="46"/>
      <c r="VWO101" s="46"/>
      <c r="VWP101" s="46"/>
      <c r="VWQ101" s="46"/>
      <c r="VWR101" s="46"/>
      <c r="VWS101" s="46"/>
      <c r="VWT101" s="46"/>
      <c r="VWU101" s="46"/>
      <c r="VWV101" s="46"/>
      <c r="VWW101" s="46"/>
      <c r="VWX101" s="46"/>
      <c r="VWY101" s="46"/>
      <c r="VWZ101" s="46"/>
      <c r="VXA101" s="46"/>
      <c r="VXB101" s="46"/>
      <c r="VXC101" s="46"/>
      <c r="VXD101" s="46"/>
      <c r="VXE101" s="46"/>
      <c r="VXF101" s="46"/>
      <c r="VXG101" s="46"/>
      <c r="VXH101" s="46"/>
      <c r="VXI101" s="46"/>
      <c r="VXJ101" s="46"/>
      <c r="VXK101" s="46"/>
      <c r="VXL101" s="46"/>
      <c r="VXM101" s="46"/>
      <c r="VXN101" s="46"/>
      <c r="VXO101" s="46"/>
      <c r="VXP101" s="46"/>
      <c r="VXQ101" s="46"/>
      <c r="VXR101" s="46"/>
      <c r="VXS101" s="46"/>
      <c r="VXT101" s="46"/>
      <c r="VXU101" s="46"/>
      <c r="VXV101" s="46"/>
      <c r="VXW101" s="46"/>
      <c r="VXX101" s="46"/>
      <c r="VXY101" s="46"/>
      <c r="VXZ101" s="46"/>
      <c r="VYA101" s="46"/>
      <c r="VYB101" s="46"/>
      <c r="VYC101" s="46"/>
      <c r="VYD101" s="46"/>
      <c r="VYE101" s="46"/>
      <c r="VYF101" s="46"/>
      <c r="VYG101" s="46"/>
      <c r="VYH101" s="46"/>
      <c r="VYI101" s="46"/>
      <c r="VYJ101" s="46"/>
      <c r="VYK101" s="46"/>
      <c r="VYL101" s="46"/>
      <c r="VYM101" s="46"/>
      <c r="VYN101" s="46"/>
      <c r="VYO101" s="46"/>
      <c r="VYP101" s="46"/>
      <c r="VYQ101" s="46"/>
      <c r="VYR101" s="46"/>
      <c r="VYS101" s="46"/>
      <c r="VYT101" s="46"/>
      <c r="VYU101" s="46"/>
      <c r="VYV101" s="46"/>
      <c r="VYW101" s="46"/>
      <c r="VYX101" s="46"/>
      <c r="VYY101" s="46"/>
      <c r="VYZ101" s="46"/>
      <c r="VZA101" s="46"/>
      <c r="VZB101" s="46"/>
      <c r="VZC101" s="46"/>
      <c r="VZD101" s="46"/>
      <c r="VZE101" s="46"/>
      <c r="VZF101" s="46"/>
      <c r="VZG101" s="46"/>
      <c r="VZH101" s="46"/>
      <c r="VZI101" s="46"/>
      <c r="VZJ101" s="46"/>
      <c r="VZK101" s="46"/>
      <c r="VZL101" s="46"/>
      <c r="VZM101" s="46"/>
      <c r="VZN101" s="46"/>
      <c r="VZO101" s="46"/>
      <c r="VZP101" s="46"/>
      <c r="VZQ101" s="46"/>
      <c r="VZR101" s="46"/>
      <c r="VZS101" s="46"/>
      <c r="VZT101" s="46"/>
      <c r="VZU101" s="46"/>
      <c r="VZV101" s="46"/>
      <c r="VZW101" s="46"/>
      <c r="VZX101" s="46"/>
      <c r="VZY101" s="46"/>
      <c r="VZZ101" s="46"/>
      <c r="WAA101" s="46"/>
      <c r="WAB101" s="46"/>
      <c r="WAC101" s="46"/>
      <c r="WAD101" s="46"/>
      <c r="WAE101" s="46"/>
      <c r="WAF101" s="46"/>
      <c r="WAG101" s="46"/>
      <c r="WAH101" s="46"/>
      <c r="WAI101" s="46"/>
      <c r="WAJ101" s="46"/>
      <c r="WAK101" s="46"/>
      <c r="WAL101" s="46"/>
      <c r="WAM101" s="46"/>
      <c r="WAN101" s="46"/>
      <c r="WAO101" s="46"/>
      <c r="WAP101" s="46"/>
      <c r="WAQ101" s="46"/>
      <c r="WAR101" s="46"/>
      <c r="WAS101" s="46"/>
      <c r="WAT101" s="46"/>
      <c r="WAU101" s="46"/>
      <c r="WAV101" s="46"/>
      <c r="WAW101" s="46"/>
      <c r="WAX101" s="46"/>
      <c r="WAY101" s="46"/>
      <c r="WAZ101" s="46"/>
      <c r="WBA101" s="46"/>
      <c r="WBB101" s="46"/>
      <c r="WBC101" s="46"/>
      <c r="WBD101" s="46"/>
      <c r="WBE101" s="46"/>
      <c r="WBF101" s="46"/>
      <c r="WBG101" s="46"/>
      <c r="WBH101" s="46"/>
      <c r="WBI101" s="46"/>
      <c r="WBJ101" s="46"/>
      <c r="WBK101" s="46"/>
      <c r="WBL101" s="46"/>
      <c r="WBM101" s="46"/>
      <c r="WBN101" s="46"/>
      <c r="WBO101" s="46"/>
      <c r="WBP101" s="46"/>
      <c r="WBQ101" s="46"/>
      <c r="WBR101" s="46"/>
      <c r="WBS101" s="46"/>
      <c r="WBT101" s="46"/>
      <c r="WBU101" s="46"/>
      <c r="WBV101" s="46"/>
      <c r="WBW101" s="46"/>
      <c r="WBX101" s="46"/>
      <c r="WBY101" s="46"/>
      <c r="WBZ101" s="46"/>
      <c r="WCA101" s="46"/>
      <c r="WCB101" s="46"/>
      <c r="WCC101" s="46"/>
      <c r="WCD101" s="46"/>
      <c r="WCE101" s="46"/>
      <c r="WCF101" s="46"/>
      <c r="WCG101" s="46"/>
      <c r="WCH101" s="46"/>
      <c r="WCI101" s="46"/>
      <c r="WCJ101" s="46"/>
      <c r="WCK101" s="46"/>
      <c r="WCL101" s="46"/>
      <c r="WCM101" s="46"/>
      <c r="WCN101" s="46"/>
      <c r="WCO101" s="46"/>
      <c r="WCP101" s="46"/>
      <c r="WCQ101" s="46"/>
      <c r="WCR101" s="46"/>
      <c r="WCS101" s="46"/>
      <c r="WCT101" s="46"/>
      <c r="WCU101" s="46"/>
      <c r="WCV101" s="46"/>
      <c r="WCW101" s="46"/>
      <c r="WCX101" s="46"/>
      <c r="WCY101" s="46"/>
      <c r="WCZ101" s="46"/>
      <c r="WDA101" s="46"/>
      <c r="WDB101" s="46"/>
      <c r="WDC101" s="46"/>
      <c r="WDD101" s="46"/>
      <c r="WDE101" s="46"/>
      <c r="WDF101" s="46"/>
      <c r="WDG101" s="46"/>
      <c r="WDH101" s="46"/>
      <c r="WDI101" s="46"/>
      <c r="WDJ101" s="46"/>
      <c r="WDK101" s="46"/>
      <c r="WDL101" s="46"/>
      <c r="WDM101" s="46"/>
      <c r="WDN101" s="46"/>
      <c r="WDO101" s="46"/>
      <c r="WDP101" s="46"/>
      <c r="WDQ101" s="46"/>
      <c r="WDR101" s="46"/>
      <c r="WDS101" s="46"/>
      <c r="WDT101" s="46"/>
      <c r="WDU101" s="46"/>
      <c r="WDV101" s="46"/>
      <c r="WDW101" s="46"/>
      <c r="WDX101" s="46"/>
      <c r="WDY101" s="46"/>
      <c r="WDZ101" s="46"/>
      <c r="WEA101" s="46"/>
      <c r="WEB101" s="46"/>
      <c r="WEC101" s="46"/>
      <c r="WED101" s="46"/>
      <c r="WEE101" s="46"/>
      <c r="WEF101" s="46"/>
      <c r="WEG101" s="46"/>
      <c r="WEH101" s="46"/>
      <c r="WEI101" s="46"/>
      <c r="WEJ101" s="46"/>
      <c r="WEK101" s="46"/>
      <c r="WEL101" s="46"/>
      <c r="WEM101" s="46"/>
      <c r="WEN101" s="46"/>
      <c r="WEO101" s="46"/>
      <c r="WEP101" s="46"/>
      <c r="WEQ101" s="46"/>
      <c r="WER101" s="46"/>
      <c r="WES101" s="46"/>
      <c r="WET101" s="46"/>
      <c r="WEU101" s="46"/>
      <c r="WEV101" s="46"/>
      <c r="WEW101" s="46"/>
      <c r="WEX101" s="46"/>
      <c r="WEY101" s="46"/>
      <c r="WEZ101" s="46"/>
      <c r="WFA101" s="46"/>
      <c r="WFB101" s="46"/>
      <c r="WFC101" s="46"/>
      <c r="WFD101" s="46"/>
      <c r="WFE101" s="46"/>
      <c r="WFF101" s="46"/>
      <c r="WFG101" s="46"/>
      <c r="WFH101" s="46"/>
      <c r="WFI101" s="46"/>
      <c r="WFJ101" s="46"/>
      <c r="WFK101" s="46"/>
      <c r="WFL101" s="46"/>
      <c r="WFM101" s="46"/>
      <c r="WFN101" s="46"/>
      <c r="WFO101" s="46"/>
      <c r="WFP101" s="46"/>
      <c r="WFQ101" s="46"/>
      <c r="WFR101" s="46"/>
      <c r="WFS101" s="46"/>
      <c r="WFT101" s="46"/>
      <c r="WFU101" s="46"/>
      <c r="WFV101" s="46"/>
      <c r="WFW101" s="46"/>
      <c r="WFX101" s="46"/>
      <c r="WFY101" s="46"/>
      <c r="WFZ101" s="46"/>
      <c r="WGA101" s="46"/>
      <c r="WGB101" s="46"/>
      <c r="WGC101" s="46"/>
      <c r="WGD101" s="46"/>
      <c r="WGE101" s="46"/>
      <c r="WGF101" s="46"/>
      <c r="WGG101" s="46"/>
      <c r="WGH101" s="46"/>
      <c r="WGI101" s="46"/>
      <c r="WGJ101" s="46"/>
      <c r="WGK101" s="46"/>
      <c r="WGL101" s="46"/>
      <c r="WGM101" s="46"/>
      <c r="WGN101" s="46"/>
      <c r="WGO101" s="46"/>
      <c r="WGP101" s="46"/>
      <c r="WGQ101" s="46"/>
      <c r="WGR101" s="46"/>
      <c r="WGS101" s="46"/>
      <c r="WGT101" s="46"/>
      <c r="WGU101" s="46"/>
      <c r="WGV101" s="46"/>
      <c r="WGW101" s="46"/>
      <c r="WGX101" s="46"/>
      <c r="WGY101" s="46"/>
      <c r="WGZ101" s="46"/>
      <c r="WHA101" s="46"/>
      <c r="WHB101" s="46"/>
      <c r="WHC101" s="46"/>
      <c r="WHD101" s="46"/>
      <c r="WHE101" s="46"/>
      <c r="WHF101" s="46"/>
      <c r="WHG101" s="46"/>
      <c r="WHH101" s="46"/>
      <c r="WHI101" s="46"/>
      <c r="WHJ101" s="46"/>
      <c r="WHK101" s="46"/>
      <c r="WHL101" s="46"/>
      <c r="WHM101" s="46"/>
      <c r="WHN101" s="46"/>
      <c r="WHO101" s="46"/>
      <c r="WHP101" s="46"/>
      <c r="WHQ101" s="46"/>
      <c r="WHR101" s="46"/>
      <c r="WHS101" s="46"/>
      <c r="WHT101" s="46"/>
      <c r="WHU101" s="46"/>
      <c r="WHV101" s="46"/>
      <c r="WHW101" s="46"/>
      <c r="WHX101" s="46"/>
      <c r="WHY101" s="46"/>
      <c r="WHZ101" s="46"/>
      <c r="WIA101" s="46"/>
      <c r="WIB101" s="46"/>
      <c r="WIC101" s="46"/>
      <c r="WID101" s="46"/>
      <c r="WIE101" s="46"/>
      <c r="WIF101" s="46"/>
      <c r="WIG101" s="46"/>
      <c r="WIH101" s="46"/>
      <c r="WII101" s="46"/>
      <c r="WIJ101" s="46"/>
      <c r="WIK101" s="46"/>
      <c r="WIL101" s="46"/>
      <c r="WIM101" s="46"/>
      <c r="WIN101" s="46"/>
      <c r="WIO101" s="46"/>
      <c r="WIP101" s="46"/>
      <c r="WIQ101" s="46"/>
      <c r="WIR101" s="46"/>
      <c r="WIS101" s="46"/>
      <c r="WIT101" s="46"/>
      <c r="WIU101" s="46"/>
      <c r="WIV101" s="46"/>
      <c r="WIW101" s="46"/>
      <c r="WIX101" s="46"/>
      <c r="WIY101" s="46"/>
      <c r="WIZ101" s="46"/>
      <c r="WJA101" s="46"/>
      <c r="WJB101" s="46"/>
      <c r="WJC101" s="46"/>
      <c r="WJD101" s="46"/>
      <c r="WJE101" s="46"/>
      <c r="WJF101" s="46"/>
      <c r="WJG101" s="46"/>
      <c r="WJH101" s="46"/>
      <c r="WJI101" s="46"/>
      <c r="WJJ101" s="46"/>
      <c r="WJK101" s="46"/>
      <c r="WJL101" s="46"/>
      <c r="WJM101" s="46"/>
      <c r="WJN101" s="46"/>
      <c r="WJO101" s="46"/>
      <c r="WJP101" s="46"/>
      <c r="WJQ101" s="46"/>
      <c r="WJR101" s="46"/>
      <c r="WJS101" s="46"/>
      <c r="WJT101" s="46"/>
      <c r="WJU101" s="46"/>
      <c r="WJV101" s="46"/>
      <c r="WJW101" s="46"/>
      <c r="WJX101" s="46"/>
      <c r="WJY101" s="46"/>
      <c r="WJZ101" s="46"/>
      <c r="WKA101" s="46"/>
      <c r="WKB101" s="46"/>
      <c r="WKC101" s="46"/>
      <c r="WKD101" s="46"/>
      <c r="WKE101" s="46"/>
      <c r="WKF101" s="46"/>
      <c r="WKG101" s="46"/>
      <c r="WKH101" s="46"/>
      <c r="WKI101" s="46"/>
      <c r="WKJ101" s="46"/>
      <c r="WKK101" s="46"/>
      <c r="WKL101" s="46"/>
      <c r="WKM101" s="46"/>
      <c r="WKN101" s="46"/>
      <c r="WKO101" s="46"/>
      <c r="WKP101" s="46"/>
      <c r="WKQ101" s="46"/>
      <c r="WKR101" s="46"/>
      <c r="WKS101" s="46"/>
      <c r="WKT101" s="46"/>
      <c r="WKU101" s="46"/>
      <c r="WKV101" s="46"/>
      <c r="WKW101" s="46"/>
      <c r="WKX101" s="46"/>
      <c r="WKY101" s="46"/>
      <c r="WKZ101" s="46"/>
      <c r="WLA101" s="46"/>
      <c r="WLB101" s="46"/>
      <c r="WLC101" s="46"/>
      <c r="WLD101" s="46"/>
      <c r="WLE101" s="46"/>
      <c r="WLF101" s="46"/>
      <c r="WLG101" s="46"/>
      <c r="WLH101" s="46"/>
      <c r="WLI101" s="46"/>
      <c r="WLJ101" s="46"/>
      <c r="WLK101" s="46"/>
      <c r="WLL101" s="46"/>
      <c r="WLM101" s="46"/>
      <c r="WLN101" s="46"/>
      <c r="WLO101" s="46"/>
      <c r="WLP101" s="46"/>
      <c r="WLQ101" s="46"/>
      <c r="WLR101" s="46"/>
      <c r="WLS101" s="46"/>
      <c r="WLT101" s="46"/>
      <c r="WLU101" s="46"/>
      <c r="WLV101" s="46"/>
      <c r="WLW101" s="46"/>
      <c r="WLX101" s="46"/>
      <c r="WLY101" s="46"/>
      <c r="WLZ101" s="46"/>
      <c r="WMA101" s="46"/>
      <c r="WMB101" s="46"/>
      <c r="WMC101" s="46"/>
      <c r="WMD101" s="46"/>
      <c r="WME101" s="46"/>
      <c r="WMF101" s="46"/>
      <c r="WMG101" s="46"/>
      <c r="WMH101" s="46"/>
      <c r="WMI101" s="46"/>
      <c r="WMJ101" s="46"/>
      <c r="WMK101" s="46"/>
      <c r="WML101" s="46"/>
      <c r="WMM101" s="46"/>
      <c r="WMN101" s="46"/>
      <c r="WMO101" s="46"/>
      <c r="WMP101" s="46"/>
      <c r="WMQ101" s="46"/>
      <c r="WMR101" s="46"/>
      <c r="WMS101" s="46"/>
      <c r="WMT101" s="46"/>
      <c r="WMU101" s="46"/>
      <c r="WMV101" s="46"/>
      <c r="WMW101" s="46"/>
      <c r="WMX101" s="46"/>
      <c r="WMY101" s="46"/>
      <c r="WMZ101" s="46"/>
      <c r="WNA101" s="46"/>
      <c r="WNB101" s="46"/>
      <c r="WNC101" s="46"/>
      <c r="WND101" s="46"/>
      <c r="WNE101" s="46"/>
      <c r="WNF101" s="46"/>
      <c r="WNG101" s="46"/>
      <c r="WNH101" s="46"/>
      <c r="WNI101" s="46"/>
      <c r="WNJ101" s="46"/>
      <c r="WNK101" s="46"/>
      <c r="WNL101" s="46"/>
      <c r="WNM101" s="46"/>
      <c r="WNN101" s="46"/>
      <c r="WNO101" s="46"/>
      <c r="WNP101" s="46"/>
      <c r="WNQ101" s="46"/>
      <c r="WNR101" s="46"/>
      <c r="WNS101" s="46"/>
      <c r="WNT101" s="46"/>
      <c r="WNU101" s="46"/>
      <c r="WNV101" s="46"/>
      <c r="WNW101" s="46"/>
      <c r="WNX101" s="46"/>
      <c r="WNY101" s="46"/>
      <c r="WNZ101" s="46"/>
      <c r="WOA101" s="46"/>
      <c r="WOB101" s="46"/>
      <c r="WOC101" s="46"/>
      <c r="WOD101" s="46"/>
      <c r="WOE101" s="46"/>
      <c r="WOF101" s="46"/>
      <c r="WOG101" s="46"/>
      <c r="WOH101" s="46"/>
      <c r="WOI101" s="46"/>
      <c r="WOJ101" s="46"/>
      <c r="WOK101" s="46"/>
      <c r="WOL101" s="46"/>
      <c r="WOM101" s="46"/>
      <c r="WON101" s="46"/>
      <c r="WOO101" s="46"/>
      <c r="WOP101" s="46"/>
      <c r="WOQ101" s="46"/>
      <c r="WOR101" s="46"/>
      <c r="WOS101" s="46"/>
      <c r="WOT101" s="46"/>
      <c r="WOU101" s="46"/>
      <c r="WOV101" s="46"/>
      <c r="WOW101" s="46"/>
      <c r="WOX101" s="46"/>
      <c r="WOY101" s="46"/>
      <c r="WOZ101" s="46"/>
      <c r="WPA101" s="46"/>
      <c r="WPB101" s="46"/>
      <c r="WPC101" s="46"/>
      <c r="WPD101" s="46"/>
      <c r="WPE101" s="46"/>
      <c r="WPF101" s="46"/>
      <c r="WPG101" s="46"/>
      <c r="WPH101" s="46"/>
      <c r="WPI101" s="46"/>
      <c r="WPJ101" s="46"/>
      <c r="WPK101" s="46"/>
      <c r="WPL101" s="46"/>
      <c r="WPM101" s="46"/>
      <c r="WPN101" s="46"/>
      <c r="WPO101" s="46"/>
      <c r="WPP101" s="46"/>
      <c r="WPQ101" s="46"/>
      <c r="WPR101" s="46"/>
      <c r="WPS101" s="46"/>
      <c r="WPT101" s="46"/>
      <c r="WPU101" s="46"/>
      <c r="WPV101" s="46"/>
      <c r="WPW101" s="46"/>
      <c r="WPX101" s="46"/>
      <c r="WPY101" s="46"/>
      <c r="WPZ101" s="46"/>
      <c r="WQA101" s="46"/>
      <c r="WQB101" s="46"/>
      <c r="WQC101" s="46"/>
      <c r="WQD101" s="46"/>
      <c r="WQE101" s="46"/>
      <c r="WQF101" s="46"/>
      <c r="WQG101" s="46"/>
      <c r="WQH101" s="46"/>
      <c r="WQI101" s="46"/>
      <c r="WQJ101" s="46"/>
      <c r="WQK101" s="46"/>
      <c r="WQL101" s="46"/>
      <c r="WQM101" s="46"/>
      <c r="WQN101" s="46"/>
      <c r="WQO101" s="46"/>
      <c r="WQP101" s="46"/>
      <c r="WQQ101" s="46"/>
      <c r="WQR101" s="46"/>
      <c r="WQS101" s="46"/>
      <c r="WQT101" s="46"/>
      <c r="WQU101" s="46"/>
      <c r="WQV101" s="46"/>
      <c r="WQW101" s="46"/>
      <c r="WQX101" s="46"/>
      <c r="WQY101" s="46"/>
      <c r="WQZ101" s="46"/>
      <c r="WRA101" s="46"/>
      <c r="WRB101" s="46"/>
      <c r="WRC101" s="46"/>
      <c r="WRD101" s="46"/>
      <c r="WRE101" s="46"/>
      <c r="WRF101" s="46"/>
      <c r="WRG101" s="46"/>
      <c r="WRH101" s="46"/>
      <c r="WRI101" s="46"/>
      <c r="WRJ101" s="46"/>
      <c r="WRK101" s="46"/>
      <c r="WRL101" s="46"/>
      <c r="WRM101" s="46"/>
      <c r="WRN101" s="46"/>
      <c r="WRO101" s="46"/>
      <c r="WRP101" s="46"/>
      <c r="WRQ101" s="46"/>
      <c r="WRR101" s="46"/>
      <c r="WRS101" s="46"/>
      <c r="WRT101" s="46"/>
      <c r="WRU101" s="46"/>
      <c r="WRV101" s="46"/>
      <c r="WRW101" s="46"/>
      <c r="WRX101" s="46"/>
      <c r="WRY101" s="46"/>
      <c r="WRZ101" s="46"/>
      <c r="WSA101" s="46"/>
      <c r="WSB101" s="46"/>
      <c r="WSC101" s="46"/>
      <c r="WSD101" s="46"/>
      <c r="WSE101" s="46"/>
      <c r="WSF101" s="46"/>
      <c r="WSG101" s="46"/>
      <c r="WSH101" s="46"/>
      <c r="WSI101" s="46"/>
      <c r="WSJ101" s="46"/>
      <c r="WSK101" s="46"/>
      <c r="WSL101" s="46"/>
      <c r="WSM101" s="46"/>
      <c r="WSN101" s="46"/>
      <c r="WSO101" s="46"/>
      <c r="WSP101" s="46"/>
      <c r="WSQ101" s="46"/>
      <c r="WSR101" s="46"/>
      <c r="WSS101" s="46"/>
      <c r="WST101" s="46"/>
      <c r="WSU101" s="46"/>
      <c r="WSV101" s="46"/>
      <c r="WSW101" s="46"/>
      <c r="WSX101" s="46"/>
      <c r="WSY101" s="46"/>
      <c r="WSZ101" s="46"/>
      <c r="WTA101" s="46"/>
      <c r="WTB101" s="46"/>
      <c r="WTC101" s="46"/>
      <c r="WTD101" s="46"/>
      <c r="WTE101" s="46"/>
      <c r="WTF101" s="46"/>
      <c r="WTG101" s="46"/>
      <c r="WTH101" s="46"/>
      <c r="WTI101" s="46"/>
      <c r="WTJ101" s="46"/>
      <c r="WTK101" s="46"/>
      <c r="WTL101" s="46"/>
      <c r="WTM101" s="46"/>
      <c r="WTN101" s="46"/>
      <c r="WTO101" s="46"/>
      <c r="WTP101" s="46"/>
      <c r="WTQ101" s="46"/>
      <c r="WTR101" s="46"/>
      <c r="WTS101" s="46"/>
      <c r="WTT101" s="46"/>
      <c r="WTU101" s="46"/>
      <c r="WTV101" s="46"/>
      <c r="WTW101" s="46"/>
      <c r="WTX101" s="46"/>
      <c r="WTY101" s="46"/>
      <c r="WTZ101" s="46"/>
      <c r="WUA101" s="46"/>
      <c r="WUB101" s="46"/>
      <c r="WUC101" s="46"/>
      <c r="WUD101" s="46"/>
      <c r="WUE101" s="46"/>
      <c r="WUF101" s="46"/>
      <c r="WUG101" s="46"/>
      <c r="WUH101" s="46"/>
      <c r="WUI101" s="46"/>
      <c r="WUJ101" s="46"/>
      <c r="WUK101" s="46"/>
      <c r="WUL101" s="46"/>
      <c r="WUM101" s="46"/>
      <c r="WUN101" s="46"/>
      <c r="WUO101" s="46"/>
      <c r="WUP101" s="46"/>
      <c r="WUQ101" s="46"/>
      <c r="WUR101" s="46"/>
      <c r="WUS101" s="46"/>
      <c r="WUT101" s="46"/>
      <c r="WUU101" s="46"/>
      <c r="WUV101" s="46"/>
      <c r="WUW101" s="46"/>
      <c r="WUX101" s="46"/>
      <c r="WUY101" s="46"/>
      <c r="WUZ101" s="46"/>
      <c r="WVA101" s="46"/>
      <c r="WVB101" s="46"/>
      <c r="WVC101" s="46"/>
      <c r="WVD101" s="46"/>
      <c r="WVE101" s="46"/>
      <c r="WVF101" s="46"/>
      <c r="WVG101" s="46"/>
      <c r="WVH101" s="46"/>
      <c r="WVI101" s="46"/>
      <c r="WVJ101" s="46"/>
      <c r="WVK101" s="46"/>
      <c r="WVL101" s="46"/>
      <c r="WVM101" s="46"/>
      <c r="WVN101" s="46"/>
      <c r="WVO101" s="46"/>
      <c r="WVP101" s="46"/>
      <c r="WVQ101" s="46"/>
      <c r="WVR101" s="46"/>
      <c r="WVS101" s="46"/>
      <c r="WVT101" s="46"/>
      <c r="WVU101" s="46"/>
      <c r="WVV101" s="46"/>
      <c r="WVW101" s="46"/>
      <c r="WVX101" s="46"/>
      <c r="WVY101" s="46"/>
      <c r="WVZ101" s="46"/>
      <c r="WWA101" s="46"/>
      <c r="WWB101" s="46"/>
      <c r="WWC101" s="46"/>
      <c r="WWD101" s="46"/>
      <c r="WWE101" s="46"/>
      <c r="WWF101" s="46"/>
      <c r="WWG101" s="46"/>
      <c r="WWH101" s="46"/>
      <c r="WWI101" s="46"/>
      <c r="WWJ101" s="46"/>
      <c r="WWK101" s="46"/>
      <c r="WWL101" s="46"/>
      <c r="WWM101" s="46"/>
      <c r="WWN101" s="46"/>
      <c r="WWO101" s="46"/>
      <c r="WWP101" s="46"/>
      <c r="WWQ101" s="46"/>
      <c r="WWR101" s="46"/>
      <c r="WWS101" s="46"/>
      <c r="WWT101" s="46"/>
      <c r="WWU101" s="46"/>
      <c r="WWV101" s="46"/>
      <c r="WWW101" s="46"/>
      <c r="WWX101" s="46"/>
      <c r="WWY101" s="46"/>
      <c r="WWZ101" s="46"/>
      <c r="WXA101" s="46"/>
      <c r="WXB101" s="46"/>
      <c r="WXC101" s="46"/>
      <c r="WXD101" s="46"/>
      <c r="WXE101" s="46"/>
      <c r="WXF101" s="46"/>
      <c r="WXG101" s="46"/>
      <c r="WXH101" s="46"/>
      <c r="WXI101" s="46"/>
      <c r="WXJ101" s="46"/>
      <c r="WXK101" s="46"/>
      <c r="WXL101" s="46"/>
      <c r="WXM101" s="46"/>
      <c r="WXN101" s="46"/>
      <c r="WXO101" s="46"/>
      <c r="WXP101" s="46"/>
      <c r="WXQ101" s="46"/>
      <c r="WXR101" s="46"/>
      <c r="WXS101" s="46"/>
      <c r="WXT101" s="46"/>
      <c r="WXU101" s="46"/>
      <c r="WXV101" s="46"/>
      <c r="WXW101" s="46"/>
      <c r="WXX101" s="46"/>
      <c r="WXY101" s="46"/>
      <c r="WXZ101" s="46"/>
      <c r="WYA101" s="46"/>
      <c r="WYB101" s="46"/>
      <c r="WYC101" s="46"/>
      <c r="WYD101" s="46"/>
      <c r="WYE101" s="46"/>
      <c r="WYF101" s="46"/>
      <c r="WYG101" s="46"/>
      <c r="WYH101" s="46"/>
      <c r="WYI101" s="46"/>
      <c r="WYJ101" s="46"/>
      <c r="WYK101" s="46"/>
      <c r="WYL101" s="46"/>
      <c r="WYM101" s="46"/>
      <c r="WYN101" s="46"/>
      <c r="WYO101" s="46"/>
      <c r="WYP101" s="46"/>
      <c r="WYQ101" s="46"/>
      <c r="WYR101" s="46"/>
      <c r="WYS101" s="46"/>
      <c r="WYT101" s="46"/>
      <c r="WYU101" s="46"/>
      <c r="WYV101" s="46"/>
      <c r="WYW101" s="46"/>
      <c r="WYX101" s="46"/>
      <c r="WYY101" s="46"/>
      <c r="WYZ101" s="46"/>
      <c r="WZA101" s="46"/>
      <c r="WZB101" s="46"/>
      <c r="WZC101" s="46"/>
      <c r="WZD101" s="46"/>
      <c r="WZE101" s="46"/>
      <c r="WZF101" s="46"/>
      <c r="WZG101" s="46"/>
      <c r="WZH101" s="46"/>
      <c r="WZI101" s="46"/>
      <c r="WZJ101" s="46"/>
      <c r="WZK101" s="46"/>
      <c r="WZL101" s="46"/>
      <c r="WZM101" s="46"/>
      <c r="WZN101" s="46"/>
      <c r="WZO101" s="46"/>
      <c r="WZP101" s="46"/>
      <c r="WZQ101" s="46"/>
      <c r="WZR101" s="46"/>
      <c r="WZS101" s="46"/>
      <c r="WZT101" s="46"/>
      <c r="WZU101" s="46"/>
      <c r="WZV101" s="46"/>
      <c r="WZW101" s="46"/>
      <c r="WZX101" s="46"/>
      <c r="WZY101" s="46"/>
      <c r="WZZ101" s="46"/>
      <c r="XAA101" s="46"/>
      <c r="XAB101" s="46"/>
      <c r="XAC101" s="46"/>
      <c r="XAD101" s="46"/>
      <c r="XAE101" s="46"/>
      <c r="XAF101" s="46"/>
      <c r="XAG101" s="46"/>
      <c r="XAH101" s="46"/>
      <c r="XAI101" s="46"/>
      <c r="XAJ101" s="46"/>
      <c r="XAK101" s="46"/>
      <c r="XAL101" s="46"/>
      <c r="XAM101" s="46"/>
      <c r="XAN101" s="46"/>
      <c r="XAO101" s="46"/>
      <c r="XAP101" s="46"/>
      <c r="XAQ101" s="46"/>
      <c r="XAR101" s="46"/>
      <c r="XAS101" s="46"/>
      <c r="XAT101" s="46"/>
      <c r="XAU101" s="46"/>
      <c r="XAV101" s="46"/>
      <c r="XAW101" s="46"/>
      <c r="XAX101" s="46"/>
      <c r="XAY101" s="46"/>
      <c r="XAZ101" s="46"/>
      <c r="XBA101" s="46"/>
      <c r="XBB101" s="46"/>
      <c r="XBC101" s="46"/>
      <c r="XBD101" s="46"/>
      <c r="XBE101" s="46"/>
      <c r="XBF101" s="46"/>
      <c r="XBG101" s="46"/>
      <c r="XBH101" s="46"/>
      <c r="XBI101" s="46"/>
      <c r="XBJ101" s="46"/>
      <c r="XBK101" s="46"/>
      <c r="XBL101" s="46"/>
      <c r="XBM101" s="46"/>
      <c r="XBN101" s="46"/>
      <c r="XBO101" s="46"/>
      <c r="XBP101" s="46"/>
      <c r="XBQ101" s="46"/>
      <c r="XBR101" s="46"/>
      <c r="XBS101" s="46"/>
      <c r="XBT101" s="46"/>
      <c r="XBU101" s="46"/>
      <c r="XBV101" s="46"/>
      <c r="XBW101" s="46"/>
      <c r="XBX101" s="46"/>
      <c r="XBY101" s="46"/>
      <c r="XBZ101" s="46"/>
      <c r="XCA101" s="46"/>
      <c r="XCB101" s="46"/>
      <c r="XCC101" s="46"/>
      <c r="XCD101" s="46"/>
      <c r="XCE101" s="46"/>
      <c r="XCF101" s="46"/>
      <c r="XCG101" s="46"/>
      <c r="XCH101" s="46"/>
      <c r="XCI101" s="46"/>
      <c r="XCJ101" s="46"/>
      <c r="XCK101" s="46"/>
      <c r="XCL101" s="46"/>
      <c r="XCM101" s="46"/>
      <c r="XCN101" s="46"/>
      <c r="XCO101" s="46"/>
      <c r="XCP101" s="46"/>
      <c r="XCQ101" s="46"/>
      <c r="XCR101" s="46"/>
      <c r="XCS101" s="46"/>
      <c r="XCT101" s="46"/>
      <c r="XCU101" s="46"/>
      <c r="XCV101" s="46"/>
      <c r="XCW101" s="46"/>
      <c r="XCX101" s="46"/>
      <c r="XCY101" s="46"/>
      <c r="XCZ101" s="46"/>
      <c r="XDA101" s="46"/>
      <c r="XDB101" s="46"/>
      <c r="XDC101" s="46"/>
      <c r="XDD101" s="46"/>
      <c r="XDE101" s="46"/>
      <c r="XDF101" s="46"/>
      <c r="XDG101" s="46"/>
      <c r="XDH101" s="46"/>
      <c r="XDI101" s="46"/>
      <c r="XDJ101" s="46"/>
      <c r="XDK101" s="46"/>
      <c r="XDL101" s="46"/>
      <c r="XDM101" s="46"/>
      <c r="XDN101" s="46"/>
      <c r="XDO101" s="46"/>
      <c r="XDP101" s="46"/>
      <c r="XDQ101" s="46"/>
      <c r="XDR101" s="46"/>
      <c r="XDS101" s="46"/>
      <c r="XDT101" s="46"/>
      <c r="XDU101" s="46"/>
      <c r="XDV101" s="46"/>
      <c r="XDW101" s="46"/>
      <c r="XDX101" s="46"/>
      <c r="XDY101" s="46"/>
      <c r="XDZ101" s="46"/>
      <c r="XEA101" s="46"/>
      <c r="XEB101" s="46"/>
      <c r="XEC101" s="46"/>
      <c r="XED101" s="46"/>
      <c r="XEE101" s="46"/>
      <c r="XEF101" s="46"/>
      <c r="XEG101" s="46"/>
      <c r="XEH101" s="46"/>
      <c r="XEI101" s="46"/>
      <c r="XEJ101" s="46"/>
      <c r="XEK101" s="46"/>
      <c r="XEL101" s="46"/>
      <c r="XEM101" s="46"/>
      <c r="XEN101" s="46"/>
      <c r="XEO101" s="46"/>
      <c r="XEP101" s="46"/>
      <c r="XEQ101" s="46"/>
      <c r="XER101" s="46"/>
    </row>
    <row r="102" spans="1:16372" s="47" customFormat="1" x14ac:dyDescent="0.2">
      <c r="A102" s="1" t="s">
        <v>91</v>
      </c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  <c r="MH102" s="15"/>
      <c r="MI102" s="15"/>
      <c r="MJ102" s="15"/>
      <c r="MK102" s="15"/>
      <c r="ML102" s="15"/>
      <c r="MM102" s="15"/>
      <c r="MN102" s="15"/>
      <c r="MO102" s="15"/>
      <c r="MP102" s="15"/>
      <c r="MQ102" s="15"/>
      <c r="MR102" s="15"/>
      <c r="MS102" s="15"/>
      <c r="MT102" s="15"/>
      <c r="MU102" s="15"/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  <c r="OA102" s="15"/>
      <c r="OB102" s="15"/>
      <c r="OC102" s="15"/>
      <c r="OD102" s="15"/>
      <c r="OE102" s="15"/>
      <c r="OF102" s="15"/>
      <c r="OG102" s="15"/>
      <c r="OH102" s="15"/>
      <c r="OI102" s="15"/>
      <c r="OJ102" s="15"/>
      <c r="OK102" s="15"/>
      <c r="OL102" s="15"/>
      <c r="OM102" s="15"/>
      <c r="ON102" s="15"/>
      <c r="OO102" s="15"/>
      <c r="OP102" s="15"/>
      <c r="OQ102" s="15"/>
      <c r="OR102" s="15"/>
      <c r="OS102" s="15"/>
      <c r="OT102" s="15"/>
      <c r="OU102" s="15"/>
      <c r="OV102" s="15"/>
      <c r="OW102" s="15"/>
      <c r="OX102" s="15"/>
      <c r="OY102" s="15"/>
      <c r="OZ102" s="15"/>
      <c r="PA102" s="15"/>
      <c r="PB102" s="15"/>
      <c r="PC102" s="15"/>
      <c r="PD102" s="15"/>
      <c r="PE102" s="15"/>
      <c r="PF102" s="15"/>
      <c r="PG102" s="15"/>
      <c r="PH102" s="15"/>
      <c r="PI102" s="15"/>
      <c r="PJ102" s="15"/>
      <c r="PK102" s="15"/>
      <c r="PL102" s="15"/>
      <c r="PM102" s="15"/>
      <c r="PN102" s="15"/>
      <c r="PO102" s="15"/>
      <c r="PP102" s="15"/>
      <c r="PQ102" s="15"/>
      <c r="PR102" s="15"/>
      <c r="PS102" s="15"/>
      <c r="PT102" s="15"/>
      <c r="PU102" s="15"/>
      <c r="PV102" s="15"/>
      <c r="PW102" s="15"/>
      <c r="PX102" s="15"/>
      <c r="PY102" s="15"/>
      <c r="PZ102" s="15"/>
      <c r="QA102" s="15"/>
      <c r="QB102" s="15"/>
      <c r="QC102" s="15"/>
      <c r="QD102" s="15"/>
      <c r="QE102" s="15"/>
      <c r="QF102" s="15"/>
      <c r="QG102" s="15"/>
      <c r="QH102" s="15"/>
      <c r="QI102" s="15"/>
      <c r="QJ102" s="15"/>
      <c r="QK102" s="15"/>
      <c r="QL102" s="15"/>
      <c r="QM102" s="15"/>
      <c r="QN102" s="15"/>
      <c r="QO102" s="15"/>
      <c r="QP102" s="15"/>
      <c r="QQ102" s="15"/>
      <c r="QR102" s="15"/>
      <c r="QS102" s="15"/>
      <c r="QT102" s="15"/>
      <c r="QU102" s="15"/>
      <c r="QV102" s="15"/>
      <c r="QW102" s="15"/>
      <c r="QX102" s="15"/>
      <c r="QY102" s="15"/>
      <c r="QZ102" s="15"/>
      <c r="RA102" s="15"/>
      <c r="RB102" s="15"/>
      <c r="RC102" s="15"/>
      <c r="RD102" s="15"/>
      <c r="RE102" s="15"/>
      <c r="RF102" s="15"/>
      <c r="RG102" s="15"/>
      <c r="RH102" s="15"/>
      <c r="RI102" s="15"/>
      <c r="RJ102" s="15"/>
      <c r="RK102" s="15"/>
      <c r="RL102" s="15"/>
      <c r="RM102" s="15"/>
      <c r="RN102" s="15"/>
      <c r="RO102" s="15"/>
      <c r="RP102" s="15"/>
      <c r="RQ102" s="15"/>
      <c r="RR102" s="15"/>
      <c r="RS102" s="15"/>
      <c r="RT102" s="15"/>
      <c r="RU102" s="15"/>
      <c r="RV102" s="15"/>
      <c r="RW102" s="15"/>
      <c r="RX102" s="15"/>
      <c r="RY102" s="15"/>
      <c r="RZ102" s="15"/>
      <c r="SA102" s="15"/>
      <c r="SB102" s="15"/>
      <c r="SC102" s="15"/>
      <c r="SD102" s="15"/>
      <c r="SE102" s="15"/>
      <c r="SF102" s="15"/>
      <c r="SG102" s="15"/>
      <c r="SH102" s="15"/>
      <c r="SI102" s="15"/>
      <c r="SJ102" s="15"/>
      <c r="SK102" s="15"/>
      <c r="SL102" s="15"/>
      <c r="SM102" s="15"/>
      <c r="SN102" s="15"/>
      <c r="SO102" s="15"/>
      <c r="SP102" s="15"/>
      <c r="SQ102" s="15"/>
      <c r="SR102" s="15"/>
      <c r="SS102" s="15"/>
      <c r="ST102" s="15"/>
      <c r="SU102" s="15"/>
      <c r="SV102" s="15"/>
      <c r="SW102" s="15"/>
      <c r="SX102" s="15"/>
      <c r="SY102" s="15"/>
      <c r="SZ102" s="15"/>
      <c r="TA102" s="15"/>
      <c r="TB102" s="15"/>
      <c r="TC102" s="15"/>
      <c r="TD102" s="15"/>
      <c r="TE102" s="15"/>
      <c r="TF102" s="15"/>
      <c r="TG102" s="15"/>
      <c r="TH102" s="15"/>
      <c r="TI102" s="15"/>
      <c r="TJ102" s="15"/>
      <c r="TK102" s="15"/>
      <c r="TL102" s="15"/>
      <c r="TM102" s="15"/>
      <c r="TN102" s="15"/>
      <c r="TO102" s="15"/>
      <c r="TP102" s="15"/>
      <c r="TQ102" s="15"/>
      <c r="TR102" s="15"/>
      <c r="TS102" s="15"/>
      <c r="TT102" s="15"/>
      <c r="TU102" s="15"/>
      <c r="TV102" s="15"/>
      <c r="TW102" s="15"/>
      <c r="TX102" s="15"/>
      <c r="TY102" s="15"/>
      <c r="TZ102" s="15"/>
      <c r="UA102" s="15"/>
      <c r="UB102" s="15"/>
      <c r="UC102" s="15"/>
      <c r="UD102" s="15"/>
      <c r="UE102" s="15"/>
      <c r="UF102" s="15"/>
      <c r="UG102" s="15"/>
      <c r="UH102" s="15"/>
      <c r="UI102" s="15"/>
      <c r="UJ102" s="15"/>
      <c r="UK102" s="15"/>
      <c r="UL102" s="15"/>
      <c r="UM102" s="15"/>
      <c r="UN102" s="15"/>
      <c r="UO102" s="15"/>
      <c r="UP102" s="15"/>
      <c r="UQ102" s="15"/>
      <c r="UR102" s="15"/>
      <c r="US102" s="15"/>
      <c r="UT102" s="15"/>
      <c r="UU102" s="15"/>
      <c r="UV102" s="15"/>
      <c r="UW102" s="15"/>
      <c r="UX102" s="15"/>
      <c r="UY102" s="15"/>
      <c r="UZ102" s="15"/>
      <c r="VA102" s="15"/>
      <c r="VB102" s="15"/>
      <c r="VC102" s="15"/>
      <c r="VD102" s="15"/>
      <c r="VE102" s="15"/>
      <c r="VF102" s="15"/>
      <c r="VG102" s="15"/>
      <c r="VH102" s="15"/>
      <c r="VI102" s="15"/>
      <c r="VJ102" s="15"/>
      <c r="VK102" s="15"/>
      <c r="VL102" s="15"/>
      <c r="VM102" s="15"/>
      <c r="VN102" s="15"/>
      <c r="VO102" s="15"/>
      <c r="VP102" s="15"/>
      <c r="VQ102" s="15"/>
      <c r="VR102" s="15"/>
      <c r="VS102" s="15"/>
      <c r="VT102" s="15"/>
      <c r="VU102" s="15"/>
      <c r="VV102" s="15"/>
      <c r="VW102" s="15"/>
      <c r="VX102" s="15"/>
      <c r="VY102" s="15"/>
      <c r="VZ102" s="15"/>
      <c r="WA102" s="15"/>
      <c r="WB102" s="15"/>
      <c r="WC102" s="15"/>
      <c r="WD102" s="15"/>
      <c r="WE102" s="15"/>
      <c r="WF102" s="15"/>
      <c r="WG102" s="15"/>
      <c r="WH102" s="15"/>
      <c r="WI102" s="15"/>
      <c r="WJ102" s="15"/>
      <c r="WK102" s="15"/>
      <c r="WL102" s="15"/>
      <c r="WM102" s="15"/>
      <c r="WN102" s="15"/>
      <c r="WO102" s="15"/>
      <c r="WP102" s="15"/>
      <c r="WQ102" s="15"/>
      <c r="WR102" s="15"/>
      <c r="WS102" s="15"/>
      <c r="WT102" s="15"/>
      <c r="WU102" s="15"/>
      <c r="WV102" s="15"/>
      <c r="WW102" s="15"/>
      <c r="WX102" s="15"/>
      <c r="WY102" s="15"/>
      <c r="WZ102" s="15"/>
      <c r="XA102" s="15"/>
      <c r="XB102" s="15"/>
      <c r="XC102" s="15"/>
      <c r="XD102" s="15"/>
      <c r="XE102" s="15"/>
      <c r="XF102" s="15"/>
      <c r="XG102" s="15"/>
      <c r="XH102" s="15"/>
      <c r="XI102" s="15"/>
      <c r="XJ102" s="15"/>
      <c r="XK102" s="15"/>
      <c r="XL102" s="15"/>
      <c r="XM102" s="15"/>
      <c r="XN102" s="15"/>
      <c r="XO102" s="15"/>
      <c r="XP102" s="15"/>
      <c r="XQ102" s="15"/>
      <c r="XR102" s="15"/>
      <c r="XS102" s="15"/>
      <c r="XT102" s="15"/>
      <c r="XU102" s="15"/>
      <c r="XV102" s="15"/>
      <c r="XW102" s="15"/>
      <c r="XX102" s="15"/>
      <c r="XY102" s="15"/>
      <c r="XZ102" s="15"/>
      <c r="YA102" s="15"/>
      <c r="YB102" s="15"/>
      <c r="YC102" s="15"/>
      <c r="YD102" s="15"/>
      <c r="YE102" s="15"/>
      <c r="YF102" s="15"/>
      <c r="YG102" s="15"/>
      <c r="YH102" s="15"/>
      <c r="YI102" s="15"/>
      <c r="YJ102" s="15"/>
      <c r="YK102" s="15"/>
      <c r="YL102" s="15"/>
      <c r="YM102" s="15"/>
      <c r="YN102" s="15"/>
      <c r="YO102" s="15"/>
      <c r="YP102" s="15"/>
      <c r="YQ102" s="15"/>
      <c r="YR102" s="15"/>
      <c r="YS102" s="15"/>
      <c r="YT102" s="15"/>
      <c r="YU102" s="15"/>
      <c r="YV102" s="15"/>
      <c r="YW102" s="15"/>
      <c r="YX102" s="15"/>
      <c r="YY102" s="15"/>
      <c r="YZ102" s="15"/>
      <c r="ZA102" s="15"/>
      <c r="ZB102" s="15"/>
      <c r="ZC102" s="15"/>
      <c r="ZD102" s="15"/>
      <c r="ZE102" s="15"/>
      <c r="ZF102" s="15"/>
      <c r="ZG102" s="15"/>
      <c r="ZH102" s="15"/>
      <c r="ZI102" s="15"/>
      <c r="ZJ102" s="15"/>
      <c r="ZK102" s="15"/>
      <c r="ZL102" s="15"/>
      <c r="ZM102" s="15"/>
      <c r="ZN102" s="15"/>
      <c r="ZO102" s="15"/>
      <c r="ZP102" s="15"/>
      <c r="ZQ102" s="15"/>
      <c r="ZR102" s="15"/>
      <c r="ZS102" s="15"/>
      <c r="ZT102" s="15"/>
      <c r="ZU102" s="15"/>
      <c r="ZV102" s="15"/>
      <c r="ZW102" s="15"/>
      <c r="ZX102" s="15"/>
      <c r="ZY102" s="15"/>
      <c r="ZZ102" s="15"/>
      <c r="AAA102" s="15"/>
      <c r="AAB102" s="15"/>
      <c r="AAC102" s="15"/>
      <c r="AAD102" s="15"/>
      <c r="AAE102" s="15"/>
      <c r="AAF102" s="15"/>
      <c r="AAG102" s="15"/>
      <c r="AAH102" s="15"/>
      <c r="AAI102" s="15"/>
      <c r="AAJ102" s="15"/>
      <c r="AAK102" s="15"/>
      <c r="AAL102" s="15"/>
      <c r="AAM102" s="15"/>
      <c r="AAN102" s="15"/>
      <c r="AAO102" s="15"/>
      <c r="AAP102" s="15"/>
      <c r="AAQ102" s="15"/>
      <c r="AAR102" s="15"/>
      <c r="AAS102" s="15"/>
      <c r="AAT102" s="15"/>
      <c r="AAU102" s="15"/>
      <c r="AAV102" s="15"/>
      <c r="AAW102" s="15"/>
      <c r="AAX102" s="15"/>
      <c r="AAY102" s="15"/>
      <c r="AAZ102" s="15"/>
      <c r="ABA102" s="15"/>
      <c r="ABB102" s="15"/>
      <c r="ABC102" s="15"/>
      <c r="ABD102" s="15"/>
      <c r="ABE102" s="15"/>
      <c r="ABF102" s="15"/>
      <c r="ABG102" s="15"/>
      <c r="ABH102" s="15"/>
      <c r="ABI102" s="15"/>
      <c r="ABJ102" s="15"/>
      <c r="ABK102" s="15"/>
      <c r="ABL102" s="15"/>
      <c r="ABM102" s="15"/>
      <c r="ABN102" s="15"/>
      <c r="ABO102" s="15"/>
      <c r="ABP102" s="15"/>
      <c r="ABQ102" s="15"/>
      <c r="ABR102" s="15"/>
      <c r="ABS102" s="15"/>
      <c r="ABT102" s="15"/>
      <c r="ABU102" s="15"/>
      <c r="ABV102" s="15"/>
      <c r="ABW102" s="15"/>
      <c r="ABX102" s="15"/>
      <c r="ABY102" s="15"/>
      <c r="ABZ102" s="15"/>
      <c r="ACA102" s="15"/>
      <c r="ACB102" s="15"/>
      <c r="ACC102" s="15"/>
      <c r="ACD102" s="15"/>
      <c r="ACE102" s="15"/>
      <c r="ACF102" s="15"/>
      <c r="ACG102" s="15"/>
      <c r="ACH102" s="15"/>
      <c r="ACI102" s="15"/>
      <c r="ACJ102" s="15"/>
      <c r="ACK102" s="15"/>
      <c r="ACL102" s="15"/>
      <c r="ACM102" s="15"/>
      <c r="ACN102" s="15"/>
      <c r="ACO102" s="15"/>
      <c r="ACP102" s="15"/>
      <c r="ACQ102" s="15"/>
      <c r="ACR102" s="15"/>
      <c r="ACS102" s="15"/>
      <c r="ACT102" s="15"/>
      <c r="ACU102" s="15"/>
      <c r="ACV102" s="15"/>
      <c r="ACW102" s="15"/>
      <c r="ACX102" s="15"/>
      <c r="ACY102" s="15"/>
      <c r="ACZ102" s="15"/>
      <c r="ADA102" s="15"/>
      <c r="ADB102" s="15"/>
      <c r="ADC102" s="15"/>
      <c r="ADD102" s="15"/>
      <c r="ADE102" s="15"/>
      <c r="ADF102" s="15"/>
      <c r="ADG102" s="15"/>
      <c r="ADH102" s="15"/>
      <c r="ADI102" s="15"/>
      <c r="ADJ102" s="15"/>
      <c r="ADK102" s="15"/>
      <c r="ADL102" s="15"/>
      <c r="ADM102" s="15"/>
      <c r="ADN102" s="15"/>
      <c r="ADO102" s="15"/>
      <c r="ADP102" s="15"/>
      <c r="ADQ102" s="15"/>
      <c r="ADR102" s="15"/>
      <c r="ADS102" s="15"/>
      <c r="ADT102" s="15"/>
      <c r="ADU102" s="15"/>
      <c r="ADV102" s="15"/>
      <c r="ADW102" s="15"/>
      <c r="ADX102" s="15"/>
      <c r="ADY102" s="15"/>
      <c r="ADZ102" s="15"/>
      <c r="AEA102" s="15"/>
      <c r="AEB102" s="15"/>
      <c r="AEC102" s="15"/>
      <c r="AED102" s="15"/>
      <c r="AEE102" s="15"/>
      <c r="AEF102" s="15"/>
      <c r="AEG102" s="15"/>
      <c r="AEH102" s="15"/>
      <c r="AEI102" s="15"/>
      <c r="AEJ102" s="15"/>
      <c r="AEK102" s="15"/>
      <c r="AEL102" s="15"/>
      <c r="AEM102" s="15"/>
      <c r="AEN102" s="15"/>
      <c r="AEO102" s="15"/>
      <c r="AEP102" s="15"/>
      <c r="AEQ102" s="15"/>
      <c r="AER102" s="15"/>
      <c r="AES102" s="15"/>
      <c r="AET102" s="15"/>
      <c r="AEU102" s="15"/>
      <c r="AEV102" s="15"/>
      <c r="AEW102" s="15"/>
      <c r="AEX102" s="15"/>
      <c r="AEY102" s="15"/>
      <c r="AEZ102" s="15"/>
      <c r="AFA102" s="15"/>
      <c r="AFB102" s="15"/>
      <c r="AFC102" s="15"/>
      <c r="AFD102" s="15"/>
      <c r="AFE102" s="15"/>
      <c r="AFF102" s="15"/>
      <c r="AFG102" s="15"/>
      <c r="AFH102" s="15"/>
      <c r="AFI102" s="15"/>
      <c r="AFJ102" s="15"/>
      <c r="AFK102" s="15"/>
      <c r="AFL102" s="15"/>
      <c r="AFM102" s="15"/>
      <c r="AFN102" s="15"/>
      <c r="AFO102" s="15"/>
      <c r="AFP102" s="15"/>
      <c r="AFQ102" s="15"/>
      <c r="AFR102" s="15"/>
      <c r="AFS102" s="15"/>
      <c r="AFT102" s="15"/>
      <c r="AFU102" s="15"/>
      <c r="AFV102" s="15"/>
      <c r="AFW102" s="15"/>
      <c r="AFX102" s="15"/>
      <c r="AFY102" s="15"/>
      <c r="AFZ102" s="15"/>
      <c r="AGA102" s="15"/>
      <c r="AGB102" s="15"/>
      <c r="AGC102" s="15"/>
      <c r="AGD102" s="15"/>
      <c r="AGE102" s="15"/>
      <c r="AGF102" s="15"/>
      <c r="AGG102" s="15"/>
      <c r="AGH102" s="15"/>
      <c r="AGI102" s="15"/>
      <c r="AGJ102" s="15"/>
      <c r="AGK102" s="15"/>
      <c r="AGL102" s="15"/>
      <c r="AGM102" s="15"/>
      <c r="AGN102" s="15"/>
      <c r="AGO102" s="15"/>
      <c r="AGP102" s="15"/>
      <c r="AGQ102" s="15"/>
      <c r="AGR102" s="15"/>
      <c r="AGS102" s="15"/>
      <c r="AGT102" s="15"/>
      <c r="AGU102" s="15"/>
      <c r="AGV102" s="15"/>
      <c r="AGW102" s="15"/>
      <c r="AGX102" s="15"/>
      <c r="AGY102" s="15"/>
      <c r="AGZ102" s="15"/>
      <c r="AHA102" s="15"/>
      <c r="AHB102" s="15"/>
      <c r="AHC102" s="15"/>
      <c r="AHD102" s="15"/>
      <c r="AHE102" s="15"/>
      <c r="AHF102" s="15"/>
      <c r="AHG102" s="15"/>
      <c r="AHH102" s="15"/>
      <c r="AHI102" s="15"/>
      <c r="AHJ102" s="15"/>
      <c r="AHK102" s="15"/>
      <c r="AHL102" s="15"/>
      <c r="AHM102" s="15"/>
      <c r="AHN102" s="15"/>
      <c r="AHO102" s="15"/>
      <c r="AHP102" s="15"/>
      <c r="AHQ102" s="15"/>
      <c r="AHR102" s="15"/>
      <c r="AHS102" s="15"/>
      <c r="AHT102" s="15"/>
      <c r="AHU102" s="15"/>
      <c r="AHV102" s="15"/>
      <c r="AHW102" s="15"/>
      <c r="AHX102" s="15"/>
      <c r="AHY102" s="15"/>
      <c r="AHZ102" s="15"/>
      <c r="AIA102" s="15"/>
      <c r="AIB102" s="15"/>
      <c r="AIC102" s="15"/>
      <c r="AID102" s="15"/>
      <c r="AIE102" s="15"/>
      <c r="AIF102" s="15"/>
      <c r="AIG102" s="15"/>
      <c r="AIH102" s="15"/>
      <c r="AII102" s="15"/>
      <c r="AIJ102" s="15"/>
      <c r="AIK102" s="15"/>
      <c r="AIL102" s="15"/>
      <c r="AIM102" s="15"/>
      <c r="AIN102" s="15"/>
      <c r="AIO102" s="15"/>
      <c r="AIP102" s="15"/>
      <c r="AIQ102" s="15"/>
      <c r="AIR102" s="15"/>
      <c r="AIS102" s="15"/>
      <c r="AIT102" s="15"/>
      <c r="AIU102" s="15"/>
      <c r="AIV102" s="15"/>
      <c r="AIW102" s="15"/>
      <c r="AIX102" s="15"/>
      <c r="AIY102" s="15"/>
      <c r="AIZ102" s="15"/>
      <c r="AJA102" s="15"/>
      <c r="AJB102" s="15"/>
      <c r="AJC102" s="15"/>
      <c r="AJD102" s="15"/>
      <c r="AJE102" s="15"/>
      <c r="AJF102" s="15"/>
      <c r="AJG102" s="15"/>
      <c r="AJH102" s="15"/>
      <c r="AJI102" s="15"/>
      <c r="AJJ102" s="15"/>
      <c r="AJK102" s="15"/>
      <c r="AJL102" s="15"/>
      <c r="AJM102" s="15"/>
      <c r="AJN102" s="15"/>
      <c r="AJO102" s="15"/>
      <c r="AJP102" s="15"/>
      <c r="AJQ102" s="15"/>
      <c r="AJR102" s="15"/>
      <c r="AJS102" s="15"/>
      <c r="AJT102" s="15"/>
      <c r="AJU102" s="15"/>
      <c r="AJV102" s="15"/>
      <c r="AJW102" s="15"/>
      <c r="AJX102" s="15"/>
      <c r="AJY102" s="15"/>
      <c r="AJZ102" s="15"/>
      <c r="AKA102" s="15"/>
      <c r="AKB102" s="15"/>
      <c r="AKC102" s="15"/>
      <c r="AKD102" s="15"/>
      <c r="AKE102" s="15"/>
      <c r="AKF102" s="15"/>
      <c r="AKG102" s="15"/>
      <c r="AKH102" s="15"/>
      <c r="AKI102" s="15"/>
      <c r="AKJ102" s="15"/>
      <c r="AKK102" s="15"/>
      <c r="AKL102" s="15"/>
      <c r="AKM102" s="15"/>
      <c r="AKN102" s="15"/>
      <c r="AKO102" s="15"/>
      <c r="AKP102" s="15"/>
      <c r="AKQ102" s="15"/>
      <c r="AKR102" s="15"/>
      <c r="AKS102" s="15"/>
      <c r="AKT102" s="15"/>
      <c r="AKU102" s="15"/>
      <c r="AKV102" s="15"/>
      <c r="AKW102" s="15"/>
      <c r="AKX102" s="15"/>
      <c r="AKY102" s="15"/>
      <c r="AKZ102" s="15"/>
      <c r="ALA102" s="15"/>
      <c r="ALB102" s="15"/>
      <c r="ALC102" s="15"/>
      <c r="ALD102" s="15"/>
      <c r="ALE102" s="15"/>
      <c r="ALF102" s="15"/>
      <c r="ALG102" s="15"/>
      <c r="ALH102" s="15"/>
      <c r="ALI102" s="15"/>
      <c r="ALJ102" s="15"/>
      <c r="ALK102" s="15"/>
      <c r="ALL102" s="15"/>
      <c r="ALM102" s="15"/>
      <c r="ALN102" s="15"/>
      <c r="ALO102" s="15"/>
      <c r="ALP102" s="15"/>
      <c r="ALQ102" s="15"/>
      <c r="ALR102" s="15"/>
      <c r="ALS102" s="15"/>
      <c r="ALT102" s="15"/>
      <c r="ALU102" s="15"/>
      <c r="ALV102" s="15"/>
      <c r="ALW102" s="15"/>
      <c r="ALX102" s="15"/>
      <c r="ALY102" s="15"/>
      <c r="ALZ102" s="15"/>
      <c r="AMA102" s="15"/>
      <c r="AMB102" s="15"/>
      <c r="AMC102" s="15"/>
      <c r="AMD102" s="15"/>
      <c r="AME102" s="15"/>
      <c r="AMF102" s="15"/>
      <c r="AMG102" s="15"/>
      <c r="AMH102" s="15"/>
      <c r="AMI102" s="15"/>
      <c r="AMJ102" s="15"/>
      <c r="AMK102" s="15"/>
      <c r="AML102" s="15"/>
      <c r="AMM102" s="15"/>
      <c r="AMN102" s="15"/>
      <c r="AMO102" s="15"/>
      <c r="AMP102" s="15"/>
      <c r="AMQ102" s="15"/>
      <c r="AMR102" s="15"/>
      <c r="AMS102" s="15"/>
      <c r="AMT102" s="15"/>
      <c r="AMU102" s="15"/>
      <c r="AMV102" s="15"/>
      <c r="AMW102" s="15"/>
      <c r="AMX102" s="15"/>
      <c r="AMY102" s="15"/>
      <c r="AMZ102" s="15"/>
      <c r="ANA102" s="15"/>
      <c r="ANB102" s="15"/>
      <c r="ANC102" s="15"/>
      <c r="AND102" s="15"/>
      <c r="ANE102" s="15"/>
      <c r="ANF102" s="15"/>
      <c r="ANG102" s="15"/>
      <c r="ANH102" s="15"/>
      <c r="ANI102" s="15"/>
      <c r="ANJ102" s="15"/>
      <c r="ANK102" s="15"/>
      <c r="ANL102" s="15"/>
      <c r="ANM102" s="15"/>
      <c r="ANN102" s="15"/>
      <c r="ANO102" s="15"/>
      <c r="ANP102" s="15"/>
      <c r="ANQ102" s="15"/>
      <c r="ANR102" s="15"/>
      <c r="ANS102" s="15"/>
      <c r="ANT102" s="15"/>
      <c r="ANU102" s="15"/>
      <c r="ANV102" s="15"/>
      <c r="ANW102" s="15"/>
      <c r="ANX102" s="15"/>
      <c r="ANY102" s="15"/>
      <c r="ANZ102" s="15"/>
      <c r="AOA102" s="15"/>
      <c r="AOB102" s="15"/>
      <c r="AOC102" s="15"/>
      <c r="AOD102" s="15"/>
      <c r="AOE102" s="15"/>
      <c r="AOF102" s="15"/>
      <c r="AOG102" s="15"/>
      <c r="AOH102" s="15"/>
      <c r="AOI102" s="15"/>
      <c r="AOJ102" s="15"/>
      <c r="AOK102" s="15"/>
      <c r="AOL102" s="15"/>
      <c r="AOM102" s="15"/>
      <c r="AON102" s="15"/>
      <c r="AOO102" s="15"/>
      <c r="AOP102" s="15"/>
      <c r="AOQ102" s="15"/>
      <c r="AOR102" s="15"/>
      <c r="AOS102" s="15"/>
      <c r="AOT102" s="15"/>
      <c r="AOU102" s="15"/>
      <c r="AOV102" s="15"/>
      <c r="AOW102" s="15"/>
      <c r="AOX102" s="15"/>
      <c r="AOY102" s="15"/>
      <c r="AOZ102" s="15"/>
      <c r="APA102" s="15"/>
      <c r="APB102" s="15"/>
      <c r="APC102" s="15"/>
      <c r="APD102" s="15"/>
      <c r="APE102" s="15"/>
      <c r="APF102" s="15"/>
      <c r="APG102" s="15"/>
      <c r="APH102" s="15"/>
      <c r="API102" s="15"/>
      <c r="APJ102" s="15"/>
      <c r="APK102" s="15"/>
      <c r="APL102" s="15"/>
      <c r="APM102" s="15"/>
      <c r="APN102" s="15"/>
      <c r="APO102" s="15"/>
      <c r="APP102" s="15"/>
      <c r="APQ102" s="15"/>
      <c r="APR102" s="15"/>
      <c r="APS102" s="15"/>
      <c r="APT102" s="15"/>
      <c r="APU102" s="15"/>
      <c r="APV102" s="15"/>
      <c r="APW102" s="15"/>
      <c r="APX102" s="15"/>
      <c r="APY102" s="15"/>
      <c r="APZ102" s="15"/>
      <c r="AQA102" s="15"/>
      <c r="AQB102" s="15"/>
      <c r="AQC102" s="15"/>
      <c r="AQD102" s="15"/>
      <c r="AQE102" s="15"/>
      <c r="AQF102" s="15"/>
      <c r="AQG102" s="15"/>
      <c r="AQH102" s="15"/>
      <c r="AQI102" s="15"/>
      <c r="AQJ102" s="15"/>
      <c r="AQK102" s="15"/>
      <c r="AQL102" s="15"/>
      <c r="AQM102" s="15"/>
      <c r="AQN102" s="15"/>
      <c r="AQO102" s="15"/>
      <c r="AQP102" s="15"/>
      <c r="AQQ102" s="15"/>
      <c r="AQR102" s="15"/>
      <c r="AQS102" s="15"/>
      <c r="AQT102" s="15"/>
      <c r="AQU102" s="15"/>
      <c r="AQV102" s="15"/>
      <c r="AQW102" s="15"/>
      <c r="AQX102" s="15"/>
      <c r="AQY102" s="15"/>
      <c r="AQZ102" s="15"/>
      <c r="ARA102" s="15"/>
      <c r="ARB102" s="15"/>
      <c r="ARC102" s="15"/>
      <c r="ARD102" s="15"/>
      <c r="ARE102" s="15"/>
      <c r="ARF102" s="15"/>
      <c r="ARG102" s="15"/>
      <c r="ARH102" s="15"/>
      <c r="ARI102" s="15"/>
      <c r="ARJ102" s="15"/>
      <c r="ARK102" s="15"/>
      <c r="ARL102" s="15"/>
      <c r="ARM102" s="15"/>
      <c r="ARN102" s="15"/>
      <c r="ARO102" s="15"/>
      <c r="ARP102" s="15"/>
      <c r="ARQ102" s="15"/>
      <c r="ARR102" s="15"/>
      <c r="ARS102" s="15"/>
      <c r="ART102" s="15"/>
      <c r="ARU102" s="15"/>
      <c r="ARV102" s="15"/>
      <c r="ARW102" s="15"/>
      <c r="ARX102" s="15"/>
      <c r="ARY102" s="15"/>
      <c r="ARZ102" s="15"/>
      <c r="ASA102" s="15"/>
      <c r="ASB102" s="15"/>
      <c r="ASC102" s="15"/>
      <c r="ASD102" s="15"/>
      <c r="ASE102" s="15"/>
      <c r="ASF102" s="15"/>
      <c r="ASG102" s="15"/>
      <c r="ASH102" s="15"/>
      <c r="ASI102" s="15"/>
      <c r="ASJ102" s="15"/>
      <c r="ASK102" s="15"/>
      <c r="ASL102" s="15"/>
      <c r="ASM102" s="15"/>
      <c r="ASN102" s="15"/>
      <c r="ASO102" s="15"/>
      <c r="ASP102" s="15"/>
      <c r="ASQ102" s="15"/>
      <c r="ASR102" s="15"/>
      <c r="ASS102" s="15"/>
      <c r="AST102" s="15"/>
      <c r="ASU102" s="15"/>
      <c r="ASV102" s="15"/>
      <c r="ASW102" s="15"/>
      <c r="ASX102" s="15"/>
      <c r="ASY102" s="15"/>
      <c r="ASZ102" s="15"/>
      <c r="ATA102" s="15"/>
      <c r="ATB102" s="15"/>
      <c r="ATC102" s="15"/>
      <c r="ATD102" s="15"/>
      <c r="ATE102" s="15"/>
      <c r="ATF102" s="15"/>
      <c r="ATG102" s="15"/>
      <c r="ATH102" s="15"/>
      <c r="ATI102" s="15"/>
      <c r="ATJ102" s="15"/>
      <c r="ATK102" s="15"/>
      <c r="ATL102" s="15"/>
      <c r="ATM102" s="15"/>
      <c r="ATN102" s="15"/>
      <c r="ATO102" s="15"/>
      <c r="ATP102" s="15"/>
      <c r="ATQ102" s="15"/>
      <c r="ATR102" s="15"/>
      <c r="ATS102" s="15"/>
      <c r="ATT102" s="15"/>
      <c r="ATU102" s="15"/>
      <c r="ATV102" s="15"/>
      <c r="ATW102" s="15"/>
      <c r="ATX102" s="15"/>
      <c r="ATY102" s="15"/>
      <c r="ATZ102" s="15"/>
      <c r="AUA102" s="15"/>
      <c r="AUB102" s="15"/>
      <c r="AUC102" s="15"/>
      <c r="AUD102" s="15"/>
      <c r="AUE102" s="15"/>
      <c r="AUF102" s="15"/>
      <c r="AUG102" s="15"/>
      <c r="AUH102" s="15"/>
      <c r="AUI102" s="15"/>
      <c r="AUJ102" s="15"/>
      <c r="AUK102" s="15"/>
      <c r="AUL102" s="15"/>
      <c r="AUM102" s="15"/>
      <c r="AUN102" s="15"/>
      <c r="AUO102" s="15"/>
      <c r="AUP102" s="15"/>
      <c r="AUQ102" s="15"/>
      <c r="AUR102" s="15"/>
      <c r="AUS102" s="15"/>
      <c r="AUT102" s="15"/>
      <c r="AUU102" s="15"/>
      <c r="AUV102" s="15"/>
      <c r="AUW102" s="15"/>
      <c r="AUX102" s="15"/>
      <c r="AUY102" s="15"/>
      <c r="AUZ102" s="15"/>
      <c r="AVA102" s="15"/>
      <c r="AVB102" s="15"/>
      <c r="AVC102" s="15"/>
      <c r="AVD102" s="15"/>
      <c r="AVE102" s="15"/>
      <c r="AVF102" s="15"/>
      <c r="AVG102" s="15"/>
      <c r="AVH102" s="15"/>
      <c r="AVI102" s="15"/>
      <c r="AVJ102" s="15"/>
      <c r="AVK102" s="15"/>
      <c r="AVL102" s="15"/>
      <c r="AVM102" s="15"/>
      <c r="AVN102" s="15"/>
      <c r="AVO102" s="15"/>
      <c r="AVP102" s="15"/>
      <c r="AVQ102" s="15"/>
      <c r="AVR102" s="15"/>
      <c r="AVS102" s="15"/>
      <c r="AVT102" s="15"/>
      <c r="AVU102" s="15"/>
      <c r="AVV102" s="15"/>
      <c r="AVW102" s="15"/>
      <c r="AVX102" s="15"/>
      <c r="AVY102" s="15"/>
      <c r="AVZ102" s="15"/>
      <c r="AWA102" s="15"/>
      <c r="AWB102" s="15"/>
      <c r="AWC102" s="15"/>
      <c r="AWD102" s="15"/>
      <c r="AWE102" s="15"/>
      <c r="AWF102" s="15"/>
      <c r="AWG102" s="15"/>
      <c r="AWH102" s="15"/>
      <c r="AWI102" s="15"/>
      <c r="AWJ102" s="15"/>
      <c r="AWK102" s="15"/>
      <c r="AWL102" s="15"/>
      <c r="AWM102" s="15"/>
      <c r="AWN102" s="15"/>
      <c r="AWO102" s="15"/>
      <c r="AWP102" s="15"/>
      <c r="AWQ102" s="15"/>
      <c r="AWR102" s="15"/>
      <c r="AWS102" s="15"/>
      <c r="AWT102" s="15"/>
      <c r="AWU102" s="15"/>
      <c r="AWV102" s="15"/>
      <c r="AWW102" s="15"/>
      <c r="AWX102" s="15"/>
      <c r="AWY102" s="15"/>
      <c r="AWZ102" s="15"/>
      <c r="AXA102" s="15"/>
      <c r="AXB102" s="15"/>
      <c r="AXC102" s="15"/>
      <c r="AXD102" s="15"/>
      <c r="AXE102" s="15"/>
      <c r="AXF102" s="15"/>
      <c r="AXG102" s="15"/>
      <c r="AXH102" s="15"/>
      <c r="AXI102" s="15"/>
      <c r="AXJ102" s="15"/>
      <c r="AXK102" s="15"/>
      <c r="AXL102" s="15"/>
      <c r="AXM102" s="15"/>
      <c r="AXN102" s="15"/>
      <c r="AXO102" s="15"/>
      <c r="AXP102" s="15"/>
      <c r="AXQ102" s="15"/>
      <c r="AXR102" s="15"/>
      <c r="AXS102" s="15"/>
      <c r="AXT102" s="15"/>
      <c r="AXU102" s="15"/>
      <c r="AXV102" s="15"/>
      <c r="AXW102" s="15"/>
      <c r="AXX102" s="15"/>
      <c r="AXY102" s="15"/>
      <c r="AXZ102" s="15"/>
      <c r="AYA102" s="15"/>
      <c r="AYB102" s="15"/>
      <c r="AYC102" s="15"/>
      <c r="AYD102" s="15"/>
      <c r="AYE102" s="15"/>
      <c r="AYF102" s="15"/>
      <c r="AYG102" s="15"/>
      <c r="AYH102" s="15"/>
      <c r="AYI102" s="15"/>
      <c r="AYJ102" s="15"/>
      <c r="AYK102" s="15"/>
      <c r="AYL102" s="15"/>
      <c r="AYM102" s="15"/>
      <c r="AYN102" s="15"/>
      <c r="AYO102" s="15"/>
      <c r="AYP102" s="15"/>
      <c r="AYQ102" s="15"/>
      <c r="AYR102" s="15"/>
      <c r="AYS102" s="15"/>
      <c r="AYT102" s="15"/>
      <c r="AYU102" s="15"/>
      <c r="AYV102" s="15"/>
      <c r="AYW102" s="15"/>
      <c r="AYX102" s="15"/>
      <c r="AYY102" s="15"/>
      <c r="AYZ102" s="15"/>
      <c r="AZA102" s="15"/>
      <c r="AZB102" s="15"/>
      <c r="AZC102" s="15"/>
      <c r="AZD102" s="15"/>
      <c r="AZE102" s="15"/>
      <c r="AZF102" s="15"/>
      <c r="AZG102" s="15"/>
      <c r="AZH102" s="15"/>
      <c r="AZI102" s="15"/>
      <c r="AZJ102" s="15"/>
      <c r="AZK102" s="15"/>
      <c r="AZL102" s="15"/>
      <c r="AZM102" s="15"/>
      <c r="AZN102" s="15"/>
      <c r="AZO102" s="15"/>
      <c r="AZP102" s="15"/>
      <c r="AZQ102" s="15"/>
      <c r="AZR102" s="15"/>
      <c r="AZS102" s="15"/>
      <c r="AZT102" s="15"/>
      <c r="AZU102" s="15"/>
      <c r="AZV102" s="15"/>
      <c r="AZW102" s="15"/>
      <c r="AZX102" s="15"/>
      <c r="AZY102" s="15"/>
      <c r="AZZ102" s="15"/>
      <c r="BAA102" s="15"/>
      <c r="BAB102" s="15"/>
      <c r="BAC102" s="15"/>
      <c r="BAD102" s="15"/>
      <c r="BAE102" s="15"/>
      <c r="BAF102" s="15"/>
      <c r="BAG102" s="15"/>
      <c r="BAH102" s="15"/>
      <c r="BAI102" s="15"/>
      <c r="BAJ102" s="15"/>
      <c r="BAK102" s="15"/>
      <c r="BAL102" s="15"/>
      <c r="BAM102" s="15"/>
      <c r="BAN102" s="15"/>
      <c r="BAO102" s="15"/>
      <c r="BAP102" s="15"/>
      <c r="BAQ102" s="15"/>
      <c r="BAR102" s="15"/>
      <c r="BAS102" s="15"/>
      <c r="BAT102" s="15"/>
      <c r="BAU102" s="15"/>
      <c r="BAV102" s="15"/>
      <c r="BAW102" s="15"/>
      <c r="BAX102" s="15"/>
      <c r="BAY102" s="15"/>
      <c r="BAZ102" s="15"/>
      <c r="BBA102" s="15"/>
      <c r="BBB102" s="15"/>
      <c r="BBC102" s="15"/>
      <c r="BBD102" s="15"/>
      <c r="BBE102" s="15"/>
      <c r="BBF102" s="15"/>
      <c r="BBG102" s="15"/>
      <c r="BBH102" s="15"/>
      <c r="BBI102" s="15"/>
      <c r="BBJ102" s="15"/>
      <c r="BBK102" s="15"/>
      <c r="BBL102" s="15"/>
      <c r="BBM102" s="15"/>
      <c r="BBN102" s="15"/>
      <c r="BBO102" s="15"/>
      <c r="BBP102" s="15"/>
      <c r="BBQ102" s="15"/>
      <c r="BBR102" s="15"/>
      <c r="BBS102" s="15"/>
      <c r="BBT102" s="15"/>
      <c r="BBU102" s="15"/>
      <c r="BBV102" s="15"/>
      <c r="BBW102" s="15"/>
      <c r="BBX102" s="15"/>
      <c r="BBY102" s="15"/>
      <c r="BBZ102" s="15"/>
      <c r="BCA102" s="15"/>
      <c r="BCB102" s="15"/>
      <c r="BCC102" s="15"/>
      <c r="BCD102" s="15"/>
      <c r="BCE102" s="15"/>
      <c r="BCF102" s="15"/>
      <c r="BCG102" s="15"/>
      <c r="BCH102" s="15"/>
      <c r="BCI102" s="15"/>
      <c r="BCJ102" s="15"/>
      <c r="BCK102" s="15"/>
      <c r="BCL102" s="15"/>
      <c r="BCM102" s="15"/>
      <c r="BCN102" s="15"/>
      <c r="BCO102" s="15"/>
      <c r="BCP102" s="15"/>
      <c r="BCQ102" s="15"/>
      <c r="BCR102" s="15"/>
      <c r="BCS102" s="15"/>
      <c r="BCT102" s="15"/>
      <c r="BCU102" s="15"/>
      <c r="BCV102" s="15"/>
      <c r="BCW102" s="15"/>
      <c r="BCX102" s="15"/>
      <c r="BCY102" s="15"/>
      <c r="BCZ102" s="15"/>
      <c r="BDA102" s="15"/>
      <c r="BDB102" s="15"/>
      <c r="BDC102" s="15"/>
      <c r="BDD102" s="15"/>
      <c r="BDE102" s="15"/>
      <c r="BDF102" s="15"/>
      <c r="BDG102" s="15"/>
      <c r="BDH102" s="15"/>
      <c r="BDI102" s="15"/>
      <c r="BDJ102" s="15"/>
      <c r="BDK102" s="15"/>
      <c r="BDL102" s="15"/>
      <c r="BDM102" s="15"/>
      <c r="BDN102" s="15"/>
      <c r="BDO102" s="15"/>
      <c r="BDP102" s="15"/>
      <c r="BDQ102" s="15"/>
      <c r="BDR102" s="15"/>
      <c r="BDS102" s="15"/>
      <c r="BDT102" s="15"/>
      <c r="BDU102" s="15"/>
      <c r="BDV102" s="15"/>
      <c r="BDW102" s="15"/>
      <c r="BDX102" s="15"/>
      <c r="BDY102" s="15"/>
      <c r="BDZ102" s="15"/>
      <c r="BEA102" s="15"/>
      <c r="BEB102" s="15"/>
      <c r="BEC102" s="15"/>
      <c r="BED102" s="15"/>
      <c r="BEE102" s="15"/>
      <c r="BEF102" s="15"/>
      <c r="BEG102" s="15"/>
      <c r="BEH102" s="15"/>
      <c r="BEI102" s="15"/>
      <c r="BEJ102" s="15"/>
      <c r="BEK102" s="15"/>
      <c r="BEL102" s="15"/>
      <c r="BEM102" s="15"/>
      <c r="BEN102" s="15"/>
      <c r="BEO102" s="15"/>
      <c r="BEP102" s="15"/>
      <c r="BEQ102" s="15"/>
      <c r="BER102" s="15"/>
      <c r="BES102" s="15"/>
      <c r="BET102" s="15"/>
      <c r="BEU102" s="15"/>
      <c r="BEV102" s="15"/>
      <c r="BEW102" s="15"/>
      <c r="BEX102" s="15"/>
      <c r="BEY102" s="15"/>
      <c r="BEZ102" s="15"/>
      <c r="BFA102" s="15"/>
      <c r="BFB102" s="15"/>
      <c r="BFC102" s="15"/>
      <c r="BFD102" s="15"/>
      <c r="BFE102" s="15"/>
      <c r="BFF102" s="15"/>
      <c r="BFG102" s="15"/>
      <c r="BFH102" s="15"/>
      <c r="BFI102" s="15"/>
      <c r="BFJ102" s="15"/>
      <c r="BFK102" s="15"/>
      <c r="BFL102" s="15"/>
      <c r="BFM102" s="15"/>
      <c r="BFN102" s="15"/>
      <c r="BFO102" s="15"/>
      <c r="BFP102" s="15"/>
      <c r="BFQ102" s="15"/>
      <c r="BFR102" s="15"/>
      <c r="BFS102" s="15"/>
      <c r="BFT102" s="15"/>
      <c r="BFU102" s="15"/>
      <c r="BFV102" s="15"/>
      <c r="BFW102" s="15"/>
      <c r="BFX102" s="15"/>
      <c r="BFY102" s="15"/>
      <c r="BFZ102" s="15"/>
      <c r="BGA102" s="15"/>
      <c r="BGB102" s="15"/>
      <c r="BGC102" s="15"/>
      <c r="BGD102" s="15"/>
      <c r="BGE102" s="15"/>
      <c r="BGF102" s="15"/>
      <c r="BGG102" s="15"/>
      <c r="BGH102" s="15"/>
      <c r="BGI102" s="15"/>
      <c r="BGJ102" s="15"/>
      <c r="BGK102" s="15"/>
      <c r="BGL102" s="15"/>
      <c r="BGM102" s="15"/>
      <c r="BGN102" s="15"/>
      <c r="BGO102" s="15"/>
      <c r="BGP102" s="15"/>
      <c r="BGQ102" s="15"/>
      <c r="BGR102" s="15"/>
      <c r="BGS102" s="15"/>
      <c r="BGT102" s="15"/>
      <c r="BGU102" s="15"/>
      <c r="BGV102" s="15"/>
      <c r="BGW102" s="15"/>
      <c r="BGX102" s="15"/>
      <c r="BGY102" s="15"/>
      <c r="BGZ102" s="15"/>
      <c r="BHA102" s="15"/>
      <c r="BHB102" s="15"/>
      <c r="BHC102" s="15"/>
      <c r="BHD102" s="15"/>
      <c r="BHE102" s="15"/>
      <c r="BHF102" s="15"/>
      <c r="BHG102" s="15"/>
      <c r="BHH102" s="15"/>
      <c r="BHI102" s="15"/>
      <c r="BHJ102" s="15"/>
      <c r="BHK102" s="15"/>
      <c r="BHL102" s="15"/>
      <c r="BHM102" s="15"/>
      <c r="BHN102" s="15"/>
      <c r="BHO102" s="15"/>
      <c r="BHP102" s="15"/>
      <c r="BHQ102" s="15"/>
      <c r="BHR102" s="15"/>
      <c r="BHS102" s="15"/>
      <c r="BHT102" s="15"/>
      <c r="BHU102" s="15"/>
      <c r="BHV102" s="15"/>
      <c r="BHW102" s="15"/>
      <c r="BHX102" s="15"/>
      <c r="BHY102" s="15"/>
      <c r="BHZ102" s="15"/>
      <c r="BIA102" s="15"/>
      <c r="BIB102" s="15"/>
      <c r="BIC102" s="15"/>
      <c r="BID102" s="15"/>
      <c r="BIE102" s="15"/>
      <c r="BIF102" s="15"/>
      <c r="BIG102" s="15"/>
      <c r="BIH102" s="15"/>
      <c r="BII102" s="15"/>
      <c r="BIJ102" s="15"/>
      <c r="BIK102" s="15"/>
      <c r="BIL102" s="15"/>
      <c r="BIM102" s="15"/>
      <c r="BIN102" s="15"/>
      <c r="BIO102" s="15"/>
      <c r="BIP102" s="15"/>
      <c r="BIQ102" s="15"/>
      <c r="BIR102" s="15"/>
      <c r="BIS102" s="15"/>
      <c r="BIT102" s="15"/>
      <c r="BIU102" s="15"/>
      <c r="BIV102" s="15"/>
      <c r="BIW102" s="15"/>
      <c r="BIX102" s="15"/>
      <c r="BIY102" s="15"/>
      <c r="BIZ102" s="15"/>
      <c r="BJA102" s="15"/>
      <c r="BJB102" s="15"/>
      <c r="BJC102" s="15"/>
      <c r="BJD102" s="15"/>
      <c r="BJE102" s="15"/>
      <c r="BJF102" s="15"/>
      <c r="BJG102" s="15"/>
      <c r="BJH102" s="15"/>
      <c r="BJI102" s="15"/>
      <c r="BJJ102" s="15"/>
      <c r="BJK102" s="15"/>
      <c r="BJL102" s="15"/>
      <c r="BJM102" s="15"/>
      <c r="BJN102" s="15"/>
      <c r="BJO102" s="15"/>
      <c r="BJP102" s="15"/>
      <c r="BJQ102" s="15"/>
      <c r="BJR102" s="15"/>
      <c r="BJS102" s="15"/>
      <c r="BJT102" s="15"/>
      <c r="BJU102" s="15"/>
      <c r="BJV102" s="15"/>
      <c r="BJW102" s="15"/>
      <c r="BJX102" s="15"/>
      <c r="BJY102" s="15"/>
      <c r="BJZ102" s="15"/>
      <c r="BKA102" s="15"/>
      <c r="BKB102" s="15"/>
      <c r="BKC102" s="15"/>
      <c r="BKD102" s="15"/>
      <c r="BKE102" s="15"/>
      <c r="BKF102" s="15"/>
      <c r="BKG102" s="15"/>
      <c r="BKH102" s="15"/>
      <c r="BKI102" s="15"/>
      <c r="BKJ102" s="15"/>
      <c r="BKK102" s="15"/>
      <c r="BKL102" s="15"/>
      <c r="BKM102" s="15"/>
      <c r="BKN102" s="15"/>
      <c r="BKO102" s="15"/>
      <c r="BKP102" s="15"/>
      <c r="BKQ102" s="15"/>
      <c r="BKR102" s="15"/>
      <c r="BKS102" s="15"/>
      <c r="BKT102" s="15"/>
      <c r="BKU102" s="15"/>
      <c r="BKV102" s="15"/>
      <c r="BKW102" s="15"/>
      <c r="BKX102" s="15"/>
      <c r="BKY102" s="15"/>
      <c r="BKZ102" s="15"/>
      <c r="BLA102" s="15"/>
      <c r="BLB102" s="15"/>
      <c r="BLC102" s="15"/>
      <c r="BLD102" s="15"/>
      <c r="BLE102" s="15"/>
      <c r="BLF102" s="15"/>
      <c r="BLG102" s="15"/>
      <c r="BLH102" s="15"/>
      <c r="BLI102" s="15"/>
      <c r="BLJ102" s="15"/>
      <c r="BLK102" s="15"/>
      <c r="BLL102" s="15"/>
      <c r="BLM102" s="15"/>
      <c r="BLN102" s="15"/>
      <c r="BLO102" s="15"/>
      <c r="BLP102" s="15"/>
      <c r="BLQ102" s="15"/>
      <c r="BLR102" s="15"/>
      <c r="BLS102" s="15"/>
      <c r="BLT102" s="15"/>
      <c r="BLU102" s="15"/>
      <c r="BLV102" s="15"/>
      <c r="BLW102" s="15"/>
      <c r="BLX102" s="15"/>
      <c r="BLY102" s="15"/>
      <c r="BLZ102" s="15"/>
      <c r="BMA102" s="15"/>
      <c r="BMB102" s="15"/>
      <c r="BMC102" s="15"/>
      <c r="BMD102" s="15"/>
      <c r="BME102" s="15"/>
      <c r="BMF102" s="15"/>
      <c r="BMG102" s="15"/>
      <c r="BMH102" s="15"/>
      <c r="BMI102" s="15"/>
      <c r="BMJ102" s="15"/>
      <c r="BMK102" s="15"/>
      <c r="BML102" s="15"/>
      <c r="BMM102" s="15"/>
      <c r="BMN102" s="15"/>
      <c r="BMO102" s="15"/>
      <c r="BMP102" s="15"/>
      <c r="BMQ102" s="15"/>
      <c r="BMR102" s="15"/>
      <c r="BMS102" s="15"/>
      <c r="BMT102" s="15"/>
      <c r="BMU102" s="15"/>
      <c r="BMV102" s="15"/>
      <c r="BMW102" s="15"/>
      <c r="BMX102" s="15"/>
      <c r="BMY102" s="15"/>
      <c r="BMZ102" s="15"/>
      <c r="BNA102" s="15"/>
      <c r="BNB102" s="15"/>
      <c r="BNC102" s="15"/>
      <c r="BND102" s="15"/>
      <c r="BNE102" s="15"/>
      <c r="BNF102" s="15"/>
      <c r="BNG102" s="15"/>
      <c r="BNH102" s="15"/>
      <c r="BNI102" s="15"/>
      <c r="BNJ102" s="15"/>
      <c r="BNK102" s="15"/>
      <c r="BNL102" s="15"/>
      <c r="BNM102" s="15"/>
      <c r="BNN102" s="15"/>
      <c r="BNO102" s="15"/>
      <c r="BNP102" s="15"/>
      <c r="BNQ102" s="15"/>
      <c r="BNR102" s="15"/>
      <c r="BNS102" s="15"/>
      <c r="BNT102" s="15"/>
      <c r="BNU102" s="15"/>
      <c r="BNV102" s="15"/>
      <c r="BNW102" s="15"/>
      <c r="BNX102" s="15"/>
      <c r="BNY102" s="15"/>
      <c r="BNZ102" s="15"/>
      <c r="BOA102" s="15"/>
      <c r="BOB102" s="15"/>
      <c r="BOC102" s="15"/>
      <c r="BOD102" s="15"/>
      <c r="BOE102" s="15"/>
      <c r="BOF102" s="15"/>
      <c r="BOG102" s="15"/>
      <c r="BOH102" s="15"/>
      <c r="BOI102" s="15"/>
      <c r="BOJ102" s="15"/>
      <c r="BOK102" s="15"/>
      <c r="BOL102" s="15"/>
      <c r="BOM102" s="15"/>
      <c r="BON102" s="15"/>
      <c r="BOO102" s="15"/>
      <c r="BOP102" s="15"/>
      <c r="BOQ102" s="15"/>
      <c r="BOR102" s="15"/>
      <c r="BOS102" s="15"/>
      <c r="BOT102" s="15"/>
      <c r="BOU102" s="15"/>
      <c r="BOV102" s="15"/>
      <c r="BOW102" s="15"/>
      <c r="BOX102" s="15"/>
      <c r="BOY102" s="15"/>
      <c r="BOZ102" s="15"/>
      <c r="BPA102" s="15"/>
      <c r="BPB102" s="15"/>
      <c r="BPC102" s="15"/>
      <c r="BPD102" s="15"/>
      <c r="BPE102" s="15"/>
      <c r="BPF102" s="15"/>
      <c r="BPG102" s="15"/>
      <c r="BPH102" s="15"/>
      <c r="BPI102" s="15"/>
      <c r="BPJ102" s="15"/>
      <c r="BPK102" s="15"/>
      <c r="BPL102" s="15"/>
      <c r="BPM102" s="15"/>
      <c r="BPN102" s="15"/>
      <c r="BPO102" s="15"/>
      <c r="BPP102" s="15"/>
      <c r="BPQ102" s="15"/>
      <c r="BPR102" s="15"/>
      <c r="BPS102" s="15"/>
      <c r="BPT102" s="15"/>
      <c r="BPU102" s="15"/>
      <c r="BPV102" s="15"/>
      <c r="BPW102" s="15"/>
      <c r="BPX102" s="15"/>
      <c r="BPY102" s="15"/>
      <c r="BPZ102" s="15"/>
      <c r="BQA102" s="15"/>
      <c r="BQB102" s="15"/>
      <c r="BQC102" s="15"/>
      <c r="BQD102" s="15"/>
      <c r="BQE102" s="15"/>
      <c r="BQF102" s="15"/>
      <c r="BQG102" s="15"/>
      <c r="BQH102" s="15"/>
      <c r="BQI102" s="15"/>
      <c r="BQJ102" s="15"/>
      <c r="BQK102" s="15"/>
      <c r="BQL102" s="15"/>
      <c r="BQM102" s="15"/>
      <c r="BQN102" s="15"/>
      <c r="BQO102" s="15"/>
      <c r="BQP102" s="15"/>
      <c r="BQQ102" s="15"/>
      <c r="BQR102" s="15"/>
      <c r="BQS102" s="15"/>
      <c r="BQT102" s="15"/>
      <c r="BQU102" s="15"/>
      <c r="BQV102" s="15"/>
      <c r="BQW102" s="15"/>
      <c r="BQX102" s="15"/>
      <c r="BQY102" s="15"/>
      <c r="BQZ102" s="15"/>
      <c r="BRA102" s="15"/>
      <c r="BRB102" s="15"/>
      <c r="BRC102" s="15"/>
      <c r="BRD102" s="15"/>
      <c r="BRE102" s="15"/>
      <c r="BRF102" s="15"/>
      <c r="BRG102" s="15"/>
      <c r="BRH102" s="15"/>
      <c r="BRI102" s="15"/>
      <c r="BRJ102" s="15"/>
      <c r="BRK102" s="15"/>
      <c r="BRL102" s="15"/>
      <c r="BRM102" s="15"/>
      <c r="BRN102" s="15"/>
      <c r="BRO102" s="15"/>
      <c r="BRP102" s="15"/>
      <c r="BRQ102" s="15"/>
      <c r="BRR102" s="15"/>
      <c r="BRS102" s="15"/>
      <c r="BRT102" s="15"/>
      <c r="BRU102" s="15"/>
      <c r="BRV102" s="15"/>
      <c r="BRW102" s="15"/>
      <c r="BRX102" s="15"/>
      <c r="BRY102" s="15"/>
      <c r="BRZ102" s="15"/>
      <c r="BSA102" s="15"/>
      <c r="BSB102" s="15"/>
      <c r="BSC102" s="15"/>
      <c r="BSD102" s="15"/>
      <c r="BSE102" s="15"/>
      <c r="BSF102" s="15"/>
      <c r="BSG102" s="15"/>
      <c r="BSH102" s="15"/>
      <c r="BSI102" s="15"/>
      <c r="BSJ102" s="15"/>
      <c r="BSK102" s="15"/>
      <c r="BSL102" s="15"/>
      <c r="BSM102" s="15"/>
      <c r="BSN102" s="15"/>
      <c r="BSO102" s="15"/>
      <c r="BSP102" s="15"/>
      <c r="BSQ102" s="15"/>
      <c r="BSR102" s="15"/>
      <c r="BSS102" s="15"/>
      <c r="BST102" s="15"/>
      <c r="BSU102" s="15"/>
      <c r="BSV102" s="15"/>
      <c r="BSW102" s="15"/>
      <c r="BSX102" s="15"/>
      <c r="BSY102" s="15"/>
      <c r="BSZ102" s="15"/>
      <c r="BTA102" s="15"/>
      <c r="BTB102" s="15"/>
      <c r="BTC102" s="15"/>
      <c r="BTD102" s="15"/>
      <c r="BTE102" s="15"/>
      <c r="BTF102" s="15"/>
      <c r="BTG102" s="15"/>
      <c r="BTH102" s="15"/>
      <c r="BTI102" s="15"/>
      <c r="BTJ102" s="15"/>
      <c r="BTK102" s="15"/>
      <c r="BTL102" s="15"/>
      <c r="BTM102" s="15"/>
      <c r="BTN102" s="15"/>
      <c r="BTO102" s="15"/>
      <c r="BTP102" s="15"/>
      <c r="BTQ102" s="15"/>
      <c r="BTR102" s="15"/>
      <c r="BTS102" s="15"/>
      <c r="BTT102" s="15"/>
      <c r="BTU102" s="15"/>
      <c r="BTV102" s="15"/>
      <c r="BTW102" s="15"/>
      <c r="BTX102" s="15"/>
      <c r="BTY102" s="15"/>
      <c r="BTZ102" s="15"/>
      <c r="BUA102" s="15"/>
      <c r="BUB102" s="15"/>
      <c r="BUC102" s="15"/>
      <c r="BUD102" s="15"/>
      <c r="BUE102" s="15"/>
      <c r="BUF102" s="15"/>
      <c r="BUG102" s="15"/>
      <c r="BUH102" s="15"/>
      <c r="BUI102" s="15"/>
      <c r="BUJ102" s="15"/>
      <c r="BUK102" s="15"/>
      <c r="BUL102" s="15"/>
      <c r="BUM102" s="15"/>
      <c r="BUN102" s="15"/>
      <c r="BUO102" s="15"/>
      <c r="BUP102" s="15"/>
      <c r="BUQ102" s="15"/>
      <c r="BUR102" s="15"/>
      <c r="BUS102" s="15"/>
      <c r="BUT102" s="15"/>
      <c r="BUU102" s="15"/>
      <c r="BUV102" s="15"/>
      <c r="BUW102" s="15"/>
      <c r="BUX102" s="15"/>
      <c r="BUY102" s="15"/>
      <c r="BUZ102" s="15"/>
      <c r="BVA102" s="15"/>
      <c r="BVB102" s="15"/>
      <c r="BVC102" s="15"/>
      <c r="BVD102" s="15"/>
      <c r="BVE102" s="15"/>
      <c r="BVF102" s="15"/>
      <c r="BVG102" s="15"/>
      <c r="BVH102" s="15"/>
      <c r="BVI102" s="15"/>
      <c r="BVJ102" s="15"/>
      <c r="BVK102" s="15"/>
      <c r="BVL102" s="15"/>
      <c r="BVM102" s="15"/>
      <c r="BVN102" s="15"/>
      <c r="BVO102" s="15"/>
      <c r="BVP102" s="15"/>
      <c r="BVQ102" s="15"/>
      <c r="BVR102" s="15"/>
      <c r="BVS102" s="15"/>
      <c r="BVT102" s="15"/>
      <c r="BVU102" s="15"/>
      <c r="BVV102" s="15"/>
      <c r="BVW102" s="15"/>
      <c r="BVX102" s="15"/>
      <c r="BVY102" s="15"/>
      <c r="BVZ102" s="15"/>
      <c r="BWA102" s="15"/>
      <c r="BWB102" s="15"/>
      <c r="BWC102" s="15"/>
      <c r="BWD102" s="15"/>
      <c r="BWE102" s="15"/>
      <c r="BWF102" s="15"/>
      <c r="BWG102" s="15"/>
      <c r="BWH102" s="15"/>
      <c r="BWI102" s="15"/>
      <c r="BWJ102" s="15"/>
      <c r="BWK102" s="15"/>
      <c r="BWL102" s="15"/>
      <c r="BWM102" s="15"/>
      <c r="BWN102" s="15"/>
      <c r="BWO102" s="15"/>
      <c r="BWP102" s="15"/>
      <c r="BWQ102" s="15"/>
      <c r="BWR102" s="15"/>
      <c r="BWS102" s="15"/>
      <c r="BWT102" s="15"/>
      <c r="BWU102" s="15"/>
      <c r="BWV102" s="15"/>
      <c r="BWW102" s="15"/>
      <c r="BWX102" s="15"/>
      <c r="BWY102" s="15"/>
      <c r="BWZ102" s="15"/>
      <c r="BXA102" s="15"/>
      <c r="BXB102" s="15"/>
      <c r="BXC102" s="15"/>
      <c r="BXD102" s="15"/>
      <c r="BXE102" s="15"/>
      <c r="BXF102" s="15"/>
      <c r="BXG102" s="15"/>
      <c r="BXH102" s="15"/>
      <c r="BXI102" s="15"/>
      <c r="BXJ102" s="15"/>
      <c r="BXK102" s="15"/>
      <c r="BXL102" s="15"/>
      <c r="BXM102" s="15"/>
      <c r="BXN102" s="15"/>
      <c r="BXO102" s="15"/>
      <c r="BXP102" s="15"/>
      <c r="BXQ102" s="15"/>
      <c r="BXR102" s="15"/>
      <c r="BXS102" s="15"/>
      <c r="BXT102" s="15"/>
      <c r="BXU102" s="15"/>
      <c r="BXV102" s="15"/>
      <c r="BXW102" s="15"/>
      <c r="BXX102" s="15"/>
      <c r="BXY102" s="15"/>
      <c r="BXZ102" s="15"/>
      <c r="BYA102" s="15"/>
      <c r="BYB102" s="15"/>
      <c r="BYC102" s="15"/>
      <c r="BYD102" s="15"/>
      <c r="BYE102" s="15"/>
      <c r="BYF102" s="15"/>
      <c r="BYG102" s="15"/>
      <c r="BYH102" s="15"/>
      <c r="BYI102" s="15"/>
      <c r="BYJ102" s="15"/>
      <c r="BYK102" s="15"/>
      <c r="BYL102" s="15"/>
      <c r="BYM102" s="15"/>
      <c r="BYN102" s="15"/>
      <c r="BYO102" s="15"/>
      <c r="BYP102" s="15"/>
      <c r="BYQ102" s="15"/>
      <c r="BYR102" s="15"/>
      <c r="BYS102" s="15"/>
      <c r="BYT102" s="15"/>
      <c r="BYU102" s="15"/>
      <c r="BYV102" s="15"/>
      <c r="BYW102" s="15"/>
      <c r="BYX102" s="15"/>
      <c r="BYY102" s="15"/>
      <c r="BYZ102" s="15"/>
      <c r="BZA102" s="15"/>
      <c r="BZB102" s="15"/>
      <c r="BZC102" s="15"/>
      <c r="BZD102" s="15"/>
      <c r="BZE102" s="15"/>
      <c r="BZF102" s="15"/>
      <c r="BZG102" s="15"/>
      <c r="BZH102" s="15"/>
      <c r="BZI102" s="15"/>
      <c r="BZJ102" s="15"/>
      <c r="BZK102" s="15"/>
      <c r="BZL102" s="15"/>
      <c r="BZM102" s="15"/>
      <c r="BZN102" s="15"/>
      <c r="BZO102" s="15"/>
      <c r="BZP102" s="15"/>
      <c r="BZQ102" s="15"/>
      <c r="BZR102" s="15"/>
      <c r="BZS102" s="15"/>
      <c r="BZT102" s="15"/>
      <c r="BZU102" s="15"/>
      <c r="BZV102" s="15"/>
      <c r="BZW102" s="15"/>
      <c r="BZX102" s="15"/>
      <c r="BZY102" s="15"/>
      <c r="BZZ102" s="15"/>
      <c r="CAA102" s="15"/>
      <c r="CAB102" s="15"/>
      <c r="CAC102" s="15"/>
      <c r="CAD102" s="15"/>
      <c r="CAE102" s="15"/>
      <c r="CAF102" s="15"/>
      <c r="CAG102" s="15"/>
      <c r="CAH102" s="15"/>
      <c r="CAI102" s="15"/>
      <c r="CAJ102" s="15"/>
      <c r="CAK102" s="15"/>
      <c r="CAL102" s="15"/>
      <c r="CAM102" s="15"/>
      <c r="CAN102" s="15"/>
      <c r="CAO102" s="15"/>
      <c r="CAP102" s="15"/>
      <c r="CAQ102" s="15"/>
      <c r="CAR102" s="15"/>
      <c r="CAS102" s="15"/>
      <c r="CAT102" s="15"/>
      <c r="CAU102" s="15"/>
      <c r="CAV102" s="15"/>
      <c r="CAW102" s="15"/>
      <c r="CAX102" s="15"/>
      <c r="CAY102" s="15"/>
      <c r="CAZ102" s="15"/>
      <c r="CBA102" s="15"/>
      <c r="CBB102" s="15"/>
      <c r="CBC102" s="15"/>
      <c r="CBD102" s="15"/>
      <c r="CBE102" s="15"/>
      <c r="CBF102" s="15"/>
      <c r="CBG102" s="15"/>
      <c r="CBH102" s="15"/>
    </row>
    <row r="103" spans="1:16372" s="47" customFormat="1" x14ac:dyDescent="0.2">
      <c r="A103" s="1" t="s">
        <v>92</v>
      </c>
      <c r="B103" s="5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  <c r="OA103" s="15"/>
      <c r="OB103" s="15"/>
      <c r="OC103" s="15"/>
      <c r="OD103" s="15"/>
      <c r="OE103" s="15"/>
      <c r="OF103" s="15"/>
      <c r="OG103" s="15"/>
      <c r="OH103" s="15"/>
      <c r="OI103" s="15"/>
      <c r="OJ103" s="15"/>
      <c r="OK103" s="15"/>
      <c r="OL103" s="15"/>
      <c r="OM103" s="15"/>
      <c r="ON103" s="15"/>
      <c r="OO103" s="15"/>
      <c r="OP103" s="15"/>
      <c r="OQ103" s="15"/>
      <c r="OR103" s="15"/>
      <c r="OS103" s="15"/>
      <c r="OT103" s="15"/>
      <c r="OU103" s="15"/>
      <c r="OV103" s="15"/>
      <c r="OW103" s="15"/>
      <c r="OX103" s="15"/>
      <c r="OY103" s="15"/>
      <c r="OZ103" s="15"/>
      <c r="PA103" s="15"/>
      <c r="PB103" s="15"/>
      <c r="PC103" s="15"/>
      <c r="PD103" s="15"/>
      <c r="PE103" s="15"/>
      <c r="PF103" s="15"/>
      <c r="PG103" s="15"/>
      <c r="PH103" s="15"/>
      <c r="PI103" s="15"/>
      <c r="PJ103" s="15"/>
      <c r="PK103" s="15"/>
      <c r="PL103" s="15"/>
      <c r="PM103" s="15"/>
      <c r="PN103" s="15"/>
      <c r="PO103" s="15"/>
      <c r="PP103" s="15"/>
      <c r="PQ103" s="15"/>
      <c r="PR103" s="15"/>
      <c r="PS103" s="15"/>
      <c r="PT103" s="15"/>
      <c r="PU103" s="15"/>
      <c r="PV103" s="15"/>
      <c r="PW103" s="15"/>
      <c r="PX103" s="15"/>
      <c r="PY103" s="15"/>
      <c r="PZ103" s="15"/>
      <c r="QA103" s="15"/>
      <c r="QB103" s="15"/>
      <c r="QC103" s="15"/>
      <c r="QD103" s="15"/>
      <c r="QE103" s="15"/>
      <c r="QF103" s="15"/>
      <c r="QG103" s="15"/>
      <c r="QH103" s="15"/>
      <c r="QI103" s="15"/>
      <c r="QJ103" s="15"/>
      <c r="QK103" s="15"/>
      <c r="QL103" s="15"/>
      <c r="QM103" s="15"/>
      <c r="QN103" s="15"/>
      <c r="QO103" s="15"/>
      <c r="QP103" s="15"/>
      <c r="QQ103" s="15"/>
      <c r="QR103" s="15"/>
      <c r="QS103" s="15"/>
      <c r="QT103" s="15"/>
      <c r="QU103" s="15"/>
      <c r="QV103" s="15"/>
      <c r="QW103" s="15"/>
      <c r="QX103" s="15"/>
      <c r="QY103" s="15"/>
      <c r="QZ103" s="15"/>
      <c r="RA103" s="15"/>
      <c r="RB103" s="15"/>
      <c r="RC103" s="15"/>
      <c r="RD103" s="15"/>
      <c r="RE103" s="15"/>
      <c r="RF103" s="15"/>
      <c r="RG103" s="15"/>
      <c r="RH103" s="15"/>
      <c r="RI103" s="15"/>
      <c r="RJ103" s="15"/>
      <c r="RK103" s="15"/>
      <c r="RL103" s="15"/>
      <c r="RM103" s="15"/>
      <c r="RN103" s="15"/>
      <c r="RO103" s="15"/>
      <c r="RP103" s="15"/>
      <c r="RQ103" s="15"/>
      <c r="RR103" s="15"/>
      <c r="RS103" s="15"/>
      <c r="RT103" s="15"/>
      <c r="RU103" s="15"/>
      <c r="RV103" s="15"/>
      <c r="RW103" s="15"/>
      <c r="RX103" s="15"/>
      <c r="RY103" s="15"/>
      <c r="RZ103" s="15"/>
      <c r="SA103" s="15"/>
      <c r="SB103" s="15"/>
      <c r="SC103" s="15"/>
      <c r="SD103" s="15"/>
      <c r="SE103" s="15"/>
      <c r="SF103" s="15"/>
      <c r="SG103" s="15"/>
      <c r="SH103" s="15"/>
      <c r="SI103" s="15"/>
      <c r="SJ103" s="15"/>
      <c r="SK103" s="15"/>
      <c r="SL103" s="15"/>
      <c r="SM103" s="15"/>
      <c r="SN103" s="15"/>
      <c r="SO103" s="15"/>
      <c r="SP103" s="15"/>
      <c r="SQ103" s="15"/>
      <c r="SR103" s="15"/>
      <c r="SS103" s="15"/>
      <c r="ST103" s="15"/>
      <c r="SU103" s="15"/>
      <c r="SV103" s="15"/>
      <c r="SW103" s="15"/>
      <c r="SX103" s="15"/>
      <c r="SY103" s="15"/>
      <c r="SZ103" s="15"/>
      <c r="TA103" s="15"/>
      <c r="TB103" s="15"/>
      <c r="TC103" s="15"/>
      <c r="TD103" s="15"/>
      <c r="TE103" s="15"/>
      <c r="TF103" s="15"/>
      <c r="TG103" s="15"/>
      <c r="TH103" s="15"/>
      <c r="TI103" s="15"/>
      <c r="TJ103" s="15"/>
      <c r="TK103" s="15"/>
      <c r="TL103" s="15"/>
      <c r="TM103" s="15"/>
      <c r="TN103" s="15"/>
      <c r="TO103" s="15"/>
      <c r="TP103" s="15"/>
      <c r="TQ103" s="15"/>
      <c r="TR103" s="15"/>
      <c r="TS103" s="15"/>
      <c r="TT103" s="15"/>
      <c r="TU103" s="15"/>
      <c r="TV103" s="15"/>
      <c r="TW103" s="15"/>
      <c r="TX103" s="15"/>
      <c r="TY103" s="15"/>
      <c r="TZ103" s="15"/>
      <c r="UA103" s="15"/>
      <c r="UB103" s="15"/>
      <c r="UC103" s="15"/>
      <c r="UD103" s="15"/>
      <c r="UE103" s="15"/>
      <c r="UF103" s="15"/>
      <c r="UG103" s="15"/>
      <c r="UH103" s="15"/>
      <c r="UI103" s="15"/>
      <c r="UJ103" s="15"/>
      <c r="UK103" s="15"/>
      <c r="UL103" s="15"/>
      <c r="UM103" s="15"/>
      <c r="UN103" s="15"/>
      <c r="UO103" s="15"/>
      <c r="UP103" s="15"/>
      <c r="UQ103" s="15"/>
      <c r="UR103" s="15"/>
      <c r="US103" s="15"/>
      <c r="UT103" s="15"/>
      <c r="UU103" s="15"/>
      <c r="UV103" s="15"/>
      <c r="UW103" s="15"/>
      <c r="UX103" s="15"/>
      <c r="UY103" s="15"/>
      <c r="UZ103" s="15"/>
      <c r="VA103" s="15"/>
      <c r="VB103" s="15"/>
      <c r="VC103" s="15"/>
      <c r="VD103" s="15"/>
      <c r="VE103" s="15"/>
      <c r="VF103" s="15"/>
      <c r="VG103" s="15"/>
      <c r="VH103" s="15"/>
      <c r="VI103" s="15"/>
      <c r="VJ103" s="15"/>
      <c r="VK103" s="15"/>
      <c r="VL103" s="15"/>
      <c r="VM103" s="15"/>
      <c r="VN103" s="15"/>
      <c r="VO103" s="15"/>
      <c r="VP103" s="15"/>
      <c r="VQ103" s="15"/>
      <c r="VR103" s="15"/>
      <c r="VS103" s="15"/>
      <c r="VT103" s="15"/>
      <c r="VU103" s="15"/>
      <c r="VV103" s="15"/>
      <c r="VW103" s="15"/>
      <c r="VX103" s="15"/>
      <c r="VY103" s="15"/>
      <c r="VZ103" s="15"/>
      <c r="WA103" s="15"/>
      <c r="WB103" s="15"/>
      <c r="WC103" s="15"/>
      <c r="WD103" s="15"/>
      <c r="WE103" s="15"/>
      <c r="WF103" s="15"/>
      <c r="WG103" s="15"/>
      <c r="WH103" s="15"/>
      <c r="WI103" s="15"/>
      <c r="WJ103" s="15"/>
      <c r="WK103" s="15"/>
      <c r="WL103" s="15"/>
      <c r="WM103" s="15"/>
      <c r="WN103" s="15"/>
      <c r="WO103" s="15"/>
      <c r="WP103" s="15"/>
      <c r="WQ103" s="15"/>
      <c r="WR103" s="15"/>
      <c r="WS103" s="15"/>
      <c r="WT103" s="15"/>
      <c r="WU103" s="15"/>
      <c r="WV103" s="15"/>
      <c r="WW103" s="15"/>
      <c r="WX103" s="15"/>
      <c r="WY103" s="15"/>
      <c r="WZ103" s="15"/>
      <c r="XA103" s="15"/>
      <c r="XB103" s="15"/>
      <c r="XC103" s="15"/>
      <c r="XD103" s="15"/>
      <c r="XE103" s="15"/>
      <c r="XF103" s="15"/>
      <c r="XG103" s="15"/>
      <c r="XH103" s="15"/>
      <c r="XI103" s="15"/>
      <c r="XJ103" s="15"/>
      <c r="XK103" s="15"/>
      <c r="XL103" s="15"/>
      <c r="XM103" s="15"/>
      <c r="XN103" s="15"/>
      <c r="XO103" s="15"/>
      <c r="XP103" s="15"/>
      <c r="XQ103" s="15"/>
      <c r="XR103" s="15"/>
      <c r="XS103" s="15"/>
      <c r="XT103" s="15"/>
      <c r="XU103" s="15"/>
      <c r="XV103" s="15"/>
      <c r="XW103" s="15"/>
      <c r="XX103" s="15"/>
      <c r="XY103" s="15"/>
      <c r="XZ103" s="15"/>
      <c r="YA103" s="15"/>
      <c r="YB103" s="15"/>
      <c r="YC103" s="15"/>
      <c r="YD103" s="15"/>
      <c r="YE103" s="15"/>
      <c r="YF103" s="15"/>
      <c r="YG103" s="15"/>
      <c r="YH103" s="15"/>
      <c r="YI103" s="15"/>
      <c r="YJ103" s="15"/>
      <c r="YK103" s="15"/>
      <c r="YL103" s="15"/>
      <c r="YM103" s="15"/>
      <c r="YN103" s="15"/>
      <c r="YO103" s="15"/>
      <c r="YP103" s="15"/>
      <c r="YQ103" s="15"/>
      <c r="YR103" s="15"/>
      <c r="YS103" s="15"/>
      <c r="YT103" s="15"/>
      <c r="YU103" s="15"/>
      <c r="YV103" s="15"/>
      <c r="YW103" s="15"/>
      <c r="YX103" s="15"/>
      <c r="YY103" s="15"/>
      <c r="YZ103" s="15"/>
      <c r="ZA103" s="15"/>
      <c r="ZB103" s="15"/>
      <c r="ZC103" s="15"/>
      <c r="ZD103" s="15"/>
      <c r="ZE103" s="15"/>
      <c r="ZF103" s="15"/>
      <c r="ZG103" s="15"/>
      <c r="ZH103" s="15"/>
      <c r="ZI103" s="15"/>
      <c r="ZJ103" s="15"/>
      <c r="ZK103" s="15"/>
      <c r="ZL103" s="15"/>
      <c r="ZM103" s="15"/>
      <c r="ZN103" s="15"/>
      <c r="ZO103" s="15"/>
      <c r="ZP103" s="15"/>
      <c r="ZQ103" s="15"/>
      <c r="ZR103" s="15"/>
      <c r="ZS103" s="15"/>
      <c r="ZT103" s="15"/>
      <c r="ZU103" s="15"/>
      <c r="ZV103" s="15"/>
      <c r="ZW103" s="15"/>
      <c r="ZX103" s="15"/>
      <c r="ZY103" s="15"/>
      <c r="ZZ103" s="15"/>
      <c r="AAA103" s="15"/>
      <c r="AAB103" s="15"/>
      <c r="AAC103" s="15"/>
      <c r="AAD103" s="15"/>
      <c r="AAE103" s="15"/>
      <c r="AAF103" s="15"/>
      <c r="AAG103" s="15"/>
      <c r="AAH103" s="15"/>
      <c r="AAI103" s="15"/>
      <c r="AAJ103" s="15"/>
      <c r="AAK103" s="15"/>
      <c r="AAL103" s="15"/>
      <c r="AAM103" s="15"/>
      <c r="AAN103" s="15"/>
      <c r="AAO103" s="15"/>
      <c r="AAP103" s="15"/>
      <c r="AAQ103" s="15"/>
      <c r="AAR103" s="15"/>
      <c r="AAS103" s="15"/>
      <c r="AAT103" s="15"/>
      <c r="AAU103" s="15"/>
      <c r="AAV103" s="15"/>
      <c r="AAW103" s="15"/>
      <c r="AAX103" s="15"/>
      <c r="AAY103" s="15"/>
      <c r="AAZ103" s="15"/>
      <c r="ABA103" s="15"/>
      <c r="ABB103" s="15"/>
      <c r="ABC103" s="15"/>
      <c r="ABD103" s="15"/>
      <c r="ABE103" s="15"/>
      <c r="ABF103" s="15"/>
      <c r="ABG103" s="15"/>
      <c r="ABH103" s="15"/>
      <c r="ABI103" s="15"/>
      <c r="ABJ103" s="15"/>
      <c r="ABK103" s="15"/>
      <c r="ABL103" s="15"/>
      <c r="ABM103" s="15"/>
      <c r="ABN103" s="15"/>
      <c r="ABO103" s="15"/>
      <c r="ABP103" s="15"/>
      <c r="ABQ103" s="15"/>
      <c r="ABR103" s="15"/>
      <c r="ABS103" s="15"/>
      <c r="ABT103" s="15"/>
      <c r="ABU103" s="15"/>
      <c r="ABV103" s="15"/>
      <c r="ABW103" s="15"/>
      <c r="ABX103" s="15"/>
      <c r="ABY103" s="15"/>
      <c r="ABZ103" s="15"/>
      <c r="ACA103" s="15"/>
      <c r="ACB103" s="15"/>
      <c r="ACC103" s="15"/>
      <c r="ACD103" s="15"/>
      <c r="ACE103" s="15"/>
      <c r="ACF103" s="15"/>
      <c r="ACG103" s="15"/>
      <c r="ACH103" s="15"/>
      <c r="ACI103" s="15"/>
      <c r="ACJ103" s="15"/>
      <c r="ACK103" s="15"/>
      <c r="ACL103" s="15"/>
      <c r="ACM103" s="15"/>
      <c r="ACN103" s="15"/>
      <c r="ACO103" s="15"/>
      <c r="ACP103" s="15"/>
      <c r="ACQ103" s="15"/>
      <c r="ACR103" s="15"/>
      <c r="ACS103" s="15"/>
      <c r="ACT103" s="15"/>
      <c r="ACU103" s="15"/>
      <c r="ACV103" s="15"/>
      <c r="ACW103" s="15"/>
      <c r="ACX103" s="15"/>
      <c r="ACY103" s="15"/>
      <c r="ACZ103" s="15"/>
      <c r="ADA103" s="15"/>
      <c r="ADB103" s="15"/>
      <c r="ADC103" s="15"/>
      <c r="ADD103" s="15"/>
      <c r="ADE103" s="15"/>
      <c r="ADF103" s="15"/>
      <c r="ADG103" s="15"/>
      <c r="ADH103" s="15"/>
      <c r="ADI103" s="15"/>
      <c r="ADJ103" s="15"/>
      <c r="ADK103" s="15"/>
      <c r="ADL103" s="15"/>
      <c r="ADM103" s="15"/>
      <c r="ADN103" s="15"/>
      <c r="ADO103" s="15"/>
      <c r="ADP103" s="15"/>
      <c r="ADQ103" s="15"/>
      <c r="ADR103" s="15"/>
      <c r="ADS103" s="15"/>
      <c r="ADT103" s="15"/>
      <c r="ADU103" s="15"/>
      <c r="ADV103" s="15"/>
      <c r="ADW103" s="15"/>
      <c r="ADX103" s="15"/>
      <c r="ADY103" s="15"/>
      <c r="ADZ103" s="15"/>
      <c r="AEA103" s="15"/>
      <c r="AEB103" s="15"/>
      <c r="AEC103" s="15"/>
      <c r="AED103" s="15"/>
      <c r="AEE103" s="15"/>
      <c r="AEF103" s="15"/>
      <c r="AEG103" s="15"/>
      <c r="AEH103" s="15"/>
      <c r="AEI103" s="15"/>
      <c r="AEJ103" s="15"/>
      <c r="AEK103" s="15"/>
      <c r="AEL103" s="15"/>
      <c r="AEM103" s="15"/>
      <c r="AEN103" s="15"/>
      <c r="AEO103" s="15"/>
      <c r="AEP103" s="15"/>
      <c r="AEQ103" s="15"/>
      <c r="AER103" s="15"/>
      <c r="AES103" s="15"/>
      <c r="AET103" s="15"/>
      <c r="AEU103" s="15"/>
      <c r="AEV103" s="15"/>
      <c r="AEW103" s="15"/>
      <c r="AEX103" s="15"/>
      <c r="AEY103" s="15"/>
      <c r="AEZ103" s="15"/>
      <c r="AFA103" s="15"/>
      <c r="AFB103" s="15"/>
      <c r="AFC103" s="15"/>
      <c r="AFD103" s="15"/>
      <c r="AFE103" s="15"/>
      <c r="AFF103" s="15"/>
      <c r="AFG103" s="15"/>
      <c r="AFH103" s="15"/>
      <c r="AFI103" s="15"/>
      <c r="AFJ103" s="15"/>
      <c r="AFK103" s="15"/>
      <c r="AFL103" s="15"/>
      <c r="AFM103" s="15"/>
      <c r="AFN103" s="15"/>
      <c r="AFO103" s="15"/>
      <c r="AFP103" s="15"/>
      <c r="AFQ103" s="15"/>
      <c r="AFR103" s="15"/>
      <c r="AFS103" s="15"/>
      <c r="AFT103" s="15"/>
      <c r="AFU103" s="15"/>
      <c r="AFV103" s="15"/>
      <c r="AFW103" s="15"/>
      <c r="AFX103" s="15"/>
      <c r="AFY103" s="15"/>
      <c r="AFZ103" s="15"/>
      <c r="AGA103" s="15"/>
      <c r="AGB103" s="15"/>
      <c r="AGC103" s="15"/>
      <c r="AGD103" s="15"/>
      <c r="AGE103" s="15"/>
      <c r="AGF103" s="15"/>
      <c r="AGG103" s="15"/>
      <c r="AGH103" s="15"/>
      <c r="AGI103" s="15"/>
      <c r="AGJ103" s="15"/>
      <c r="AGK103" s="15"/>
      <c r="AGL103" s="15"/>
      <c r="AGM103" s="15"/>
      <c r="AGN103" s="15"/>
      <c r="AGO103" s="15"/>
      <c r="AGP103" s="15"/>
      <c r="AGQ103" s="15"/>
      <c r="AGR103" s="15"/>
      <c r="AGS103" s="15"/>
      <c r="AGT103" s="15"/>
      <c r="AGU103" s="15"/>
      <c r="AGV103" s="15"/>
      <c r="AGW103" s="15"/>
      <c r="AGX103" s="15"/>
      <c r="AGY103" s="15"/>
      <c r="AGZ103" s="15"/>
      <c r="AHA103" s="15"/>
      <c r="AHB103" s="15"/>
      <c r="AHC103" s="15"/>
      <c r="AHD103" s="15"/>
      <c r="AHE103" s="15"/>
      <c r="AHF103" s="15"/>
      <c r="AHG103" s="15"/>
      <c r="AHH103" s="15"/>
      <c r="AHI103" s="15"/>
      <c r="AHJ103" s="15"/>
      <c r="AHK103" s="15"/>
      <c r="AHL103" s="15"/>
      <c r="AHM103" s="15"/>
      <c r="AHN103" s="15"/>
      <c r="AHO103" s="15"/>
      <c r="AHP103" s="15"/>
      <c r="AHQ103" s="15"/>
      <c r="AHR103" s="15"/>
      <c r="AHS103" s="15"/>
      <c r="AHT103" s="15"/>
      <c r="AHU103" s="15"/>
      <c r="AHV103" s="15"/>
      <c r="AHW103" s="15"/>
      <c r="AHX103" s="15"/>
      <c r="AHY103" s="15"/>
      <c r="AHZ103" s="15"/>
      <c r="AIA103" s="15"/>
      <c r="AIB103" s="15"/>
      <c r="AIC103" s="15"/>
      <c r="AID103" s="15"/>
      <c r="AIE103" s="15"/>
      <c r="AIF103" s="15"/>
      <c r="AIG103" s="15"/>
      <c r="AIH103" s="15"/>
      <c r="AII103" s="15"/>
      <c r="AIJ103" s="15"/>
      <c r="AIK103" s="15"/>
      <c r="AIL103" s="15"/>
      <c r="AIM103" s="15"/>
      <c r="AIN103" s="15"/>
      <c r="AIO103" s="15"/>
      <c r="AIP103" s="15"/>
      <c r="AIQ103" s="15"/>
      <c r="AIR103" s="15"/>
      <c r="AIS103" s="15"/>
      <c r="AIT103" s="15"/>
      <c r="AIU103" s="15"/>
      <c r="AIV103" s="15"/>
      <c r="AIW103" s="15"/>
      <c r="AIX103" s="15"/>
      <c r="AIY103" s="15"/>
      <c r="AIZ103" s="15"/>
      <c r="AJA103" s="15"/>
      <c r="AJB103" s="15"/>
      <c r="AJC103" s="15"/>
      <c r="AJD103" s="15"/>
      <c r="AJE103" s="15"/>
      <c r="AJF103" s="15"/>
      <c r="AJG103" s="15"/>
      <c r="AJH103" s="15"/>
      <c r="AJI103" s="15"/>
      <c r="AJJ103" s="15"/>
      <c r="AJK103" s="15"/>
      <c r="AJL103" s="15"/>
      <c r="AJM103" s="15"/>
      <c r="AJN103" s="15"/>
      <c r="AJO103" s="15"/>
      <c r="AJP103" s="15"/>
      <c r="AJQ103" s="15"/>
      <c r="AJR103" s="15"/>
      <c r="AJS103" s="15"/>
      <c r="AJT103" s="15"/>
      <c r="AJU103" s="15"/>
      <c r="AJV103" s="15"/>
      <c r="AJW103" s="15"/>
      <c r="AJX103" s="15"/>
      <c r="AJY103" s="15"/>
      <c r="AJZ103" s="15"/>
      <c r="AKA103" s="15"/>
      <c r="AKB103" s="15"/>
      <c r="AKC103" s="15"/>
      <c r="AKD103" s="15"/>
      <c r="AKE103" s="15"/>
      <c r="AKF103" s="15"/>
      <c r="AKG103" s="15"/>
      <c r="AKH103" s="15"/>
      <c r="AKI103" s="15"/>
      <c r="AKJ103" s="15"/>
      <c r="AKK103" s="15"/>
      <c r="AKL103" s="15"/>
      <c r="AKM103" s="15"/>
      <c r="AKN103" s="15"/>
      <c r="AKO103" s="15"/>
      <c r="AKP103" s="15"/>
      <c r="AKQ103" s="15"/>
      <c r="AKR103" s="15"/>
      <c r="AKS103" s="15"/>
      <c r="AKT103" s="15"/>
      <c r="AKU103" s="15"/>
      <c r="AKV103" s="15"/>
      <c r="AKW103" s="15"/>
      <c r="AKX103" s="15"/>
      <c r="AKY103" s="15"/>
      <c r="AKZ103" s="15"/>
      <c r="ALA103" s="15"/>
      <c r="ALB103" s="15"/>
      <c r="ALC103" s="15"/>
      <c r="ALD103" s="15"/>
      <c r="ALE103" s="15"/>
      <c r="ALF103" s="15"/>
      <c r="ALG103" s="15"/>
      <c r="ALH103" s="15"/>
      <c r="ALI103" s="15"/>
      <c r="ALJ103" s="15"/>
      <c r="ALK103" s="15"/>
      <c r="ALL103" s="15"/>
      <c r="ALM103" s="15"/>
      <c r="ALN103" s="15"/>
      <c r="ALO103" s="15"/>
      <c r="ALP103" s="15"/>
      <c r="ALQ103" s="15"/>
      <c r="ALR103" s="15"/>
      <c r="ALS103" s="15"/>
      <c r="ALT103" s="15"/>
      <c r="ALU103" s="15"/>
      <c r="ALV103" s="15"/>
      <c r="ALW103" s="15"/>
      <c r="ALX103" s="15"/>
      <c r="ALY103" s="15"/>
      <c r="ALZ103" s="15"/>
      <c r="AMA103" s="15"/>
      <c r="AMB103" s="15"/>
      <c r="AMC103" s="15"/>
      <c r="AMD103" s="15"/>
      <c r="AME103" s="15"/>
      <c r="AMF103" s="15"/>
      <c r="AMG103" s="15"/>
      <c r="AMH103" s="15"/>
      <c r="AMI103" s="15"/>
      <c r="AMJ103" s="15"/>
      <c r="AMK103" s="15"/>
      <c r="AML103" s="15"/>
      <c r="AMM103" s="15"/>
      <c r="AMN103" s="15"/>
      <c r="AMO103" s="15"/>
      <c r="AMP103" s="15"/>
      <c r="AMQ103" s="15"/>
      <c r="AMR103" s="15"/>
      <c r="AMS103" s="15"/>
      <c r="AMT103" s="15"/>
      <c r="AMU103" s="15"/>
      <c r="AMV103" s="15"/>
      <c r="AMW103" s="15"/>
      <c r="AMX103" s="15"/>
      <c r="AMY103" s="15"/>
      <c r="AMZ103" s="15"/>
      <c r="ANA103" s="15"/>
      <c r="ANB103" s="15"/>
      <c r="ANC103" s="15"/>
      <c r="AND103" s="15"/>
      <c r="ANE103" s="15"/>
      <c r="ANF103" s="15"/>
      <c r="ANG103" s="15"/>
      <c r="ANH103" s="15"/>
      <c r="ANI103" s="15"/>
      <c r="ANJ103" s="15"/>
      <c r="ANK103" s="15"/>
      <c r="ANL103" s="15"/>
      <c r="ANM103" s="15"/>
      <c r="ANN103" s="15"/>
      <c r="ANO103" s="15"/>
      <c r="ANP103" s="15"/>
      <c r="ANQ103" s="15"/>
      <c r="ANR103" s="15"/>
      <c r="ANS103" s="15"/>
      <c r="ANT103" s="15"/>
      <c r="ANU103" s="15"/>
      <c r="ANV103" s="15"/>
      <c r="ANW103" s="15"/>
      <c r="ANX103" s="15"/>
      <c r="ANY103" s="15"/>
      <c r="ANZ103" s="15"/>
      <c r="AOA103" s="15"/>
      <c r="AOB103" s="15"/>
      <c r="AOC103" s="15"/>
      <c r="AOD103" s="15"/>
      <c r="AOE103" s="15"/>
      <c r="AOF103" s="15"/>
      <c r="AOG103" s="15"/>
      <c r="AOH103" s="15"/>
      <c r="AOI103" s="15"/>
      <c r="AOJ103" s="15"/>
      <c r="AOK103" s="15"/>
      <c r="AOL103" s="15"/>
      <c r="AOM103" s="15"/>
      <c r="AON103" s="15"/>
      <c r="AOO103" s="15"/>
      <c r="AOP103" s="15"/>
      <c r="AOQ103" s="15"/>
      <c r="AOR103" s="15"/>
      <c r="AOS103" s="15"/>
      <c r="AOT103" s="15"/>
      <c r="AOU103" s="15"/>
      <c r="AOV103" s="15"/>
      <c r="AOW103" s="15"/>
      <c r="AOX103" s="15"/>
      <c r="AOY103" s="15"/>
      <c r="AOZ103" s="15"/>
      <c r="APA103" s="15"/>
      <c r="APB103" s="15"/>
      <c r="APC103" s="15"/>
      <c r="APD103" s="15"/>
      <c r="APE103" s="15"/>
      <c r="APF103" s="15"/>
      <c r="APG103" s="15"/>
      <c r="APH103" s="15"/>
      <c r="API103" s="15"/>
      <c r="APJ103" s="15"/>
      <c r="APK103" s="15"/>
      <c r="APL103" s="15"/>
      <c r="APM103" s="15"/>
      <c r="APN103" s="15"/>
      <c r="APO103" s="15"/>
      <c r="APP103" s="15"/>
      <c r="APQ103" s="15"/>
      <c r="APR103" s="15"/>
      <c r="APS103" s="15"/>
      <c r="APT103" s="15"/>
      <c r="APU103" s="15"/>
      <c r="APV103" s="15"/>
      <c r="APW103" s="15"/>
      <c r="APX103" s="15"/>
      <c r="APY103" s="15"/>
      <c r="APZ103" s="15"/>
      <c r="AQA103" s="15"/>
      <c r="AQB103" s="15"/>
      <c r="AQC103" s="15"/>
      <c r="AQD103" s="15"/>
      <c r="AQE103" s="15"/>
      <c r="AQF103" s="15"/>
      <c r="AQG103" s="15"/>
      <c r="AQH103" s="15"/>
      <c r="AQI103" s="15"/>
      <c r="AQJ103" s="15"/>
      <c r="AQK103" s="15"/>
      <c r="AQL103" s="15"/>
      <c r="AQM103" s="15"/>
      <c r="AQN103" s="15"/>
      <c r="AQO103" s="15"/>
      <c r="AQP103" s="15"/>
      <c r="AQQ103" s="15"/>
      <c r="AQR103" s="15"/>
      <c r="AQS103" s="15"/>
      <c r="AQT103" s="15"/>
      <c r="AQU103" s="15"/>
      <c r="AQV103" s="15"/>
      <c r="AQW103" s="15"/>
      <c r="AQX103" s="15"/>
      <c r="AQY103" s="15"/>
      <c r="AQZ103" s="15"/>
      <c r="ARA103" s="15"/>
      <c r="ARB103" s="15"/>
      <c r="ARC103" s="15"/>
      <c r="ARD103" s="15"/>
      <c r="ARE103" s="15"/>
      <c r="ARF103" s="15"/>
      <c r="ARG103" s="15"/>
      <c r="ARH103" s="15"/>
      <c r="ARI103" s="15"/>
      <c r="ARJ103" s="15"/>
      <c r="ARK103" s="15"/>
      <c r="ARL103" s="15"/>
      <c r="ARM103" s="15"/>
      <c r="ARN103" s="15"/>
      <c r="ARO103" s="15"/>
      <c r="ARP103" s="15"/>
      <c r="ARQ103" s="15"/>
      <c r="ARR103" s="15"/>
      <c r="ARS103" s="15"/>
      <c r="ART103" s="15"/>
      <c r="ARU103" s="15"/>
      <c r="ARV103" s="15"/>
      <c r="ARW103" s="15"/>
      <c r="ARX103" s="15"/>
      <c r="ARY103" s="15"/>
      <c r="ARZ103" s="15"/>
      <c r="ASA103" s="15"/>
      <c r="ASB103" s="15"/>
      <c r="ASC103" s="15"/>
      <c r="ASD103" s="15"/>
      <c r="ASE103" s="15"/>
      <c r="ASF103" s="15"/>
      <c r="ASG103" s="15"/>
      <c r="ASH103" s="15"/>
      <c r="ASI103" s="15"/>
      <c r="ASJ103" s="15"/>
      <c r="ASK103" s="15"/>
      <c r="ASL103" s="15"/>
      <c r="ASM103" s="15"/>
      <c r="ASN103" s="15"/>
      <c r="ASO103" s="15"/>
      <c r="ASP103" s="15"/>
      <c r="ASQ103" s="15"/>
      <c r="ASR103" s="15"/>
      <c r="ASS103" s="15"/>
      <c r="AST103" s="15"/>
      <c r="ASU103" s="15"/>
      <c r="ASV103" s="15"/>
      <c r="ASW103" s="15"/>
      <c r="ASX103" s="15"/>
      <c r="ASY103" s="15"/>
      <c r="ASZ103" s="15"/>
      <c r="ATA103" s="15"/>
      <c r="ATB103" s="15"/>
      <c r="ATC103" s="15"/>
      <c r="ATD103" s="15"/>
      <c r="ATE103" s="15"/>
      <c r="ATF103" s="15"/>
      <c r="ATG103" s="15"/>
      <c r="ATH103" s="15"/>
      <c r="ATI103" s="15"/>
      <c r="ATJ103" s="15"/>
      <c r="ATK103" s="15"/>
      <c r="ATL103" s="15"/>
      <c r="ATM103" s="15"/>
      <c r="ATN103" s="15"/>
      <c r="ATO103" s="15"/>
      <c r="ATP103" s="15"/>
      <c r="ATQ103" s="15"/>
      <c r="ATR103" s="15"/>
      <c r="ATS103" s="15"/>
      <c r="ATT103" s="15"/>
      <c r="ATU103" s="15"/>
      <c r="ATV103" s="15"/>
      <c r="ATW103" s="15"/>
      <c r="ATX103" s="15"/>
      <c r="ATY103" s="15"/>
      <c r="ATZ103" s="15"/>
      <c r="AUA103" s="15"/>
      <c r="AUB103" s="15"/>
      <c r="AUC103" s="15"/>
      <c r="AUD103" s="15"/>
      <c r="AUE103" s="15"/>
      <c r="AUF103" s="15"/>
      <c r="AUG103" s="15"/>
      <c r="AUH103" s="15"/>
      <c r="AUI103" s="15"/>
      <c r="AUJ103" s="15"/>
      <c r="AUK103" s="15"/>
      <c r="AUL103" s="15"/>
      <c r="AUM103" s="15"/>
      <c r="AUN103" s="15"/>
      <c r="AUO103" s="15"/>
      <c r="AUP103" s="15"/>
      <c r="AUQ103" s="15"/>
      <c r="AUR103" s="15"/>
      <c r="AUS103" s="15"/>
      <c r="AUT103" s="15"/>
      <c r="AUU103" s="15"/>
      <c r="AUV103" s="15"/>
      <c r="AUW103" s="15"/>
      <c r="AUX103" s="15"/>
      <c r="AUY103" s="15"/>
      <c r="AUZ103" s="15"/>
      <c r="AVA103" s="15"/>
      <c r="AVB103" s="15"/>
      <c r="AVC103" s="15"/>
      <c r="AVD103" s="15"/>
      <c r="AVE103" s="15"/>
      <c r="AVF103" s="15"/>
      <c r="AVG103" s="15"/>
      <c r="AVH103" s="15"/>
      <c r="AVI103" s="15"/>
      <c r="AVJ103" s="15"/>
      <c r="AVK103" s="15"/>
      <c r="AVL103" s="15"/>
      <c r="AVM103" s="15"/>
      <c r="AVN103" s="15"/>
      <c r="AVO103" s="15"/>
      <c r="AVP103" s="15"/>
      <c r="AVQ103" s="15"/>
      <c r="AVR103" s="15"/>
      <c r="AVS103" s="15"/>
      <c r="AVT103" s="15"/>
      <c r="AVU103" s="15"/>
      <c r="AVV103" s="15"/>
      <c r="AVW103" s="15"/>
      <c r="AVX103" s="15"/>
      <c r="AVY103" s="15"/>
      <c r="AVZ103" s="15"/>
      <c r="AWA103" s="15"/>
      <c r="AWB103" s="15"/>
      <c r="AWC103" s="15"/>
      <c r="AWD103" s="15"/>
      <c r="AWE103" s="15"/>
      <c r="AWF103" s="15"/>
      <c r="AWG103" s="15"/>
      <c r="AWH103" s="15"/>
      <c r="AWI103" s="15"/>
      <c r="AWJ103" s="15"/>
      <c r="AWK103" s="15"/>
      <c r="AWL103" s="15"/>
      <c r="AWM103" s="15"/>
      <c r="AWN103" s="15"/>
      <c r="AWO103" s="15"/>
      <c r="AWP103" s="15"/>
      <c r="AWQ103" s="15"/>
      <c r="AWR103" s="15"/>
      <c r="AWS103" s="15"/>
      <c r="AWT103" s="15"/>
      <c r="AWU103" s="15"/>
      <c r="AWV103" s="15"/>
      <c r="AWW103" s="15"/>
      <c r="AWX103" s="15"/>
      <c r="AWY103" s="15"/>
      <c r="AWZ103" s="15"/>
      <c r="AXA103" s="15"/>
      <c r="AXB103" s="15"/>
      <c r="AXC103" s="15"/>
      <c r="AXD103" s="15"/>
      <c r="AXE103" s="15"/>
      <c r="AXF103" s="15"/>
      <c r="AXG103" s="15"/>
      <c r="AXH103" s="15"/>
      <c r="AXI103" s="15"/>
      <c r="AXJ103" s="15"/>
      <c r="AXK103" s="15"/>
      <c r="AXL103" s="15"/>
      <c r="AXM103" s="15"/>
      <c r="AXN103" s="15"/>
      <c r="AXO103" s="15"/>
      <c r="AXP103" s="15"/>
      <c r="AXQ103" s="15"/>
      <c r="AXR103" s="15"/>
      <c r="AXS103" s="15"/>
      <c r="AXT103" s="15"/>
      <c r="AXU103" s="15"/>
      <c r="AXV103" s="15"/>
      <c r="AXW103" s="15"/>
      <c r="AXX103" s="15"/>
      <c r="AXY103" s="15"/>
      <c r="AXZ103" s="15"/>
      <c r="AYA103" s="15"/>
      <c r="AYB103" s="15"/>
      <c r="AYC103" s="15"/>
      <c r="AYD103" s="15"/>
      <c r="AYE103" s="15"/>
      <c r="AYF103" s="15"/>
      <c r="AYG103" s="15"/>
      <c r="AYH103" s="15"/>
      <c r="AYI103" s="15"/>
      <c r="AYJ103" s="15"/>
      <c r="AYK103" s="15"/>
      <c r="AYL103" s="15"/>
      <c r="AYM103" s="15"/>
      <c r="AYN103" s="15"/>
      <c r="AYO103" s="15"/>
      <c r="AYP103" s="15"/>
      <c r="AYQ103" s="15"/>
      <c r="AYR103" s="15"/>
      <c r="AYS103" s="15"/>
      <c r="AYT103" s="15"/>
      <c r="AYU103" s="15"/>
      <c r="AYV103" s="15"/>
      <c r="AYW103" s="15"/>
      <c r="AYX103" s="15"/>
      <c r="AYY103" s="15"/>
      <c r="AYZ103" s="15"/>
      <c r="AZA103" s="15"/>
      <c r="AZB103" s="15"/>
      <c r="AZC103" s="15"/>
      <c r="AZD103" s="15"/>
      <c r="AZE103" s="15"/>
      <c r="AZF103" s="15"/>
      <c r="AZG103" s="15"/>
      <c r="AZH103" s="15"/>
      <c r="AZI103" s="15"/>
      <c r="AZJ103" s="15"/>
      <c r="AZK103" s="15"/>
      <c r="AZL103" s="15"/>
      <c r="AZM103" s="15"/>
      <c r="AZN103" s="15"/>
      <c r="AZO103" s="15"/>
      <c r="AZP103" s="15"/>
      <c r="AZQ103" s="15"/>
      <c r="AZR103" s="15"/>
      <c r="AZS103" s="15"/>
      <c r="AZT103" s="15"/>
      <c r="AZU103" s="15"/>
      <c r="AZV103" s="15"/>
      <c r="AZW103" s="15"/>
      <c r="AZX103" s="15"/>
      <c r="AZY103" s="15"/>
      <c r="AZZ103" s="15"/>
      <c r="BAA103" s="15"/>
      <c r="BAB103" s="15"/>
      <c r="BAC103" s="15"/>
      <c r="BAD103" s="15"/>
      <c r="BAE103" s="15"/>
      <c r="BAF103" s="15"/>
      <c r="BAG103" s="15"/>
      <c r="BAH103" s="15"/>
      <c r="BAI103" s="15"/>
      <c r="BAJ103" s="15"/>
      <c r="BAK103" s="15"/>
      <c r="BAL103" s="15"/>
      <c r="BAM103" s="15"/>
      <c r="BAN103" s="15"/>
      <c r="BAO103" s="15"/>
      <c r="BAP103" s="15"/>
      <c r="BAQ103" s="15"/>
      <c r="BAR103" s="15"/>
      <c r="BAS103" s="15"/>
      <c r="BAT103" s="15"/>
      <c r="BAU103" s="15"/>
      <c r="BAV103" s="15"/>
      <c r="BAW103" s="15"/>
      <c r="BAX103" s="15"/>
      <c r="BAY103" s="15"/>
      <c r="BAZ103" s="15"/>
      <c r="BBA103" s="15"/>
      <c r="BBB103" s="15"/>
      <c r="BBC103" s="15"/>
      <c r="BBD103" s="15"/>
      <c r="BBE103" s="15"/>
      <c r="BBF103" s="15"/>
      <c r="BBG103" s="15"/>
      <c r="BBH103" s="15"/>
      <c r="BBI103" s="15"/>
      <c r="BBJ103" s="15"/>
      <c r="BBK103" s="15"/>
      <c r="BBL103" s="15"/>
      <c r="BBM103" s="15"/>
      <c r="BBN103" s="15"/>
      <c r="BBO103" s="15"/>
      <c r="BBP103" s="15"/>
      <c r="BBQ103" s="15"/>
      <c r="BBR103" s="15"/>
      <c r="BBS103" s="15"/>
      <c r="BBT103" s="15"/>
      <c r="BBU103" s="15"/>
      <c r="BBV103" s="15"/>
      <c r="BBW103" s="15"/>
      <c r="BBX103" s="15"/>
      <c r="BBY103" s="15"/>
      <c r="BBZ103" s="15"/>
      <c r="BCA103" s="15"/>
      <c r="BCB103" s="15"/>
      <c r="BCC103" s="15"/>
      <c r="BCD103" s="15"/>
      <c r="BCE103" s="15"/>
      <c r="BCF103" s="15"/>
      <c r="BCG103" s="15"/>
      <c r="BCH103" s="15"/>
      <c r="BCI103" s="15"/>
      <c r="BCJ103" s="15"/>
      <c r="BCK103" s="15"/>
      <c r="BCL103" s="15"/>
      <c r="BCM103" s="15"/>
      <c r="BCN103" s="15"/>
      <c r="BCO103" s="15"/>
      <c r="BCP103" s="15"/>
      <c r="BCQ103" s="15"/>
      <c r="BCR103" s="15"/>
      <c r="BCS103" s="15"/>
      <c r="BCT103" s="15"/>
      <c r="BCU103" s="15"/>
      <c r="BCV103" s="15"/>
      <c r="BCW103" s="15"/>
      <c r="BCX103" s="15"/>
      <c r="BCY103" s="15"/>
      <c r="BCZ103" s="15"/>
      <c r="BDA103" s="15"/>
      <c r="BDB103" s="15"/>
      <c r="BDC103" s="15"/>
      <c r="BDD103" s="15"/>
      <c r="BDE103" s="15"/>
      <c r="BDF103" s="15"/>
      <c r="BDG103" s="15"/>
      <c r="BDH103" s="15"/>
      <c r="BDI103" s="15"/>
      <c r="BDJ103" s="15"/>
      <c r="BDK103" s="15"/>
      <c r="BDL103" s="15"/>
      <c r="BDM103" s="15"/>
      <c r="BDN103" s="15"/>
      <c r="BDO103" s="15"/>
      <c r="BDP103" s="15"/>
      <c r="BDQ103" s="15"/>
      <c r="BDR103" s="15"/>
      <c r="BDS103" s="15"/>
      <c r="BDT103" s="15"/>
      <c r="BDU103" s="15"/>
      <c r="BDV103" s="15"/>
      <c r="BDW103" s="15"/>
      <c r="BDX103" s="15"/>
      <c r="BDY103" s="15"/>
      <c r="BDZ103" s="15"/>
      <c r="BEA103" s="15"/>
      <c r="BEB103" s="15"/>
      <c r="BEC103" s="15"/>
      <c r="BED103" s="15"/>
      <c r="BEE103" s="15"/>
      <c r="BEF103" s="15"/>
      <c r="BEG103" s="15"/>
      <c r="BEH103" s="15"/>
      <c r="BEI103" s="15"/>
      <c r="BEJ103" s="15"/>
      <c r="BEK103" s="15"/>
      <c r="BEL103" s="15"/>
      <c r="BEM103" s="15"/>
      <c r="BEN103" s="15"/>
      <c r="BEO103" s="15"/>
      <c r="BEP103" s="15"/>
      <c r="BEQ103" s="15"/>
      <c r="BER103" s="15"/>
      <c r="BES103" s="15"/>
      <c r="BET103" s="15"/>
      <c r="BEU103" s="15"/>
      <c r="BEV103" s="15"/>
      <c r="BEW103" s="15"/>
      <c r="BEX103" s="15"/>
      <c r="BEY103" s="15"/>
      <c r="BEZ103" s="15"/>
      <c r="BFA103" s="15"/>
      <c r="BFB103" s="15"/>
      <c r="BFC103" s="15"/>
      <c r="BFD103" s="15"/>
      <c r="BFE103" s="15"/>
      <c r="BFF103" s="15"/>
      <c r="BFG103" s="15"/>
      <c r="BFH103" s="15"/>
      <c r="BFI103" s="15"/>
      <c r="BFJ103" s="15"/>
      <c r="BFK103" s="15"/>
      <c r="BFL103" s="15"/>
      <c r="BFM103" s="15"/>
      <c r="BFN103" s="15"/>
      <c r="BFO103" s="15"/>
      <c r="BFP103" s="15"/>
      <c r="BFQ103" s="15"/>
      <c r="BFR103" s="15"/>
      <c r="BFS103" s="15"/>
      <c r="BFT103" s="15"/>
      <c r="BFU103" s="15"/>
      <c r="BFV103" s="15"/>
      <c r="BFW103" s="15"/>
      <c r="BFX103" s="15"/>
      <c r="BFY103" s="15"/>
      <c r="BFZ103" s="15"/>
      <c r="BGA103" s="15"/>
      <c r="BGB103" s="15"/>
      <c r="BGC103" s="15"/>
      <c r="BGD103" s="15"/>
      <c r="BGE103" s="15"/>
      <c r="BGF103" s="15"/>
      <c r="BGG103" s="15"/>
      <c r="BGH103" s="15"/>
      <c r="BGI103" s="15"/>
      <c r="BGJ103" s="15"/>
      <c r="BGK103" s="15"/>
      <c r="BGL103" s="15"/>
      <c r="BGM103" s="15"/>
      <c r="BGN103" s="15"/>
      <c r="BGO103" s="15"/>
      <c r="BGP103" s="15"/>
      <c r="BGQ103" s="15"/>
      <c r="BGR103" s="15"/>
      <c r="BGS103" s="15"/>
      <c r="BGT103" s="15"/>
      <c r="BGU103" s="15"/>
      <c r="BGV103" s="15"/>
      <c r="BGW103" s="15"/>
      <c r="BGX103" s="15"/>
      <c r="BGY103" s="15"/>
      <c r="BGZ103" s="15"/>
      <c r="BHA103" s="15"/>
      <c r="BHB103" s="15"/>
      <c r="BHC103" s="15"/>
      <c r="BHD103" s="15"/>
      <c r="BHE103" s="15"/>
      <c r="BHF103" s="15"/>
      <c r="BHG103" s="15"/>
      <c r="BHH103" s="15"/>
      <c r="BHI103" s="15"/>
      <c r="BHJ103" s="15"/>
      <c r="BHK103" s="15"/>
      <c r="BHL103" s="15"/>
      <c r="BHM103" s="15"/>
      <c r="BHN103" s="15"/>
      <c r="BHO103" s="15"/>
      <c r="BHP103" s="15"/>
      <c r="BHQ103" s="15"/>
      <c r="BHR103" s="15"/>
      <c r="BHS103" s="15"/>
      <c r="BHT103" s="15"/>
      <c r="BHU103" s="15"/>
      <c r="BHV103" s="15"/>
      <c r="BHW103" s="15"/>
      <c r="BHX103" s="15"/>
      <c r="BHY103" s="15"/>
      <c r="BHZ103" s="15"/>
      <c r="BIA103" s="15"/>
      <c r="BIB103" s="15"/>
      <c r="BIC103" s="15"/>
      <c r="BID103" s="15"/>
      <c r="BIE103" s="15"/>
      <c r="BIF103" s="15"/>
      <c r="BIG103" s="15"/>
      <c r="BIH103" s="15"/>
      <c r="BII103" s="15"/>
      <c r="BIJ103" s="15"/>
      <c r="BIK103" s="15"/>
      <c r="BIL103" s="15"/>
      <c r="BIM103" s="15"/>
      <c r="BIN103" s="15"/>
      <c r="BIO103" s="15"/>
      <c r="BIP103" s="15"/>
      <c r="BIQ103" s="15"/>
      <c r="BIR103" s="15"/>
      <c r="BIS103" s="15"/>
      <c r="BIT103" s="15"/>
      <c r="BIU103" s="15"/>
      <c r="BIV103" s="15"/>
      <c r="BIW103" s="15"/>
      <c r="BIX103" s="15"/>
      <c r="BIY103" s="15"/>
      <c r="BIZ103" s="15"/>
      <c r="BJA103" s="15"/>
      <c r="BJB103" s="15"/>
      <c r="BJC103" s="15"/>
      <c r="BJD103" s="15"/>
      <c r="BJE103" s="15"/>
      <c r="BJF103" s="15"/>
      <c r="BJG103" s="15"/>
      <c r="BJH103" s="15"/>
      <c r="BJI103" s="15"/>
      <c r="BJJ103" s="15"/>
      <c r="BJK103" s="15"/>
      <c r="BJL103" s="15"/>
      <c r="BJM103" s="15"/>
      <c r="BJN103" s="15"/>
      <c r="BJO103" s="15"/>
      <c r="BJP103" s="15"/>
      <c r="BJQ103" s="15"/>
      <c r="BJR103" s="15"/>
      <c r="BJS103" s="15"/>
      <c r="BJT103" s="15"/>
      <c r="BJU103" s="15"/>
      <c r="BJV103" s="15"/>
      <c r="BJW103" s="15"/>
      <c r="BJX103" s="15"/>
      <c r="BJY103" s="15"/>
      <c r="BJZ103" s="15"/>
      <c r="BKA103" s="15"/>
      <c r="BKB103" s="15"/>
      <c r="BKC103" s="15"/>
      <c r="BKD103" s="15"/>
      <c r="BKE103" s="15"/>
      <c r="BKF103" s="15"/>
      <c r="BKG103" s="15"/>
      <c r="BKH103" s="15"/>
      <c r="BKI103" s="15"/>
      <c r="BKJ103" s="15"/>
      <c r="BKK103" s="15"/>
      <c r="BKL103" s="15"/>
      <c r="BKM103" s="15"/>
      <c r="BKN103" s="15"/>
      <c r="BKO103" s="15"/>
      <c r="BKP103" s="15"/>
      <c r="BKQ103" s="15"/>
      <c r="BKR103" s="15"/>
      <c r="BKS103" s="15"/>
      <c r="BKT103" s="15"/>
      <c r="BKU103" s="15"/>
      <c r="BKV103" s="15"/>
      <c r="BKW103" s="15"/>
      <c r="BKX103" s="15"/>
      <c r="BKY103" s="15"/>
      <c r="BKZ103" s="15"/>
      <c r="BLA103" s="15"/>
      <c r="BLB103" s="15"/>
      <c r="BLC103" s="15"/>
      <c r="BLD103" s="15"/>
      <c r="BLE103" s="15"/>
      <c r="BLF103" s="15"/>
      <c r="BLG103" s="15"/>
      <c r="BLH103" s="15"/>
      <c r="BLI103" s="15"/>
      <c r="BLJ103" s="15"/>
      <c r="BLK103" s="15"/>
      <c r="BLL103" s="15"/>
      <c r="BLM103" s="15"/>
      <c r="BLN103" s="15"/>
      <c r="BLO103" s="15"/>
      <c r="BLP103" s="15"/>
      <c r="BLQ103" s="15"/>
      <c r="BLR103" s="15"/>
      <c r="BLS103" s="15"/>
      <c r="BLT103" s="15"/>
      <c r="BLU103" s="15"/>
      <c r="BLV103" s="15"/>
      <c r="BLW103" s="15"/>
      <c r="BLX103" s="15"/>
      <c r="BLY103" s="15"/>
      <c r="BLZ103" s="15"/>
      <c r="BMA103" s="15"/>
      <c r="BMB103" s="15"/>
      <c r="BMC103" s="15"/>
      <c r="BMD103" s="15"/>
      <c r="BME103" s="15"/>
      <c r="BMF103" s="15"/>
      <c r="BMG103" s="15"/>
      <c r="BMH103" s="15"/>
      <c r="BMI103" s="15"/>
      <c r="BMJ103" s="15"/>
      <c r="BMK103" s="15"/>
      <c r="BML103" s="15"/>
      <c r="BMM103" s="15"/>
      <c r="BMN103" s="15"/>
      <c r="BMO103" s="15"/>
      <c r="BMP103" s="15"/>
      <c r="BMQ103" s="15"/>
      <c r="BMR103" s="15"/>
      <c r="BMS103" s="15"/>
      <c r="BMT103" s="15"/>
      <c r="BMU103" s="15"/>
      <c r="BMV103" s="15"/>
      <c r="BMW103" s="15"/>
      <c r="BMX103" s="15"/>
      <c r="BMY103" s="15"/>
      <c r="BMZ103" s="15"/>
      <c r="BNA103" s="15"/>
      <c r="BNB103" s="15"/>
      <c r="BNC103" s="15"/>
      <c r="BND103" s="15"/>
      <c r="BNE103" s="15"/>
      <c r="BNF103" s="15"/>
      <c r="BNG103" s="15"/>
      <c r="BNH103" s="15"/>
      <c r="BNI103" s="15"/>
      <c r="BNJ103" s="15"/>
      <c r="BNK103" s="15"/>
      <c r="BNL103" s="15"/>
      <c r="BNM103" s="15"/>
      <c r="BNN103" s="15"/>
      <c r="BNO103" s="15"/>
      <c r="BNP103" s="15"/>
      <c r="BNQ103" s="15"/>
      <c r="BNR103" s="15"/>
      <c r="BNS103" s="15"/>
      <c r="BNT103" s="15"/>
      <c r="BNU103" s="15"/>
      <c r="BNV103" s="15"/>
      <c r="BNW103" s="15"/>
      <c r="BNX103" s="15"/>
      <c r="BNY103" s="15"/>
      <c r="BNZ103" s="15"/>
      <c r="BOA103" s="15"/>
      <c r="BOB103" s="15"/>
      <c r="BOC103" s="15"/>
      <c r="BOD103" s="15"/>
      <c r="BOE103" s="15"/>
      <c r="BOF103" s="15"/>
      <c r="BOG103" s="15"/>
      <c r="BOH103" s="15"/>
      <c r="BOI103" s="15"/>
      <c r="BOJ103" s="15"/>
      <c r="BOK103" s="15"/>
      <c r="BOL103" s="15"/>
      <c r="BOM103" s="15"/>
      <c r="BON103" s="15"/>
      <c r="BOO103" s="15"/>
      <c r="BOP103" s="15"/>
      <c r="BOQ103" s="15"/>
      <c r="BOR103" s="15"/>
      <c r="BOS103" s="15"/>
      <c r="BOT103" s="15"/>
      <c r="BOU103" s="15"/>
      <c r="BOV103" s="15"/>
      <c r="BOW103" s="15"/>
      <c r="BOX103" s="15"/>
      <c r="BOY103" s="15"/>
      <c r="BOZ103" s="15"/>
      <c r="BPA103" s="15"/>
      <c r="BPB103" s="15"/>
      <c r="BPC103" s="15"/>
      <c r="BPD103" s="15"/>
      <c r="BPE103" s="15"/>
      <c r="BPF103" s="15"/>
      <c r="BPG103" s="15"/>
      <c r="BPH103" s="15"/>
      <c r="BPI103" s="15"/>
      <c r="BPJ103" s="15"/>
      <c r="BPK103" s="15"/>
      <c r="BPL103" s="15"/>
      <c r="BPM103" s="15"/>
      <c r="BPN103" s="15"/>
      <c r="BPO103" s="15"/>
      <c r="BPP103" s="15"/>
      <c r="BPQ103" s="15"/>
      <c r="BPR103" s="15"/>
      <c r="BPS103" s="15"/>
      <c r="BPT103" s="15"/>
      <c r="BPU103" s="15"/>
      <c r="BPV103" s="15"/>
      <c r="BPW103" s="15"/>
      <c r="BPX103" s="15"/>
      <c r="BPY103" s="15"/>
      <c r="BPZ103" s="15"/>
      <c r="BQA103" s="15"/>
      <c r="BQB103" s="15"/>
      <c r="BQC103" s="15"/>
      <c r="BQD103" s="15"/>
      <c r="BQE103" s="15"/>
      <c r="BQF103" s="15"/>
      <c r="BQG103" s="15"/>
      <c r="BQH103" s="15"/>
      <c r="BQI103" s="15"/>
      <c r="BQJ103" s="15"/>
      <c r="BQK103" s="15"/>
      <c r="BQL103" s="15"/>
      <c r="BQM103" s="15"/>
      <c r="BQN103" s="15"/>
      <c r="BQO103" s="15"/>
      <c r="BQP103" s="15"/>
      <c r="BQQ103" s="15"/>
      <c r="BQR103" s="15"/>
      <c r="BQS103" s="15"/>
      <c r="BQT103" s="15"/>
      <c r="BQU103" s="15"/>
      <c r="BQV103" s="15"/>
      <c r="BQW103" s="15"/>
      <c r="BQX103" s="15"/>
      <c r="BQY103" s="15"/>
      <c r="BQZ103" s="15"/>
      <c r="BRA103" s="15"/>
      <c r="BRB103" s="15"/>
      <c r="BRC103" s="15"/>
      <c r="BRD103" s="15"/>
      <c r="BRE103" s="15"/>
      <c r="BRF103" s="15"/>
      <c r="BRG103" s="15"/>
      <c r="BRH103" s="15"/>
      <c r="BRI103" s="15"/>
      <c r="BRJ103" s="15"/>
      <c r="BRK103" s="15"/>
      <c r="BRL103" s="15"/>
      <c r="BRM103" s="15"/>
      <c r="BRN103" s="15"/>
      <c r="BRO103" s="15"/>
      <c r="BRP103" s="15"/>
      <c r="BRQ103" s="15"/>
      <c r="BRR103" s="15"/>
      <c r="BRS103" s="15"/>
      <c r="BRT103" s="15"/>
      <c r="BRU103" s="15"/>
      <c r="BRV103" s="15"/>
      <c r="BRW103" s="15"/>
      <c r="BRX103" s="15"/>
      <c r="BRY103" s="15"/>
      <c r="BRZ103" s="15"/>
      <c r="BSA103" s="15"/>
      <c r="BSB103" s="15"/>
      <c r="BSC103" s="15"/>
      <c r="BSD103" s="15"/>
      <c r="BSE103" s="15"/>
      <c r="BSF103" s="15"/>
      <c r="BSG103" s="15"/>
      <c r="BSH103" s="15"/>
      <c r="BSI103" s="15"/>
      <c r="BSJ103" s="15"/>
      <c r="BSK103" s="15"/>
      <c r="BSL103" s="15"/>
      <c r="BSM103" s="15"/>
      <c r="BSN103" s="15"/>
      <c r="BSO103" s="15"/>
      <c r="BSP103" s="15"/>
      <c r="BSQ103" s="15"/>
      <c r="BSR103" s="15"/>
      <c r="BSS103" s="15"/>
      <c r="BST103" s="15"/>
      <c r="BSU103" s="15"/>
      <c r="BSV103" s="15"/>
      <c r="BSW103" s="15"/>
      <c r="BSX103" s="15"/>
      <c r="BSY103" s="15"/>
      <c r="BSZ103" s="15"/>
      <c r="BTA103" s="15"/>
      <c r="BTB103" s="15"/>
      <c r="BTC103" s="15"/>
      <c r="BTD103" s="15"/>
      <c r="BTE103" s="15"/>
      <c r="BTF103" s="15"/>
      <c r="BTG103" s="15"/>
      <c r="BTH103" s="15"/>
      <c r="BTI103" s="15"/>
      <c r="BTJ103" s="15"/>
      <c r="BTK103" s="15"/>
      <c r="BTL103" s="15"/>
      <c r="BTM103" s="15"/>
      <c r="BTN103" s="15"/>
      <c r="BTO103" s="15"/>
      <c r="BTP103" s="15"/>
      <c r="BTQ103" s="15"/>
      <c r="BTR103" s="15"/>
      <c r="BTS103" s="15"/>
      <c r="BTT103" s="15"/>
      <c r="BTU103" s="15"/>
      <c r="BTV103" s="15"/>
      <c r="BTW103" s="15"/>
      <c r="BTX103" s="15"/>
      <c r="BTY103" s="15"/>
      <c r="BTZ103" s="15"/>
      <c r="BUA103" s="15"/>
      <c r="BUB103" s="15"/>
      <c r="BUC103" s="15"/>
      <c r="BUD103" s="15"/>
      <c r="BUE103" s="15"/>
      <c r="BUF103" s="15"/>
      <c r="BUG103" s="15"/>
      <c r="BUH103" s="15"/>
      <c r="BUI103" s="15"/>
      <c r="BUJ103" s="15"/>
      <c r="BUK103" s="15"/>
      <c r="BUL103" s="15"/>
      <c r="BUM103" s="15"/>
      <c r="BUN103" s="15"/>
      <c r="BUO103" s="15"/>
      <c r="BUP103" s="15"/>
      <c r="BUQ103" s="15"/>
      <c r="BUR103" s="15"/>
      <c r="BUS103" s="15"/>
      <c r="BUT103" s="15"/>
      <c r="BUU103" s="15"/>
      <c r="BUV103" s="15"/>
      <c r="BUW103" s="15"/>
      <c r="BUX103" s="15"/>
      <c r="BUY103" s="15"/>
      <c r="BUZ103" s="15"/>
      <c r="BVA103" s="15"/>
      <c r="BVB103" s="15"/>
      <c r="BVC103" s="15"/>
      <c r="BVD103" s="15"/>
      <c r="BVE103" s="15"/>
      <c r="BVF103" s="15"/>
      <c r="BVG103" s="15"/>
      <c r="BVH103" s="15"/>
      <c r="BVI103" s="15"/>
      <c r="BVJ103" s="15"/>
      <c r="BVK103" s="15"/>
      <c r="BVL103" s="15"/>
      <c r="BVM103" s="15"/>
      <c r="BVN103" s="15"/>
      <c r="BVO103" s="15"/>
      <c r="BVP103" s="15"/>
      <c r="BVQ103" s="15"/>
      <c r="BVR103" s="15"/>
      <c r="BVS103" s="15"/>
      <c r="BVT103" s="15"/>
      <c r="BVU103" s="15"/>
      <c r="BVV103" s="15"/>
      <c r="BVW103" s="15"/>
      <c r="BVX103" s="15"/>
      <c r="BVY103" s="15"/>
      <c r="BVZ103" s="15"/>
      <c r="BWA103" s="15"/>
      <c r="BWB103" s="15"/>
      <c r="BWC103" s="15"/>
      <c r="BWD103" s="15"/>
      <c r="BWE103" s="15"/>
      <c r="BWF103" s="15"/>
      <c r="BWG103" s="15"/>
      <c r="BWH103" s="15"/>
      <c r="BWI103" s="15"/>
      <c r="BWJ103" s="15"/>
      <c r="BWK103" s="15"/>
      <c r="BWL103" s="15"/>
      <c r="BWM103" s="15"/>
      <c r="BWN103" s="15"/>
      <c r="BWO103" s="15"/>
      <c r="BWP103" s="15"/>
      <c r="BWQ103" s="15"/>
      <c r="BWR103" s="15"/>
      <c r="BWS103" s="15"/>
      <c r="BWT103" s="15"/>
      <c r="BWU103" s="15"/>
      <c r="BWV103" s="15"/>
      <c r="BWW103" s="15"/>
      <c r="BWX103" s="15"/>
      <c r="BWY103" s="15"/>
      <c r="BWZ103" s="15"/>
      <c r="BXA103" s="15"/>
      <c r="BXB103" s="15"/>
      <c r="BXC103" s="15"/>
      <c r="BXD103" s="15"/>
      <c r="BXE103" s="15"/>
      <c r="BXF103" s="15"/>
      <c r="BXG103" s="15"/>
      <c r="BXH103" s="15"/>
      <c r="BXI103" s="15"/>
      <c r="BXJ103" s="15"/>
      <c r="BXK103" s="15"/>
      <c r="BXL103" s="15"/>
      <c r="BXM103" s="15"/>
      <c r="BXN103" s="15"/>
      <c r="BXO103" s="15"/>
      <c r="BXP103" s="15"/>
      <c r="BXQ103" s="15"/>
      <c r="BXR103" s="15"/>
      <c r="BXS103" s="15"/>
      <c r="BXT103" s="15"/>
      <c r="BXU103" s="15"/>
      <c r="BXV103" s="15"/>
      <c r="BXW103" s="15"/>
      <c r="BXX103" s="15"/>
      <c r="BXY103" s="15"/>
      <c r="BXZ103" s="15"/>
      <c r="BYA103" s="15"/>
      <c r="BYB103" s="15"/>
      <c r="BYC103" s="15"/>
      <c r="BYD103" s="15"/>
      <c r="BYE103" s="15"/>
      <c r="BYF103" s="15"/>
      <c r="BYG103" s="15"/>
      <c r="BYH103" s="15"/>
      <c r="BYI103" s="15"/>
      <c r="BYJ103" s="15"/>
      <c r="BYK103" s="15"/>
      <c r="BYL103" s="15"/>
      <c r="BYM103" s="15"/>
      <c r="BYN103" s="15"/>
      <c r="BYO103" s="15"/>
      <c r="BYP103" s="15"/>
      <c r="BYQ103" s="15"/>
      <c r="BYR103" s="15"/>
      <c r="BYS103" s="15"/>
      <c r="BYT103" s="15"/>
      <c r="BYU103" s="15"/>
      <c r="BYV103" s="15"/>
      <c r="BYW103" s="15"/>
      <c r="BYX103" s="15"/>
      <c r="BYY103" s="15"/>
      <c r="BYZ103" s="15"/>
      <c r="BZA103" s="15"/>
      <c r="BZB103" s="15"/>
      <c r="BZC103" s="15"/>
      <c r="BZD103" s="15"/>
      <c r="BZE103" s="15"/>
      <c r="BZF103" s="15"/>
      <c r="BZG103" s="15"/>
      <c r="BZH103" s="15"/>
      <c r="BZI103" s="15"/>
      <c r="BZJ103" s="15"/>
      <c r="BZK103" s="15"/>
      <c r="BZL103" s="15"/>
      <c r="BZM103" s="15"/>
      <c r="BZN103" s="15"/>
      <c r="BZO103" s="15"/>
      <c r="BZP103" s="15"/>
      <c r="BZQ103" s="15"/>
      <c r="BZR103" s="15"/>
      <c r="BZS103" s="15"/>
      <c r="BZT103" s="15"/>
      <c r="BZU103" s="15"/>
      <c r="BZV103" s="15"/>
      <c r="BZW103" s="15"/>
      <c r="BZX103" s="15"/>
      <c r="BZY103" s="15"/>
      <c r="BZZ103" s="15"/>
      <c r="CAA103" s="15"/>
      <c r="CAB103" s="15"/>
      <c r="CAC103" s="15"/>
      <c r="CAD103" s="15"/>
      <c r="CAE103" s="15"/>
      <c r="CAF103" s="15"/>
      <c r="CAG103" s="15"/>
      <c r="CAH103" s="15"/>
      <c r="CAI103" s="15"/>
      <c r="CAJ103" s="15"/>
      <c r="CAK103" s="15"/>
      <c r="CAL103" s="15"/>
      <c r="CAM103" s="15"/>
      <c r="CAN103" s="15"/>
      <c r="CAO103" s="15"/>
      <c r="CAP103" s="15"/>
      <c r="CAQ103" s="15"/>
      <c r="CAR103" s="15"/>
      <c r="CAS103" s="15"/>
      <c r="CAT103" s="15"/>
      <c r="CAU103" s="15"/>
      <c r="CAV103" s="15"/>
      <c r="CAW103" s="15"/>
      <c r="CAX103" s="15"/>
      <c r="CAY103" s="15"/>
      <c r="CAZ103" s="15"/>
      <c r="CBA103" s="15"/>
      <c r="CBB103" s="15"/>
      <c r="CBC103" s="15"/>
      <c r="CBD103" s="15"/>
      <c r="CBE103" s="15"/>
      <c r="CBF103" s="15"/>
      <c r="CBG103" s="15"/>
      <c r="CBH103" s="15"/>
    </row>
    <row r="104" spans="1:16372" s="47" customFormat="1" x14ac:dyDescent="0.2">
      <c r="A104" s="1" t="s">
        <v>93</v>
      </c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  <c r="MH104" s="15"/>
      <c r="MI104" s="15"/>
      <c r="MJ104" s="15"/>
      <c r="MK104" s="15"/>
      <c r="ML104" s="15"/>
      <c r="MM104" s="15"/>
      <c r="MN104" s="15"/>
      <c r="MO104" s="15"/>
      <c r="MP104" s="15"/>
      <c r="MQ104" s="15"/>
      <c r="MR104" s="15"/>
      <c r="MS104" s="15"/>
      <c r="MT104" s="15"/>
      <c r="MU104" s="15"/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  <c r="OA104" s="15"/>
      <c r="OB104" s="15"/>
      <c r="OC104" s="15"/>
      <c r="OD104" s="15"/>
      <c r="OE104" s="15"/>
      <c r="OF104" s="15"/>
      <c r="OG104" s="15"/>
      <c r="OH104" s="15"/>
      <c r="OI104" s="15"/>
      <c r="OJ104" s="15"/>
      <c r="OK104" s="15"/>
      <c r="OL104" s="15"/>
      <c r="OM104" s="15"/>
      <c r="ON104" s="15"/>
      <c r="OO104" s="15"/>
      <c r="OP104" s="15"/>
      <c r="OQ104" s="15"/>
      <c r="OR104" s="15"/>
      <c r="OS104" s="15"/>
      <c r="OT104" s="15"/>
      <c r="OU104" s="15"/>
      <c r="OV104" s="15"/>
      <c r="OW104" s="15"/>
      <c r="OX104" s="15"/>
      <c r="OY104" s="15"/>
      <c r="OZ104" s="15"/>
      <c r="PA104" s="15"/>
      <c r="PB104" s="15"/>
      <c r="PC104" s="15"/>
      <c r="PD104" s="15"/>
      <c r="PE104" s="15"/>
      <c r="PF104" s="15"/>
      <c r="PG104" s="15"/>
      <c r="PH104" s="15"/>
      <c r="PI104" s="15"/>
      <c r="PJ104" s="15"/>
      <c r="PK104" s="15"/>
      <c r="PL104" s="15"/>
      <c r="PM104" s="15"/>
      <c r="PN104" s="15"/>
      <c r="PO104" s="15"/>
      <c r="PP104" s="15"/>
      <c r="PQ104" s="15"/>
      <c r="PR104" s="15"/>
      <c r="PS104" s="15"/>
      <c r="PT104" s="15"/>
      <c r="PU104" s="15"/>
      <c r="PV104" s="15"/>
      <c r="PW104" s="15"/>
      <c r="PX104" s="15"/>
      <c r="PY104" s="15"/>
      <c r="PZ104" s="15"/>
      <c r="QA104" s="15"/>
      <c r="QB104" s="15"/>
      <c r="QC104" s="15"/>
      <c r="QD104" s="15"/>
      <c r="QE104" s="15"/>
      <c r="QF104" s="15"/>
      <c r="QG104" s="15"/>
      <c r="QH104" s="15"/>
      <c r="QI104" s="15"/>
      <c r="QJ104" s="15"/>
      <c r="QK104" s="15"/>
      <c r="QL104" s="15"/>
      <c r="QM104" s="15"/>
      <c r="QN104" s="15"/>
      <c r="QO104" s="15"/>
      <c r="QP104" s="15"/>
      <c r="QQ104" s="15"/>
      <c r="QR104" s="15"/>
      <c r="QS104" s="15"/>
      <c r="QT104" s="15"/>
      <c r="QU104" s="15"/>
      <c r="QV104" s="15"/>
      <c r="QW104" s="15"/>
      <c r="QX104" s="15"/>
      <c r="QY104" s="15"/>
      <c r="QZ104" s="15"/>
      <c r="RA104" s="15"/>
      <c r="RB104" s="15"/>
      <c r="RC104" s="15"/>
      <c r="RD104" s="15"/>
      <c r="RE104" s="15"/>
      <c r="RF104" s="15"/>
      <c r="RG104" s="15"/>
      <c r="RH104" s="15"/>
      <c r="RI104" s="15"/>
      <c r="RJ104" s="15"/>
      <c r="RK104" s="15"/>
      <c r="RL104" s="15"/>
      <c r="RM104" s="15"/>
      <c r="RN104" s="15"/>
      <c r="RO104" s="15"/>
      <c r="RP104" s="15"/>
      <c r="RQ104" s="15"/>
      <c r="RR104" s="15"/>
      <c r="RS104" s="15"/>
      <c r="RT104" s="15"/>
      <c r="RU104" s="15"/>
      <c r="RV104" s="15"/>
      <c r="RW104" s="15"/>
      <c r="RX104" s="15"/>
      <c r="RY104" s="15"/>
      <c r="RZ104" s="15"/>
      <c r="SA104" s="15"/>
      <c r="SB104" s="15"/>
      <c r="SC104" s="15"/>
      <c r="SD104" s="15"/>
      <c r="SE104" s="15"/>
      <c r="SF104" s="15"/>
      <c r="SG104" s="15"/>
      <c r="SH104" s="15"/>
      <c r="SI104" s="15"/>
      <c r="SJ104" s="15"/>
      <c r="SK104" s="15"/>
      <c r="SL104" s="15"/>
      <c r="SM104" s="15"/>
      <c r="SN104" s="15"/>
      <c r="SO104" s="15"/>
      <c r="SP104" s="15"/>
      <c r="SQ104" s="15"/>
      <c r="SR104" s="15"/>
      <c r="SS104" s="15"/>
      <c r="ST104" s="15"/>
      <c r="SU104" s="15"/>
      <c r="SV104" s="15"/>
      <c r="SW104" s="15"/>
      <c r="SX104" s="15"/>
      <c r="SY104" s="15"/>
      <c r="SZ104" s="15"/>
      <c r="TA104" s="15"/>
      <c r="TB104" s="15"/>
      <c r="TC104" s="15"/>
      <c r="TD104" s="15"/>
      <c r="TE104" s="15"/>
      <c r="TF104" s="15"/>
      <c r="TG104" s="15"/>
      <c r="TH104" s="15"/>
      <c r="TI104" s="15"/>
      <c r="TJ104" s="15"/>
      <c r="TK104" s="15"/>
      <c r="TL104" s="15"/>
      <c r="TM104" s="15"/>
      <c r="TN104" s="15"/>
      <c r="TO104" s="15"/>
      <c r="TP104" s="15"/>
      <c r="TQ104" s="15"/>
      <c r="TR104" s="15"/>
      <c r="TS104" s="15"/>
      <c r="TT104" s="15"/>
      <c r="TU104" s="15"/>
      <c r="TV104" s="15"/>
      <c r="TW104" s="15"/>
      <c r="TX104" s="15"/>
      <c r="TY104" s="15"/>
      <c r="TZ104" s="15"/>
      <c r="UA104" s="15"/>
      <c r="UB104" s="15"/>
      <c r="UC104" s="15"/>
      <c r="UD104" s="15"/>
      <c r="UE104" s="15"/>
      <c r="UF104" s="15"/>
      <c r="UG104" s="15"/>
      <c r="UH104" s="15"/>
      <c r="UI104" s="15"/>
      <c r="UJ104" s="15"/>
      <c r="UK104" s="15"/>
      <c r="UL104" s="15"/>
      <c r="UM104" s="15"/>
      <c r="UN104" s="15"/>
      <c r="UO104" s="15"/>
      <c r="UP104" s="15"/>
      <c r="UQ104" s="15"/>
      <c r="UR104" s="15"/>
      <c r="US104" s="15"/>
      <c r="UT104" s="15"/>
      <c r="UU104" s="15"/>
      <c r="UV104" s="15"/>
      <c r="UW104" s="15"/>
      <c r="UX104" s="15"/>
      <c r="UY104" s="15"/>
      <c r="UZ104" s="15"/>
      <c r="VA104" s="15"/>
      <c r="VB104" s="15"/>
      <c r="VC104" s="15"/>
      <c r="VD104" s="15"/>
      <c r="VE104" s="15"/>
      <c r="VF104" s="15"/>
      <c r="VG104" s="15"/>
      <c r="VH104" s="15"/>
      <c r="VI104" s="15"/>
      <c r="VJ104" s="15"/>
      <c r="VK104" s="15"/>
      <c r="VL104" s="15"/>
      <c r="VM104" s="15"/>
      <c r="VN104" s="15"/>
      <c r="VO104" s="15"/>
      <c r="VP104" s="15"/>
      <c r="VQ104" s="15"/>
      <c r="VR104" s="15"/>
      <c r="VS104" s="15"/>
      <c r="VT104" s="15"/>
      <c r="VU104" s="15"/>
      <c r="VV104" s="15"/>
      <c r="VW104" s="15"/>
      <c r="VX104" s="15"/>
      <c r="VY104" s="15"/>
      <c r="VZ104" s="15"/>
      <c r="WA104" s="15"/>
      <c r="WB104" s="15"/>
      <c r="WC104" s="15"/>
      <c r="WD104" s="15"/>
      <c r="WE104" s="15"/>
      <c r="WF104" s="15"/>
      <c r="WG104" s="15"/>
      <c r="WH104" s="15"/>
      <c r="WI104" s="15"/>
      <c r="WJ104" s="15"/>
      <c r="WK104" s="15"/>
      <c r="WL104" s="15"/>
      <c r="WM104" s="15"/>
      <c r="WN104" s="15"/>
      <c r="WO104" s="15"/>
      <c r="WP104" s="15"/>
      <c r="WQ104" s="15"/>
      <c r="WR104" s="15"/>
      <c r="WS104" s="15"/>
      <c r="WT104" s="15"/>
      <c r="WU104" s="15"/>
      <c r="WV104" s="15"/>
      <c r="WW104" s="15"/>
      <c r="WX104" s="15"/>
      <c r="WY104" s="15"/>
      <c r="WZ104" s="15"/>
      <c r="XA104" s="15"/>
      <c r="XB104" s="15"/>
      <c r="XC104" s="15"/>
      <c r="XD104" s="15"/>
      <c r="XE104" s="15"/>
      <c r="XF104" s="15"/>
      <c r="XG104" s="15"/>
      <c r="XH104" s="15"/>
      <c r="XI104" s="15"/>
      <c r="XJ104" s="15"/>
      <c r="XK104" s="15"/>
      <c r="XL104" s="15"/>
      <c r="XM104" s="15"/>
      <c r="XN104" s="15"/>
      <c r="XO104" s="15"/>
      <c r="XP104" s="15"/>
      <c r="XQ104" s="15"/>
      <c r="XR104" s="15"/>
      <c r="XS104" s="15"/>
      <c r="XT104" s="15"/>
      <c r="XU104" s="15"/>
      <c r="XV104" s="15"/>
      <c r="XW104" s="15"/>
      <c r="XX104" s="15"/>
      <c r="XY104" s="15"/>
      <c r="XZ104" s="15"/>
      <c r="YA104" s="15"/>
      <c r="YB104" s="15"/>
      <c r="YC104" s="15"/>
      <c r="YD104" s="15"/>
      <c r="YE104" s="15"/>
      <c r="YF104" s="15"/>
      <c r="YG104" s="15"/>
      <c r="YH104" s="15"/>
      <c r="YI104" s="15"/>
      <c r="YJ104" s="15"/>
      <c r="YK104" s="15"/>
      <c r="YL104" s="15"/>
      <c r="YM104" s="15"/>
      <c r="YN104" s="15"/>
      <c r="YO104" s="15"/>
      <c r="YP104" s="15"/>
      <c r="YQ104" s="15"/>
      <c r="YR104" s="15"/>
      <c r="YS104" s="15"/>
      <c r="YT104" s="15"/>
      <c r="YU104" s="15"/>
      <c r="YV104" s="15"/>
      <c r="YW104" s="15"/>
      <c r="YX104" s="15"/>
      <c r="YY104" s="15"/>
      <c r="YZ104" s="15"/>
      <c r="ZA104" s="15"/>
      <c r="ZB104" s="15"/>
      <c r="ZC104" s="15"/>
      <c r="ZD104" s="15"/>
      <c r="ZE104" s="15"/>
      <c r="ZF104" s="15"/>
      <c r="ZG104" s="15"/>
      <c r="ZH104" s="15"/>
      <c r="ZI104" s="15"/>
      <c r="ZJ104" s="15"/>
      <c r="ZK104" s="15"/>
      <c r="ZL104" s="15"/>
      <c r="ZM104" s="15"/>
      <c r="ZN104" s="15"/>
      <c r="ZO104" s="15"/>
      <c r="ZP104" s="15"/>
      <c r="ZQ104" s="15"/>
      <c r="ZR104" s="15"/>
      <c r="ZS104" s="15"/>
      <c r="ZT104" s="15"/>
      <c r="ZU104" s="15"/>
      <c r="ZV104" s="15"/>
      <c r="ZW104" s="15"/>
      <c r="ZX104" s="15"/>
      <c r="ZY104" s="15"/>
      <c r="ZZ104" s="15"/>
      <c r="AAA104" s="15"/>
      <c r="AAB104" s="15"/>
      <c r="AAC104" s="15"/>
      <c r="AAD104" s="15"/>
      <c r="AAE104" s="15"/>
      <c r="AAF104" s="15"/>
      <c r="AAG104" s="15"/>
      <c r="AAH104" s="15"/>
      <c r="AAI104" s="15"/>
      <c r="AAJ104" s="15"/>
      <c r="AAK104" s="15"/>
      <c r="AAL104" s="15"/>
      <c r="AAM104" s="15"/>
      <c r="AAN104" s="15"/>
      <c r="AAO104" s="15"/>
      <c r="AAP104" s="15"/>
      <c r="AAQ104" s="15"/>
      <c r="AAR104" s="15"/>
      <c r="AAS104" s="15"/>
      <c r="AAT104" s="15"/>
      <c r="AAU104" s="15"/>
      <c r="AAV104" s="15"/>
      <c r="AAW104" s="15"/>
      <c r="AAX104" s="15"/>
      <c r="AAY104" s="15"/>
      <c r="AAZ104" s="15"/>
      <c r="ABA104" s="15"/>
      <c r="ABB104" s="15"/>
      <c r="ABC104" s="15"/>
      <c r="ABD104" s="15"/>
      <c r="ABE104" s="15"/>
      <c r="ABF104" s="15"/>
      <c r="ABG104" s="15"/>
      <c r="ABH104" s="15"/>
      <c r="ABI104" s="15"/>
      <c r="ABJ104" s="15"/>
      <c r="ABK104" s="15"/>
      <c r="ABL104" s="15"/>
      <c r="ABM104" s="15"/>
      <c r="ABN104" s="15"/>
      <c r="ABO104" s="15"/>
      <c r="ABP104" s="15"/>
      <c r="ABQ104" s="15"/>
      <c r="ABR104" s="15"/>
      <c r="ABS104" s="15"/>
      <c r="ABT104" s="15"/>
      <c r="ABU104" s="15"/>
      <c r="ABV104" s="15"/>
      <c r="ABW104" s="15"/>
      <c r="ABX104" s="15"/>
      <c r="ABY104" s="15"/>
      <c r="ABZ104" s="15"/>
      <c r="ACA104" s="15"/>
      <c r="ACB104" s="15"/>
      <c r="ACC104" s="15"/>
      <c r="ACD104" s="15"/>
      <c r="ACE104" s="15"/>
      <c r="ACF104" s="15"/>
      <c r="ACG104" s="15"/>
      <c r="ACH104" s="15"/>
      <c r="ACI104" s="15"/>
      <c r="ACJ104" s="15"/>
      <c r="ACK104" s="15"/>
      <c r="ACL104" s="15"/>
      <c r="ACM104" s="15"/>
      <c r="ACN104" s="15"/>
      <c r="ACO104" s="15"/>
      <c r="ACP104" s="15"/>
      <c r="ACQ104" s="15"/>
      <c r="ACR104" s="15"/>
      <c r="ACS104" s="15"/>
      <c r="ACT104" s="15"/>
      <c r="ACU104" s="15"/>
      <c r="ACV104" s="15"/>
      <c r="ACW104" s="15"/>
      <c r="ACX104" s="15"/>
      <c r="ACY104" s="15"/>
      <c r="ACZ104" s="15"/>
      <c r="ADA104" s="15"/>
      <c r="ADB104" s="15"/>
      <c r="ADC104" s="15"/>
      <c r="ADD104" s="15"/>
      <c r="ADE104" s="15"/>
      <c r="ADF104" s="15"/>
      <c r="ADG104" s="15"/>
      <c r="ADH104" s="15"/>
      <c r="ADI104" s="15"/>
      <c r="ADJ104" s="15"/>
      <c r="ADK104" s="15"/>
      <c r="ADL104" s="15"/>
      <c r="ADM104" s="15"/>
      <c r="ADN104" s="15"/>
      <c r="ADO104" s="15"/>
      <c r="ADP104" s="15"/>
      <c r="ADQ104" s="15"/>
      <c r="ADR104" s="15"/>
      <c r="ADS104" s="15"/>
      <c r="ADT104" s="15"/>
      <c r="ADU104" s="15"/>
      <c r="ADV104" s="15"/>
      <c r="ADW104" s="15"/>
      <c r="ADX104" s="15"/>
      <c r="ADY104" s="15"/>
      <c r="ADZ104" s="15"/>
      <c r="AEA104" s="15"/>
      <c r="AEB104" s="15"/>
      <c r="AEC104" s="15"/>
      <c r="AED104" s="15"/>
      <c r="AEE104" s="15"/>
      <c r="AEF104" s="15"/>
      <c r="AEG104" s="15"/>
      <c r="AEH104" s="15"/>
      <c r="AEI104" s="15"/>
      <c r="AEJ104" s="15"/>
      <c r="AEK104" s="15"/>
      <c r="AEL104" s="15"/>
      <c r="AEM104" s="15"/>
      <c r="AEN104" s="15"/>
      <c r="AEO104" s="15"/>
      <c r="AEP104" s="15"/>
      <c r="AEQ104" s="15"/>
      <c r="AER104" s="15"/>
      <c r="AES104" s="15"/>
      <c r="AET104" s="15"/>
      <c r="AEU104" s="15"/>
      <c r="AEV104" s="15"/>
      <c r="AEW104" s="15"/>
      <c r="AEX104" s="15"/>
      <c r="AEY104" s="15"/>
      <c r="AEZ104" s="15"/>
      <c r="AFA104" s="15"/>
      <c r="AFB104" s="15"/>
      <c r="AFC104" s="15"/>
      <c r="AFD104" s="15"/>
      <c r="AFE104" s="15"/>
      <c r="AFF104" s="15"/>
      <c r="AFG104" s="15"/>
      <c r="AFH104" s="15"/>
      <c r="AFI104" s="15"/>
      <c r="AFJ104" s="15"/>
      <c r="AFK104" s="15"/>
      <c r="AFL104" s="15"/>
      <c r="AFM104" s="15"/>
      <c r="AFN104" s="15"/>
      <c r="AFO104" s="15"/>
      <c r="AFP104" s="15"/>
      <c r="AFQ104" s="15"/>
      <c r="AFR104" s="15"/>
      <c r="AFS104" s="15"/>
      <c r="AFT104" s="15"/>
      <c r="AFU104" s="15"/>
      <c r="AFV104" s="15"/>
      <c r="AFW104" s="15"/>
      <c r="AFX104" s="15"/>
      <c r="AFY104" s="15"/>
      <c r="AFZ104" s="15"/>
      <c r="AGA104" s="15"/>
      <c r="AGB104" s="15"/>
      <c r="AGC104" s="15"/>
      <c r="AGD104" s="15"/>
      <c r="AGE104" s="15"/>
      <c r="AGF104" s="15"/>
      <c r="AGG104" s="15"/>
      <c r="AGH104" s="15"/>
      <c r="AGI104" s="15"/>
      <c r="AGJ104" s="15"/>
      <c r="AGK104" s="15"/>
      <c r="AGL104" s="15"/>
      <c r="AGM104" s="15"/>
      <c r="AGN104" s="15"/>
      <c r="AGO104" s="15"/>
      <c r="AGP104" s="15"/>
      <c r="AGQ104" s="15"/>
      <c r="AGR104" s="15"/>
      <c r="AGS104" s="15"/>
      <c r="AGT104" s="15"/>
      <c r="AGU104" s="15"/>
      <c r="AGV104" s="15"/>
      <c r="AGW104" s="15"/>
      <c r="AGX104" s="15"/>
      <c r="AGY104" s="15"/>
      <c r="AGZ104" s="15"/>
      <c r="AHA104" s="15"/>
      <c r="AHB104" s="15"/>
      <c r="AHC104" s="15"/>
      <c r="AHD104" s="15"/>
      <c r="AHE104" s="15"/>
      <c r="AHF104" s="15"/>
      <c r="AHG104" s="15"/>
      <c r="AHH104" s="15"/>
      <c r="AHI104" s="15"/>
      <c r="AHJ104" s="15"/>
      <c r="AHK104" s="15"/>
      <c r="AHL104" s="15"/>
      <c r="AHM104" s="15"/>
      <c r="AHN104" s="15"/>
      <c r="AHO104" s="15"/>
      <c r="AHP104" s="15"/>
      <c r="AHQ104" s="15"/>
      <c r="AHR104" s="15"/>
      <c r="AHS104" s="15"/>
      <c r="AHT104" s="15"/>
      <c r="AHU104" s="15"/>
      <c r="AHV104" s="15"/>
      <c r="AHW104" s="15"/>
      <c r="AHX104" s="15"/>
      <c r="AHY104" s="15"/>
      <c r="AHZ104" s="15"/>
      <c r="AIA104" s="15"/>
      <c r="AIB104" s="15"/>
      <c r="AIC104" s="15"/>
      <c r="AID104" s="15"/>
      <c r="AIE104" s="15"/>
      <c r="AIF104" s="15"/>
      <c r="AIG104" s="15"/>
      <c r="AIH104" s="15"/>
      <c r="AII104" s="15"/>
      <c r="AIJ104" s="15"/>
      <c r="AIK104" s="15"/>
      <c r="AIL104" s="15"/>
      <c r="AIM104" s="15"/>
      <c r="AIN104" s="15"/>
      <c r="AIO104" s="15"/>
      <c r="AIP104" s="15"/>
      <c r="AIQ104" s="15"/>
      <c r="AIR104" s="15"/>
      <c r="AIS104" s="15"/>
      <c r="AIT104" s="15"/>
      <c r="AIU104" s="15"/>
      <c r="AIV104" s="15"/>
      <c r="AIW104" s="15"/>
      <c r="AIX104" s="15"/>
      <c r="AIY104" s="15"/>
      <c r="AIZ104" s="15"/>
      <c r="AJA104" s="15"/>
      <c r="AJB104" s="15"/>
      <c r="AJC104" s="15"/>
      <c r="AJD104" s="15"/>
      <c r="AJE104" s="15"/>
      <c r="AJF104" s="15"/>
      <c r="AJG104" s="15"/>
      <c r="AJH104" s="15"/>
      <c r="AJI104" s="15"/>
      <c r="AJJ104" s="15"/>
      <c r="AJK104" s="15"/>
      <c r="AJL104" s="15"/>
      <c r="AJM104" s="15"/>
      <c r="AJN104" s="15"/>
      <c r="AJO104" s="15"/>
      <c r="AJP104" s="15"/>
      <c r="AJQ104" s="15"/>
      <c r="AJR104" s="15"/>
      <c r="AJS104" s="15"/>
      <c r="AJT104" s="15"/>
      <c r="AJU104" s="15"/>
      <c r="AJV104" s="15"/>
      <c r="AJW104" s="15"/>
      <c r="AJX104" s="15"/>
      <c r="AJY104" s="15"/>
      <c r="AJZ104" s="15"/>
      <c r="AKA104" s="15"/>
      <c r="AKB104" s="15"/>
      <c r="AKC104" s="15"/>
      <c r="AKD104" s="15"/>
      <c r="AKE104" s="15"/>
      <c r="AKF104" s="15"/>
      <c r="AKG104" s="15"/>
      <c r="AKH104" s="15"/>
      <c r="AKI104" s="15"/>
      <c r="AKJ104" s="15"/>
      <c r="AKK104" s="15"/>
      <c r="AKL104" s="15"/>
      <c r="AKM104" s="15"/>
      <c r="AKN104" s="15"/>
      <c r="AKO104" s="15"/>
      <c r="AKP104" s="15"/>
      <c r="AKQ104" s="15"/>
      <c r="AKR104" s="15"/>
      <c r="AKS104" s="15"/>
      <c r="AKT104" s="15"/>
      <c r="AKU104" s="15"/>
      <c r="AKV104" s="15"/>
      <c r="AKW104" s="15"/>
      <c r="AKX104" s="15"/>
      <c r="AKY104" s="15"/>
      <c r="AKZ104" s="15"/>
      <c r="ALA104" s="15"/>
      <c r="ALB104" s="15"/>
      <c r="ALC104" s="15"/>
      <c r="ALD104" s="15"/>
      <c r="ALE104" s="15"/>
      <c r="ALF104" s="15"/>
      <c r="ALG104" s="15"/>
      <c r="ALH104" s="15"/>
      <c r="ALI104" s="15"/>
      <c r="ALJ104" s="15"/>
      <c r="ALK104" s="15"/>
      <c r="ALL104" s="15"/>
      <c r="ALM104" s="15"/>
      <c r="ALN104" s="15"/>
      <c r="ALO104" s="15"/>
      <c r="ALP104" s="15"/>
      <c r="ALQ104" s="15"/>
      <c r="ALR104" s="15"/>
      <c r="ALS104" s="15"/>
      <c r="ALT104" s="15"/>
      <c r="ALU104" s="15"/>
      <c r="ALV104" s="15"/>
      <c r="ALW104" s="15"/>
      <c r="ALX104" s="15"/>
      <c r="ALY104" s="15"/>
      <c r="ALZ104" s="15"/>
      <c r="AMA104" s="15"/>
      <c r="AMB104" s="15"/>
      <c r="AMC104" s="15"/>
      <c r="AMD104" s="15"/>
      <c r="AME104" s="15"/>
      <c r="AMF104" s="15"/>
      <c r="AMG104" s="15"/>
      <c r="AMH104" s="15"/>
      <c r="AMI104" s="15"/>
      <c r="AMJ104" s="15"/>
      <c r="AMK104" s="15"/>
      <c r="AML104" s="15"/>
      <c r="AMM104" s="15"/>
      <c r="AMN104" s="15"/>
      <c r="AMO104" s="15"/>
      <c r="AMP104" s="15"/>
      <c r="AMQ104" s="15"/>
      <c r="AMR104" s="15"/>
      <c r="AMS104" s="15"/>
      <c r="AMT104" s="15"/>
      <c r="AMU104" s="15"/>
      <c r="AMV104" s="15"/>
      <c r="AMW104" s="15"/>
      <c r="AMX104" s="15"/>
      <c r="AMY104" s="15"/>
      <c r="AMZ104" s="15"/>
      <c r="ANA104" s="15"/>
      <c r="ANB104" s="15"/>
      <c r="ANC104" s="15"/>
      <c r="AND104" s="15"/>
      <c r="ANE104" s="15"/>
      <c r="ANF104" s="15"/>
      <c r="ANG104" s="15"/>
      <c r="ANH104" s="15"/>
      <c r="ANI104" s="15"/>
      <c r="ANJ104" s="15"/>
      <c r="ANK104" s="15"/>
      <c r="ANL104" s="15"/>
      <c r="ANM104" s="15"/>
      <c r="ANN104" s="15"/>
      <c r="ANO104" s="15"/>
      <c r="ANP104" s="15"/>
      <c r="ANQ104" s="15"/>
      <c r="ANR104" s="15"/>
      <c r="ANS104" s="15"/>
      <c r="ANT104" s="15"/>
      <c r="ANU104" s="15"/>
      <c r="ANV104" s="15"/>
      <c r="ANW104" s="15"/>
      <c r="ANX104" s="15"/>
      <c r="ANY104" s="15"/>
      <c r="ANZ104" s="15"/>
      <c r="AOA104" s="15"/>
      <c r="AOB104" s="15"/>
      <c r="AOC104" s="15"/>
      <c r="AOD104" s="15"/>
      <c r="AOE104" s="15"/>
      <c r="AOF104" s="15"/>
      <c r="AOG104" s="15"/>
      <c r="AOH104" s="15"/>
      <c r="AOI104" s="15"/>
      <c r="AOJ104" s="15"/>
      <c r="AOK104" s="15"/>
      <c r="AOL104" s="15"/>
      <c r="AOM104" s="15"/>
      <c r="AON104" s="15"/>
      <c r="AOO104" s="15"/>
      <c r="AOP104" s="15"/>
      <c r="AOQ104" s="15"/>
      <c r="AOR104" s="15"/>
      <c r="AOS104" s="15"/>
      <c r="AOT104" s="15"/>
      <c r="AOU104" s="15"/>
      <c r="AOV104" s="15"/>
      <c r="AOW104" s="15"/>
      <c r="AOX104" s="15"/>
      <c r="AOY104" s="15"/>
      <c r="AOZ104" s="15"/>
      <c r="APA104" s="15"/>
      <c r="APB104" s="15"/>
      <c r="APC104" s="15"/>
      <c r="APD104" s="15"/>
      <c r="APE104" s="15"/>
      <c r="APF104" s="15"/>
      <c r="APG104" s="15"/>
      <c r="APH104" s="15"/>
      <c r="API104" s="15"/>
      <c r="APJ104" s="15"/>
      <c r="APK104" s="15"/>
      <c r="APL104" s="15"/>
      <c r="APM104" s="15"/>
      <c r="APN104" s="15"/>
      <c r="APO104" s="15"/>
      <c r="APP104" s="15"/>
      <c r="APQ104" s="15"/>
      <c r="APR104" s="15"/>
      <c r="APS104" s="15"/>
      <c r="APT104" s="15"/>
      <c r="APU104" s="15"/>
      <c r="APV104" s="15"/>
      <c r="APW104" s="15"/>
      <c r="APX104" s="15"/>
      <c r="APY104" s="15"/>
      <c r="APZ104" s="15"/>
      <c r="AQA104" s="15"/>
      <c r="AQB104" s="15"/>
      <c r="AQC104" s="15"/>
      <c r="AQD104" s="15"/>
      <c r="AQE104" s="15"/>
      <c r="AQF104" s="15"/>
      <c r="AQG104" s="15"/>
      <c r="AQH104" s="15"/>
      <c r="AQI104" s="15"/>
      <c r="AQJ104" s="15"/>
      <c r="AQK104" s="15"/>
      <c r="AQL104" s="15"/>
      <c r="AQM104" s="15"/>
      <c r="AQN104" s="15"/>
      <c r="AQO104" s="15"/>
      <c r="AQP104" s="15"/>
      <c r="AQQ104" s="15"/>
      <c r="AQR104" s="15"/>
      <c r="AQS104" s="15"/>
      <c r="AQT104" s="15"/>
      <c r="AQU104" s="15"/>
      <c r="AQV104" s="15"/>
      <c r="AQW104" s="15"/>
      <c r="AQX104" s="15"/>
      <c r="AQY104" s="15"/>
      <c r="AQZ104" s="15"/>
      <c r="ARA104" s="15"/>
      <c r="ARB104" s="15"/>
      <c r="ARC104" s="15"/>
      <c r="ARD104" s="15"/>
      <c r="ARE104" s="15"/>
      <c r="ARF104" s="15"/>
      <c r="ARG104" s="15"/>
      <c r="ARH104" s="15"/>
      <c r="ARI104" s="15"/>
      <c r="ARJ104" s="15"/>
      <c r="ARK104" s="15"/>
      <c r="ARL104" s="15"/>
      <c r="ARM104" s="15"/>
      <c r="ARN104" s="15"/>
      <c r="ARO104" s="15"/>
      <c r="ARP104" s="15"/>
      <c r="ARQ104" s="15"/>
      <c r="ARR104" s="15"/>
      <c r="ARS104" s="15"/>
      <c r="ART104" s="15"/>
      <c r="ARU104" s="15"/>
      <c r="ARV104" s="15"/>
      <c r="ARW104" s="15"/>
      <c r="ARX104" s="15"/>
      <c r="ARY104" s="15"/>
      <c r="ARZ104" s="15"/>
      <c r="ASA104" s="15"/>
      <c r="ASB104" s="15"/>
      <c r="ASC104" s="15"/>
      <c r="ASD104" s="15"/>
      <c r="ASE104" s="15"/>
      <c r="ASF104" s="15"/>
      <c r="ASG104" s="15"/>
      <c r="ASH104" s="15"/>
      <c r="ASI104" s="15"/>
      <c r="ASJ104" s="15"/>
      <c r="ASK104" s="15"/>
      <c r="ASL104" s="15"/>
      <c r="ASM104" s="15"/>
      <c r="ASN104" s="15"/>
      <c r="ASO104" s="15"/>
      <c r="ASP104" s="15"/>
      <c r="ASQ104" s="15"/>
      <c r="ASR104" s="15"/>
      <c r="ASS104" s="15"/>
      <c r="AST104" s="15"/>
      <c r="ASU104" s="15"/>
      <c r="ASV104" s="15"/>
      <c r="ASW104" s="15"/>
      <c r="ASX104" s="15"/>
      <c r="ASY104" s="15"/>
      <c r="ASZ104" s="15"/>
      <c r="ATA104" s="15"/>
      <c r="ATB104" s="15"/>
      <c r="ATC104" s="15"/>
      <c r="ATD104" s="15"/>
      <c r="ATE104" s="15"/>
      <c r="ATF104" s="15"/>
      <c r="ATG104" s="15"/>
      <c r="ATH104" s="15"/>
      <c r="ATI104" s="15"/>
      <c r="ATJ104" s="15"/>
      <c r="ATK104" s="15"/>
      <c r="ATL104" s="15"/>
      <c r="ATM104" s="15"/>
      <c r="ATN104" s="15"/>
      <c r="ATO104" s="15"/>
      <c r="ATP104" s="15"/>
      <c r="ATQ104" s="15"/>
      <c r="ATR104" s="15"/>
      <c r="ATS104" s="15"/>
      <c r="ATT104" s="15"/>
      <c r="ATU104" s="15"/>
      <c r="ATV104" s="15"/>
      <c r="ATW104" s="15"/>
      <c r="ATX104" s="15"/>
      <c r="ATY104" s="15"/>
      <c r="ATZ104" s="15"/>
      <c r="AUA104" s="15"/>
      <c r="AUB104" s="15"/>
      <c r="AUC104" s="15"/>
      <c r="AUD104" s="15"/>
      <c r="AUE104" s="15"/>
      <c r="AUF104" s="15"/>
      <c r="AUG104" s="15"/>
      <c r="AUH104" s="15"/>
      <c r="AUI104" s="15"/>
      <c r="AUJ104" s="15"/>
      <c r="AUK104" s="15"/>
      <c r="AUL104" s="15"/>
      <c r="AUM104" s="15"/>
      <c r="AUN104" s="15"/>
      <c r="AUO104" s="15"/>
      <c r="AUP104" s="15"/>
      <c r="AUQ104" s="15"/>
      <c r="AUR104" s="15"/>
      <c r="AUS104" s="15"/>
      <c r="AUT104" s="15"/>
      <c r="AUU104" s="15"/>
      <c r="AUV104" s="15"/>
      <c r="AUW104" s="15"/>
      <c r="AUX104" s="15"/>
      <c r="AUY104" s="15"/>
      <c r="AUZ104" s="15"/>
      <c r="AVA104" s="15"/>
      <c r="AVB104" s="15"/>
      <c r="AVC104" s="15"/>
      <c r="AVD104" s="15"/>
      <c r="AVE104" s="15"/>
      <c r="AVF104" s="15"/>
      <c r="AVG104" s="15"/>
      <c r="AVH104" s="15"/>
      <c r="AVI104" s="15"/>
      <c r="AVJ104" s="15"/>
      <c r="AVK104" s="15"/>
      <c r="AVL104" s="15"/>
      <c r="AVM104" s="15"/>
      <c r="AVN104" s="15"/>
      <c r="AVO104" s="15"/>
      <c r="AVP104" s="15"/>
      <c r="AVQ104" s="15"/>
      <c r="AVR104" s="15"/>
      <c r="AVS104" s="15"/>
      <c r="AVT104" s="15"/>
      <c r="AVU104" s="15"/>
      <c r="AVV104" s="15"/>
      <c r="AVW104" s="15"/>
      <c r="AVX104" s="15"/>
      <c r="AVY104" s="15"/>
      <c r="AVZ104" s="15"/>
      <c r="AWA104" s="15"/>
      <c r="AWB104" s="15"/>
      <c r="AWC104" s="15"/>
      <c r="AWD104" s="15"/>
      <c r="AWE104" s="15"/>
      <c r="AWF104" s="15"/>
      <c r="AWG104" s="15"/>
      <c r="AWH104" s="15"/>
      <c r="AWI104" s="15"/>
      <c r="AWJ104" s="15"/>
      <c r="AWK104" s="15"/>
      <c r="AWL104" s="15"/>
      <c r="AWM104" s="15"/>
      <c r="AWN104" s="15"/>
      <c r="AWO104" s="15"/>
      <c r="AWP104" s="15"/>
      <c r="AWQ104" s="15"/>
      <c r="AWR104" s="15"/>
      <c r="AWS104" s="15"/>
      <c r="AWT104" s="15"/>
      <c r="AWU104" s="15"/>
      <c r="AWV104" s="15"/>
      <c r="AWW104" s="15"/>
      <c r="AWX104" s="15"/>
      <c r="AWY104" s="15"/>
      <c r="AWZ104" s="15"/>
      <c r="AXA104" s="15"/>
      <c r="AXB104" s="15"/>
      <c r="AXC104" s="15"/>
      <c r="AXD104" s="15"/>
      <c r="AXE104" s="15"/>
      <c r="AXF104" s="15"/>
      <c r="AXG104" s="15"/>
      <c r="AXH104" s="15"/>
      <c r="AXI104" s="15"/>
      <c r="AXJ104" s="15"/>
      <c r="AXK104" s="15"/>
      <c r="AXL104" s="15"/>
      <c r="AXM104" s="15"/>
      <c r="AXN104" s="15"/>
      <c r="AXO104" s="15"/>
      <c r="AXP104" s="15"/>
      <c r="AXQ104" s="15"/>
      <c r="AXR104" s="15"/>
      <c r="AXS104" s="15"/>
      <c r="AXT104" s="15"/>
      <c r="AXU104" s="15"/>
      <c r="AXV104" s="15"/>
      <c r="AXW104" s="15"/>
      <c r="AXX104" s="15"/>
      <c r="AXY104" s="15"/>
      <c r="AXZ104" s="15"/>
      <c r="AYA104" s="15"/>
      <c r="AYB104" s="15"/>
      <c r="AYC104" s="15"/>
      <c r="AYD104" s="15"/>
      <c r="AYE104" s="15"/>
      <c r="AYF104" s="15"/>
      <c r="AYG104" s="15"/>
      <c r="AYH104" s="15"/>
      <c r="AYI104" s="15"/>
      <c r="AYJ104" s="15"/>
      <c r="AYK104" s="15"/>
      <c r="AYL104" s="15"/>
      <c r="AYM104" s="15"/>
      <c r="AYN104" s="15"/>
      <c r="AYO104" s="15"/>
      <c r="AYP104" s="15"/>
      <c r="AYQ104" s="15"/>
      <c r="AYR104" s="15"/>
      <c r="AYS104" s="15"/>
      <c r="AYT104" s="15"/>
      <c r="AYU104" s="15"/>
      <c r="AYV104" s="15"/>
      <c r="AYW104" s="15"/>
      <c r="AYX104" s="15"/>
      <c r="AYY104" s="15"/>
      <c r="AYZ104" s="15"/>
      <c r="AZA104" s="15"/>
      <c r="AZB104" s="15"/>
      <c r="AZC104" s="15"/>
      <c r="AZD104" s="15"/>
      <c r="AZE104" s="15"/>
      <c r="AZF104" s="15"/>
      <c r="AZG104" s="15"/>
      <c r="AZH104" s="15"/>
      <c r="AZI104" s="15"/>
      <c r="AZJ104" s="15"/>
      <c r="AZK104" s="15"/>
      <c r="AZL104" s="15"/>
      <c r="AZM104" s="15"/>
      <c r="AZN104" s="15"/>
      <c r="AZO104" s="15"/>
      <c r="AZP104" s="15"/>
      <c r="AZQ104" s="15"/>
      <c r="AZR104" s="15"/>
      <c r="AZS104" s="15"/>
      <c r="AZT104" s="15"/>
      <c r="AZU104" s="15"/>
      <c r="AZV104" s="15"/>
      <c r="AZW104" s="15"/>
      <c r="AZX104" s="15"/>
      <c r="AZY104" s="15"/>
      <c r="AZZ104" s="15"/>
      <c r="BAA104" s="15"/>
      <c r="BAB104" s="15"/>
      <c r="BAC104" s="15"/>
      <c r="BAD104" s="15"/>
      <c r="BAE104" s="15"/>
      <c r="BAF104" s="15"/>
      <c r="BAG104" s="15"/>
      <c r="BAH104" s="15"/>
      <c r="BAI104" s="15"/>
      <c r="BAJ104" s="15"/>
      <c r="BAK104" s="15"/>
      <c r="BAL104" s="15"/>
      <c r="BAM104" s="15"/>
      <c r="BAN104" s="15"/>
      <c r="BAO104" s="15"/>
      <c r="BAP104" s="15"/>
      <c r="BAQ104" s="15"/>
      <c r="BAR104" s="15"/>
      <c r="BAS104" s="15"/>
      <c r="BAT104" s="15"/>
      <c r="BAU104" s="15"/>
      <c r="BAV104" s="15"/>
      <c r="BAW104" s="15"/>
      <c r="BAX104" s="15"/>
      <c r="BAY104" s="15"/>
      <c r="BAZ104" s="15"/>
      <c r="BBA104" s="15"/>
      <c r="BBB104" s="15"/>
      <c r="BBC104" s="15"/>
      <c r="BBD104" s="15"/>
      <c r="BBE104" s="15"/>
      <c r="BBF104" s="15"/>
      <c r="BBG104" s="15"/>
      <c r="BBH104" s="15"/>
      <c r="BBI104" s="15"/>
      <c r="BBJ104" s="15"/>
      <c r="BBK104" s="15"/>
      <c r="BBL104" s="15"/>
      <c r="BBM104" s="15"/>
      <c r="BBN104" s="15"/>
      <c r="BBO104" s="15"/>
      <c r="BBP104" s="15"/>
      <c r="BBQ104" s="15"/>
      <c r="BBR104" s="15"/>
      <c r="BBS104" s="15"/>
      <c r="BBT104" s="15"/>
      <c r="BBU104" s="15"/>
      <c r="BBV104" s="15"/>
      <c r="BBW104" s="15"/>
      <c r="BBX104" s="15"/>
      <c r="BBY104" s="15"/>
      <c r="BBZ104" s="15"/>
      <c r="BCA104" s="15"/>
      <c r="BCB104" s="15"/>
      <c r="BCC104" s="15"/>
      <c r="BCD104" s="15"/>
      <c r="BCE104" s="15"/>
      <c r="BCF104" s="15"/>
      <c r="BCG104" s="15"/>
      <c r="BCH104" s="15"/>
      <c r="BCI104" s="15"/>
      <c r="BCJ104" s="15"/>
      <c r="BCK104" s="15"/>
      <c r="BCL104" s="15"/>
      <c r="BCM104" s="15"/>
      <c r="BCN104" s="15"/>
      <c r="BCO104" s="15"/>
      <c r="BCP104" s="15"/>
      <c r="BCQ104" s="15"/>
      <c r="BCR104" s="15"/>
      <c r="BCS104" s="15"/>
      <c r="BCT104" s="15"/>
      <c r="BCU104" s="15"/>
      <c r="BCV104" s="15"/>
      <c r="BCW104" s="15"/>
      <c r="BCX104" s="15"/>
      <c r="BCY104" s="15"/>
      <c r="BCZ104" s="15"/>
      <c r="BDA104" s="15"/>
      <c r="BDB104" s="15"/>
      <c r="BDC104" s="15"/>
      <c r="BDD104" s="15"/>
      <c r="BDE104" s="15"/>
      <c r="BDF104" s="15"/>
      <c r="BDG104" s="15"/>
      <c r="BDH104" s="15"/>
      <c r="BDI104" s="15"/>
      <c r="BDJ104" s="15"/>
      <c r="BDK104" s="15"/>
      <c r="BDL104" s="15"/>
      <c r="BDM104" s="15"/>
      <c r="BDN104" s="15"/>
      <c r="BDO104" s="15"/>
      <c r="BDP104" s="15"/>
      <c r="BDQ104" s="15"/>
      <c r="BDR104" s="15"/>
      <c r="BDS104" s="15"/>
      <c r="BDT104" s="15"/>
      <c r="BDU104" s="15"/>
      <c r="BDV104" s="15"/>
      <c r="BDW104" s="15"/>
      <c r="BDX104" s="15"/>
      <c r="BDY104" s="15"/>
      <c r="BDZ104" s="15"/>
      <c r="BEA104" s="15"/>
      <c r="BEB104" s="15"/>
      <c r="BEC104" s="15"/>
      <c r="BED104" s="15"/>
      <c r="BEE104" s="15"/>
      <c r="BEF104" s="15"/>
      <c r="BEG104" s="15"/>
      <c r="BEH104" s="15"/>
      <c r="BEI104" s="15"/>
      <c r="BEJ104" s="15"/>
      <c r="BEK104" s="15"/>
      <c r="BEL104" s="15"/>
      <c r="BEM104" s="15"/>
      <c r="BEN104" s="15"/>
      <c r="BEO104" s="15"/>
      <c r="BEP104" s="15"/>
      <c r="BEQ104" s="15"/>
      <c r="BER104" s="15"/>
      <c r="BES104" s="15"/>
      <c r="BET104" s="15"/>
      <c r="BEU104" s="15"/>
      <c r="BEV104" s="15"/>
      <c r="BEW104" s="15"/>
      <c r="BEX104" s="15"/>
      <c r="BEY104" s="15"/>
      <c r="BEZ104" s="15"/>
      <c r="BFA104" s="15"/>
      <c r="BFB104" s="15"/>
      <c r="BFC104" s="15"/>
      <c r="BFD104" s="15"/>
      <c r="BFE104" s="15"/>
      <c r="BFF104" s="15"/>
      <c r="BFG104" s="15"/>
      <c r="BFH104" s="15"/>
      <c r="BFI104" s="15"/>
      <c r="BFJ104" s="15"/>
      <c r="BFK104" s="15"/>
      <c r="BFL104" s="15"/>
      <c r="BFM104" s="15"/>
      <c r="BFN104" s="15"/>
      <c r="BFO104" s="15"/>
      <c r="BFP104" s="15"/>
      <c r="BFQ104" s="15"/>
      <c r="BFR104" s="15"/>
      <c r="BFS104" s="15"/>
      <c r="BFT104" s="15"/>
      <c r="BFU104" s="15"/>
      <c r="BFV104" s="15"/>
      <c r="BFW104" s="15"/>
      <c r="BFX104" s="15"/>
      <c r="BFY104" s="15"/>
      <c r="BFZ104" s="15"/>
      <c r="BGA104" s="15"/>
      <c r="BGB104" s="15"/>
      <c r="BGC104" s="15"/>
      <c r="BGD104" s="15"/>
      <c r="BGE104" s="15"/>
      <c r="BGF104" s="15"/>
      <c r="BGG104" s="15"/>
      <c r="BGH104" s="15"/>
      <c r="BGI104" s="15"/>
      <c r="BGJ104" s="15"/>
      <c r="BGK104" s="15"/>
      <c r="BGL104" s="15"/>
      <c r="BGM104" s="15"/>
      <c r="BGN104" s="15"/>
      <c r="BGO104" s="15"/>
      <c r="BGP104" s="15"/>
      <c r="BGQ104" s="15"/>
      <c r="BGR104" s="15"/>
      <c r="BGS104" s="15"/>
      <c r="BGT104" s="15"/>
      <c r="BGU104" s="15"/>
      <c r="BGV104" s="15"/>
      <c r="BGW104" s="15"/>
      <c r="BGX104" s="15"/>
      <c r="BGY104" s="15"/>
      <c r="BGZ104" s="15"/>
      <c r="BHA104" s="15"/>
      <c r="BHB104" s="15"/>
      <c r="BHC104" s="15"/>
      <c r="BHD104" s="15"/>
      <c r="BHE104" s="15"/>
      <c r="BHF104" s="15"/>
      <c r="BHG104" s="15"/>
      <c r="BHH104" s="15"/>
      <c r="BHI104" s="15"/>
      <c r="BHJ104" s="15"/>
      <c r="BHK104" s="15"/>
      <c r="BHL104" s="15"/>
      <c r="BHM104" s="15"/>
      <c r="BHN104" s="15"/>
      <c r="BHO104" s="15"/>
      <c r="BHP104" s="15"/>
      <c r="BHQ104" s="15"/>
      <c r="BHR104" s="15"/>
      <c r="BHS104" s="15"/>
      <c r="BHT104" s="15"/>
      <c r="BHU104" s="15"/>
      <c r="BHV104" s="15"/>
      <c r="BHW104" s="15"/>
      <c r="BHX104" s="15"/>
      <c r="BHY104" s="15"/>
      <c r="BHZ104" s="15"/>
      <c r="BIA104" s="15"/>
      <c r="BIB104" s="15"/>
      <c r="BIC104" s="15"/>
      <c r="BID104" s="15"/>
      <c r="BIE104" s="15"/>
      <c r="BIF104" s="15"/>
      <c r="BIG104" s="15"/>
      <c r="BIH104" s="15"/>
      <c r="BII104" s="15"/>
      <c r="BIJ104" s="15"/>
      <c r="BIK104" s="15"/>
      <c r="BIL104" s="15"/>
      <c r="BIM104" s="15"/>
      <c r="BIN104" s="15"/>
      <c r="BIO104" s="15"/>
      <c r="BIP104" s="15"/>
      <c r="BIQ104" s="15"/>
      <c r="BIR104" s="15"/>
      <c r="BIS104" s="15"/>
      <c r="BIT104" s="15"/>
      <c r="BIU104" s="15"/>
      <c r="BIV104" s="15"/>
      <c r="BIW104" s="15"/>
      <c r="BIX104" s="15"/>
      <c r="BIY104" s="15"/>
      <c r="BIZ104" s="15"/>
      <c r="BJA104" s="15"/>
      <c r="BJB104" s="15"/>
      <c r="BJC104" s="15"/>
      <c r="BJD104" s="15"/>
      <c r="BJE104" s="15"/>
      <c r="BJF104" s="15"/>
      <c r="BJG104" s="15"/>
      <c r="BJH104" s="15"/>
      <c r="BJI104" s="15"/>
      <c r="BJJ104" s="15"/>
      <c r="BJK104" s="15"/>
      <c r="BJL104" s="15"/>
      <c r="BJM104" s="15"/>
      <c r="BJN104" s="15"/>
      <c r="BJO104" s="15"/>
      <c r="BJP104" s="15"/>
      <c r="BJQ104" s="15"/>
      <c r="BJR104" s="15"/>
      <c r="BJS104" s="15"/>
      <c r="BJT104" s="15"/>
      <c r="BJU104" s="15"/>
      <c r="BJV104" s="15"/>
      <c r="BJW104" s="15"/>
      <c r="BJX104" s="15"/>
      <c r="BJY104" s="15"/>
      <c r="BJZ104" s="15"/>
      <c r="BKA104" s="15"/>
      <c r="BKB104" s="15"/>
      <c r="BKC104" s="15"/>
      <c r="BKD104" s="15"/>
      <c r="BKE104" s="15"/>
      <c r="BKF104" s="15"/>
      <c r="BKG104" s="15"/>
      <c r="BKH104" s="15"/>
      <c r="BKI104" s="15"/>
      <c r="BKJ104" s="15"/>
      <c r="BKK104" s="15"/>
      <c r="BKL104" s="15"/>
      <c r="BKM104" s="15"/>
      <c r="BKN104" s="15"/>
      <c r="BKO104" s="15"/>
      <c r="BKP104" s="15"/>
      <c r="BKQ104" s="15"/>
      <c r="BKR104" s="15"/>
      <c r="BKS104" s="15"/>
      <c r="BKT104" s="15"/>
      <c r="BKU104" s="15"/>
      <c r="BKV104" s="15"/>
      <c r="BKW104" s="15"/>
      <c r="BKX104" s="15"/>
      <c r="BKY104" s="15"/>
      <c r="BKZ104" s="15"/>
      <c r="BLA104" s="15"/>
      <c r="BLB104" s="15"/>
      <c r="BLC104" s="15"/>
      <c r="BLD104" s="15"/>
      <c r="BLE104" s="15"/>
      <c r="BLF104" s="15"/>
      <c r="BLG104" s="15"/>
      <c r="BLH104" s="15"/>
      <c r="BLI104" s="15"/>
      <c r="BLJ104" s="15"/>
      <c r="BLK104" s="15"/>
      <c r="BLL104" s="15"/>
      <c r="BLM104" s="15"/>
      <c r="BLN104" s="15"/>
      <c r="BLO104" s="15"/>
      <c r="BLP104" s="15"/>
      <c r="BLQ104" s="15"/>
      <c r="BLR104" s="15"/>
      <c r="BLS104" s="15"/>
      <c r="BLT104" s="15"/>
      <c r="BLU104" s="15"/>
      <c r="BLV104" s="15"/>
      <c r="BLW104" s="15"/>
      <c r="BLX104" s="15"/>
      <c r="BLY104" s="15"/>
      <c r="BLZ104" s="15"/>
      <c r="BMA104" s="15"/>
      <c r="BMB104" s="15"/>
      <c r="BMC104" s="15"/>
      <c r="BMD104" s="15"/>
      <c r="BME104" s="15"/>
      <c r="BMF104" s="15"/>
      <c r="BMG104" s="15"/>
      <c r="BMH104" s="15"/>
      <c r="BMI104" s="15"/>
      <c r="BMJ104" s="15"/>
      <c r="BMK104" s="15"/>
      <c r="BML104" s="15"/>
      <c r="BMM104" s="15"/>
      <c r="BMN104" s="15"/>
      <c r="BMO104" s="15"/>
      <c r="BMP104" s="15"/>
      <c r="BMQ104" s="15"/>
      <c r="BMR104" s="15"/>
      <c r="BMS104" s="15"/>
      <c r="BMT104" s="15"/>
      <c r="BMU104" s="15"/>
      <c r="BMV104" s="15"/>
      <c r="BMW104" s="15"/>
      <c r="BMX104" s="15"/>
      <c r="BMY104" s="15"/>
      <c r="BMZ104" s="15"/>
      <c r="BNA104" s="15"/>
      <c r="BNB104" s="15"/>
      <c r="BNC104" s="15"/>
      <c r="BND104" s="15"/>
      <c r="BNE104" s="15"/>
      <c r="BNF104" s="15"/>
      <c r="BNG104" s="15"/>
      <c r="BNH104" s="15"/>
      <c r="BNI104" s="15"/>
      <c r="BNJ104" s="15"/>
      <c r="BNK104" s="15"/>
      <c r="BNL104" s="15"/>
      <c r="BNM104" s="15"/>
      <c r="BNN104" s="15"/>
      <c r="BNO104" s="15"/>
      <c r="BNP104" s="15"/>
      <c r="BNQ104" s="15"/>
      <c r="BNR104" s="15"/>
      <c r="BNS104" s="15"/>
      <c r="BNT104" s="15"/>
      <c r="BNU104" s="15"/>
      <c r="BNV104" s="15"/>
      <c r="BNW104" s="15"/>
      <c r="BNX104" s="15"/>
      <c r="BNY104" s="15"/>
      <c r="BNZ104" s="15"/>
      <c r="BOA104" s="15"/>
      <c r="BOB104" s="15"/>
      <c r="BOC104" s="15"/>
      <c r="BOD104" s="15"/>
      <c r="BOE104" s="15"/>
      <c r="BOF104" s="15"/>
      <c r="BOG104" s="15"/>
      <c r="BOH104" s="15"/>
      <c r="BOI104" s="15"/>
      <c r="BOJ104" s="15"/>
      <c r="BOK104" s="15"/>
      <c r="BOL104" s="15"/>
      <c r="BOM104" s="15"/>
      <c r="BON104" s="15"/>
      <c r="BOO104" s="15"/>
      <c r="BOP104" s="15"/>
      <c r="BOQ104" s="15"/>
      <c r="BOR104" s="15"/>
      <c r="BOS104" s="15"/>
      <c r="BOT104" s="15"/>
      <c r="BOU104" s="15"/>
      <c r="BOV104" s="15"/>
      <c r="BOW104" s="15"/>
      <c r="BOX104" s="15"/>
      <c r="BOY104" s="15"/>
      <c r="BOZ104" s="15"/>
      <c r="BPA104" s="15"/>
      <c r="BPB104" s="15"/>
      <c r="BPC104" s="15"/>
      <c r="BPD104" s="15"/>
      <c r="BPE104" s="15"/>
      <c r="BPF104" s="15"/>
      <c r="BPG104" s="15"/>
      <c r="BPH104" s="15"/>
      <c r="BPI104" s="15"/>
      <c r="BPJ104" s="15"/>
      <c r="BPK104" s="15"/>
      <c r="BPL104" s="15"/>
      <c r="BPM104" s="15"/>
      <c r="BPN104" s="15"/>
      <c r="BPO104" s="15"/>
      <c r="BPP104" s="15"/>
      <c r="BPQ104" s="15"/>
      <c r="BPR104" s="15"/>
      <c r="BPS104" s="15"/>
      <c r="BPT104" s="15"/>
      <c r="BPU104" s="15"/>
      <c r="BPV104" s="15"/>
      <c r="BPW104" s="15"/>
      <c r="BPX104" s="15"/>
      <c r="BPY104" s="15"/>
      <c r="BPZ104" s="15"/>
      <c r="BQA104" s="15"/>
      <c r="BQB104" s="15"/>
      <c r="BQC104" s="15"/>
      <c r="BQD104" s="15"/>
      <c r="BQE104" s="15"/>
      <c r="BQF104" s="15"/>
      <c r="BQG104" s="15"/>
      <c r="BQH104" s="15"/>
      <c r="BQI104" s="15"/>
      <c r="BQJ104" s="15"/>
      <c r="BQK104" s="15"/>
      <c r="BQL104" s="15"/>
      <c r="BQM104" s="15"/>
      <c r="BQN104" s="15"/>
      <c r="BQO104" s="15"/>
      <c r="BQP104" s="15"/>
      <c r="BQQ104" s="15"/>
      <c r="BQR104" s="15"/>
      <c r="BQS104" s="15"/>
      <c r="BQT104" s="15"/>
      <c r="BQU104" s="15"/>
      <c r="BQV104" s="15"/>
      <c r="BQW104" s="15"/>
      <c r="BQX104" s="15"/>
      <c r="BQY104" s="15"/>
      <c r="BQZ104" s="15"/>
      <c r="BRA104" s="15"/>
      <c r="BRB104" s="15"/>
      <c r="BRC104" s="15"/>
      <c r="BRD104" s="15"/>
      <c r="BRE104" s="15"/>
      <c r="BRF104" s="15"/>
      <c r="BRG104" s="15"/>
      <c r="BRH104" s="15"/>
      <c r="BRI104" s="15"/>
      <c r="BRJ104" s="15"/>
      <c r="BRK104" s="15"/>
      <c r="BRL104" s="15"/>
      <c r="BRM104" s="15"/>
      <c r="BRN104" s="15"/>
      <c r="BRO104" s="15"/>
      <c r="BRP104" s="15"/>
      <c r="BRQ104" s="15"/>
      <c r="BRR104" s="15"/>
      <c r="BRS104" s="15"/>
      <c r="BRT104" s="15"/>
      <c r="BRU104" s="15"/>
      <c r="BRV104" s="15"/>
      <c r="BRW104" s="15"/>
      <c r="BRX104" s="15"/>
      <c r="BRY104" s="15"/>
      <c r="BRZ104" s="15"/>
      <c r="BSA104" s="15"/>
      <c r="BSB104" s="15"/>
      <c r="BSC104" s="15"/>
      <c r="BSD104" s="15"/>
      <c r="BSE104" s="15"/>
      <c r="BSF104" s="15"/>
      <c r="BSG104" s="15"/>
      <c r="BSH104" s="15"/>
      <c r="BSI104" s="15"/>
      <c r="BSJ104" s="15"/>
      <c r="BSK104" s="15"/>
      <c r="BSL104" s="15"/>
      <c r="BSM104" s="15"/>
      <c r="BSN104" s="15"/>
      <c r="BSO104" s="15"/>
      <c r="BSP104" s="15"/>
      <c r="BSQ104" s="15"/>
      <c r="BSR104" s="15"/>
      <c r="BSS104" s="15"/>
      <c r="BST104" s="15"/>
      <c r="BSU104" s="15"/>
      <c r="BSV104" s="15"/>
      <c r="BSW104" s="15"/>
      <c r="BSX104" s="15"/>
      <c r="BSY104" s="15"/>
      <c r="BSZ104" s="15"/>
      <c r="BTA104" s="15"/>
      <c r="BTB104" s="15"/>
      <c r="BTC104" s="15"/>
      <c r="BTD104" s="15"/>
      <c r="BTE104" s="15"/>
      <c r="BTF104" s="15"/>
      <c r="BTG104" s="15"/>
      <c r="BTH104" s="15"/>
      <c r="BTI104" s="15"/>
      <c r="BTJ104" s="15"/>
      <c r="BTK104" s="15"/>
      <c r="BTL104" s="15"/>
      <c r="BTM104" s="15"/>
      <c r="BTN104" s="15"/>
      <c r="BTO104" s="15"/>
      <c r="BTP104" s="15"/>
      <c r="BTQ104" s="15"/>
      <c r="BTR104" s="15"/>
      <c r="BTS104" s="15"/>
      <c r="BTT104" s="15"/>
      <c r="BTU104" s="15"/>
      <c r="BTV104" s="15"/>
      <c r="BTW104" s="15"/>
      <c r="BTX104" s="15"/>
      <c r="BTY104" s="15"/>
      <c r="BTZ104" s="15"/>
      <c r="BUA104" s="15"/>
      <c r="BUB104" s="15"/>
      <c r="BUC104" s="15"/>
      <c r="BUD104" s="15"/>
      <c r="BUE104" s="15"/>
      <c r="BUF104" s="15"/>
      <c r="BUG104" s="15"/>
      <c r="BUH104" s="15"/>
      <c r="BUI104" s="15"/>
      <c r="BUJ104" s="15"/>
      <c r="BUK104" s="15"/>
      <c r="BUL104" s="15"/>
      <c r="BUM104" s="15"/>
      <c r="BUN104" s="15"/>
      <c r="BUO104" s="15"/>
      <c r="BUP104" s="15"/>
      <c r="BUQ104" s="15"/>
      <c r="BUR104" s="15"/>
      <c r="BUS104" s="15"/>
      <c r="BUT104" s="15"/>
      <c r="BUU104" s="15"/>
      <c r="BUV104" s="15"/>
      <c r="BUW104" s="15"/>
      <c r="BUX104" s="15"/>
      <c r="BUY104" s="15"/>
      <c r="BUZ104" s="15"/>
      <c r="BVA104" s="15"/>
      <c r="BVB104" s="15"/>
      <c r="BVC104" s="15"/>
      <c r="BVD104" s="15"/>
      <c r="BVE104" s="15"/>
      <c r="BVF104" s="15"/>
      <c r="BVG104" s="15"/>
      <c r="BVH104" s="15"/>
      <c r="BVI104" s="15"/>
      <c r="BVJ104" s="15"/>
      <c r="BVK104" s="15"/>
      <c r="BVL104" s="15"/>
      <c r="BVM104" s="15"/>
      <c r="BVN104" s="15"/>
      <c r="BVO104" s="15"/>
      <c r="BVP104" s="15"/>
      <c r="BVQ104" s="15"/>
      <c r="BVR104" s="15"/>
      <c r="BVS104" s="15"/>
      <c r="BVT104" s="15"/>
      <c r="BVU104" s="15"/>
      <c r="BVV104" s="15"/>
      <c r="BVW104" s="15"/>
      <c r="BVX104" s="15"/>
      <c r="BVY104" s="15"/>
      <c r="BVZ104" s="15"/>
      <c r="BWA104" s="15"/>
      <c r="BWB104" s="15"/>
      <c r="BWC104" s="15"/>
      <c r="BWD104" s="15"/>
      <c r="BWE104" s="15"/>
      <c r="BWF104" s="15"/>
      <c r="BWG104" s="15"/>
      <c r="BWH104" s="15"/>
      <c r="BWI104" s="15"/>
      <c r="BWJ104" s="15"/>
      <c r="BWK104" s="15"/>
      <c r="BWL104" s="15"/>
      <c r="BWM104" s="15"/>
      <c r="BWN104" s="15"/>
      <c r="BWO104" s="15"/>
      <c r="BWP104" s="15"/>
      <c r="BWQ104" s="15"/>
      <c r="BWR104" s="15"/>
      <c r="BWS104" s="15"/>
      <c r="BWT104" s="15"/>
      <c r="BWU104" s="15"/>
      <c r="BWV104" s="15"/>
      <c r="BWW104" s="15"/>
      <c r="BWX104" s="15"/>
      <c r="BWY104" s="15"/>
      <c r="BWZ104" s="15"/>
      <c r="BXA104" s="15"/>
      <c r="BXB104" s="15"/>
      <c r="BXC104" s="15"/>
      <c r="BXD104" s="15"/>
      <c r="BXE104" s="15"/>
      <c r="BXF104" s="15"/>
      <c r="BXG104" s="15"/>
      <c r="BXH104" s="15"/>
      <c r="BXI104" s="15"/>
      <c r="BXJ104" s="15"/>
      <c r="BXK104" s="15"/>
      <c r="BXL104" s="15"/>
      <c r="BXM104" s="15"/>
      <c r="BXN104" s="15"/>
      <c r="BXO104" s="15"/>
      <c r="BXP104" s="15"/>
      <c r="BXQ104" s="15"/>
      <c r="BXR104" s="15"/>
      <c r="BXS104" s="15"/>
      <c r="BXT104" s="15"/>
      <c r="BXU104" s="15"/>
      <c r="BXV104" s="15"/>
      <c r="BXW104" s="15"/>
      <c r="BXX104" s="15"/>
      <c r="BXY104" s="15"/>
      <c r="BXZ104" s="15"/>
      <c r="BYA104" s="15"/>
      <c r="BYB104" s="15"/>
      <c r="BYC104" s="15"/>
      <c r="BYD104" s="15"/>
      <c r="BYE104" s="15"/>
      <c r="BYF104" s="15"/>
      <c r="BYG104" s="15"/>
      <c r="BYH104" s="15"/>
      <c r="BYI104" s="15"/>
      <c r="BYJ104" s="15"/>
      <c r="BYK104" s="15"/>
      <c r="BYL104" s="15"/>
      <c r="BYM104" s="15"/>
      <c r="BYN104" s="15"/>
      <c r="BYO104" s="15"/>
      <c r="BYP104" s="15"/>
      <c r="BYQ104" s="15"/>
      <c r="BYR104" s="15"/>
      <c r="BYS104" s="15"/>
      <c r="BYT104" s="15"/>
      <c r="BYU104" s="15"/>
      <c r="BYV104" s="15"/>
      <c r="BYW104" s="15"/>
      <c r="BYX104" s="15"/>
      <c r="BYY104" s="15"/>
      <c r="BYZ104" s="15"/>
      <c r="BZA104" s="15"/>
      <c r="BZB104" s="15"/>
      <c r="BZC104" s="15"/>
      <c r="BZD104" s="15"/>
      <c r="BZE104" s="15"/>
      <c r="BZF104" s="15"/>
      <c r="BZG104" s="15"/>
      <c r="BZH104" s="15"/>
      <c r="BZI104" s="15"/>
      <c r="BZJ104" s="15"/>
      <c r="BZK104" s="15"/>
      <c r="BZL104" s="15"/>
      <c r="BZM104" s="15"/>
      <c r="BZN104" s="15"/>
      <c r="BZO104" s="15"/>
      <c r="BZP104" s="15"/>
      <c r="BZQ104" s="15"/>
      <c r="BZR104" s="15"/>
      <c r="BZS104" s="15"/>
      <c r="BZT104" s="15"/>
      <c r="BZU104" s="15"/>
      <c r="BZV104" s="15"/>
      <c r="BZW104" s="15"/>
      <c r="BZX104" s="15"/>
      <c r="BZY104" s="15"/>
      <c r="BZZ104" s="15"/>
      <c r="CAA104" s="15"/>
      <c r="CAB104" s="15"/>
      <c r="CAC104" s="15"/>
      <c r="CAD104" s="15"/>
      <c r="CAE104" s="15"/>
      <c r="CAF104" s="15"/>
      <c r="CAG104" s="15"/>
      <c r="CAH104" s="15"/>
      <c r="CAI104" s="15"/>
      <c r="CAJ104" s="15"/>
      <c r="CAK104" s="15"/>
      <c r="CAL104" s="15"/>
      <c r="CAM104" s="15"/>
      <c r="CAN104" s="15"/>
      <c r="CAO104" s="15"/>
      <c r="CAP104" s="15"/>
      <c r="CAQ104" s="15"/>
      <c r="CAR104" s="15"/>
      <c r="CAS104" s="15"/>
      <c r="CAT104" s="15"/>
      <c r="CAU104" s="15"/>
      <c r="CAV104" s="15"/>
      <c r="CAW104" s="15"/>
      <c r="CAX104" s="15"/>
      <c r="CAY104" s="15"/>
      <c r="CAZ104" s="15"/>
      <c r="CBA104" s="15"/>
      <c r="CBB104" s="15"/>
      <c r="CBC104" s="15"/>
      <c r="CBD104" s="15"/>
      <c r="CBE104" s="15"/>
      <c r="CBF104" s="15"/>
      <c r="CBG104" s="15"/>
      <c r="CBH104" s="15"/>
    </row>
    <row r="105" spans="1:16372" s="47" customFormat="1" x14ac:dyDescent="0.2">
      <c r="A105" s="1" t="s">
        <v>94</v>
      </c>
      <c r="B105" s="5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  <c r="MH105" s="15"/>
      <c r="MI105" s="15"/>
      <c r="MJ105" s="15"/>
      <c r="MK105" s="15"/>
      <c r="ML105" s="15"/>
      <c r="MM105" s="15"/>
      <c r="MN105" s="15"/>
      <c r="MO105" s="15"/>
      <c r="MP105" s="15"/>
      <c r="MQ105" s="15"/>
      <c r="MR105" s="15"/>
      <c r="MS105" s="15"/>
      <c r="MT105" s="15"/>
      <c r="MU105" s="15"/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  <c r="OA105" s="15"/>
      <c r="OB105" s="15"/>
      <c r="OC105" s="15"/>
      <c r="OD105" s="15"/>
      <c r="OE105" s="15"/>
      <c r="OF105" s="15"/>
      <c r="OG105" s="15"/>
      <c r="OH105" s="15"/>
      <c r="OI105" s="15"/>
      <c r="OJ105" s="15"/>
      <c r="OK105" s="15"/>
      <c r="OL105" s="15"/>
      <c r="OM105" s="15"/>
      <c r="ON105" s="15"/>
      <c r="OO105" s="15"/>
      <c r="OP105" s="15"/>
      <c r="OQ105" s="15"/>
      <c r="OR105" s="15"/>
      <c r="OS105" s="15"/>
      <c r="OT105" s="15"/>
      <c r="OU105" s="15"/>
      <c r="OV105" s="15"/>
      <c r="OW105" s="15"/>
      <c r="OX105" s="15"/>
      <c r="OY105" s="15"/>
      <c r="OZ105" s="15"/>
      <c r="PA105" s="15"/>
      <c r="PB105" s="15"/>
      <c r="PC105" s="15"/>
      <c r="PD105" s="15"/>
      <c r="PE105" s="15"/>
      <c r="PF105" s="15"/>
      <c r="PG105" s="15"/>
      <c r="PH105" s="15"/>
      <c r="PI105" s="15"/>
      <c r="PJ105" s="15"/>
      <c r="PK105" s="15"/>
      <c r="PL105" s="15"/>
      <c r="PM105" s="15"/>
      <c r="PN105" s="15"/>
      <c r="PO105" s="15"/>
      <c r="PP105" s="15"/>
      <c r="PQ105" s="15"/>
      <c r="PR105" s="15"/>
      <c r="PS105" s="15"/>
      <c r="PT105" s="15"/>
      <c r="PU105" s="15"/>
      <c r="PV105" s="15"/>
      <c r="PW105" s="15"/>
      <c r="PX105" s="15"/>
      <c r="PY105" s="15"/>
      <c r="PZ105" s="15"/>
      <c r="QA105" s="15"/>
      <c r="QB105" s="15"/>
      <c r="QC105" s="15"/>
      <c r="QD105" s="15"/>
      <c r="QE105" s="15"/>
      <c r="QF105" s="15"/>
      <c r="QG105" s="15"/>
      <c r="QH105" s="15"/>
      <c r="QI105" s="15"/>
      <c r="QJ105" s="15"/>
      <c r="QK105" s="15"/>
      <c r="QL105" s="15"/>
      <c r="QM105" s="15"/>
      <c r="QN105" s="15"/>
      <c r="QO105" s="15"/>
      <c r="QP105" s="15"/>
      <c r="QQ105" s="15"/>
      <c r="QR105" s="15"/>
      <c r="QS105" s="15"/>
      <c r="QT105" s="15"/>
      <c r="QU105" s="15"/>
      <c r="QV105" s="15"/>
      <c r="QW105" s="15"/>
      <c r="QX105" s="15"/>
      <c r="QY105" s="15"/>
      <c r="QZ105" s="15"/>
      <c r="RA105" s="15"/>
      <c r="RB105" s="15"/>
      <c r="RC105" s="15"/>
      <c r="RD105" s="15"/>
      <c r="RE105" s="15"/>
      <c r="RF105" s="15"/>
      <c r="RG105" s="15"/>
      <c r="RH105" s="15"/>
      <c r="RI105" s="15"/>
      <c r="RJ105" s="15"/>
      <c r="RK105" s="15"/>
      <c r="RL105" s="15"/>
      <c r="RM105" s="15"/>
      <c r="RN105" s="15"/>
      <c r="RO105" s="15"/>
      <c r="RP105" s="15"/>
      <c r="RQ105" s="15"/>
      <c r="RR105" s="15"/>
      <c r="RS105" s="15"/>
      <c r="RT105" s="15"/>
      <c r="RU105" s="15"/>
      <c r="RV105" s="15"/>
      <c r="RW105" s="15"/>
      <c r="RX105" s="15"/>
      <c r="RY105" s="15"/>
      <c r="RZ105" s="15"/>
      <c r="SA105" s="15"/>
      <c r="SB105" s="15"/>
      <c r="SC105" s="15"/>
      <c r="SD105" s="15"/>
      <c r="SE105" s="15"/>
      <c r="SF105" s="15"/>
      <c r="SG105" s="15"/>
      <c r="SH105" s="15"/>
      <c r="SI105" s="15"/>
      <c r="SJ105" s="15"/>
      <c r="SK105" s="15"/>
      <c r="SL105" s="15"/>
      <c r="SM105" s="15"/>
      <c r="SN105" s="15"/>
      <c r="SO105" s="15"/>
      <c r="SP105" s="15"/>
      <c r="SQ105" s="15"/>
      <c r="SR105" s="15"/>
      <c r="SS105" s="15"/>
      <c r="ST105" s="15"/>
      <c r="SU105" s="15"/>
      <c r="SV105" s="15"/>
      <c r="SW105" s="15"/>
      <c r="SX105" s="15"/>
      <c r="SY105" s="15"/>
      <c r="SZ105" s="15"/>
      <c r="TA105" s="15"/>
      <c r="TB105" s="15"/>
      <c r="TC105" s="15"/>
      <c r="TD105" s="15"/>
      <c r="TE105" s="15"/>
      <c r="TF105" s="15"/>
      <c r="TG105" s="15"/>
      <c r="TH105" s="15"/>
      <c r="TI105" s="15"/>
      <c r="TJ105" s="15"/>
      <c r="TK105" s="15"/>
      <c r="TL105" s="15"/>
      <c r="TM105" s="15"/>
      <c r="TN105" s="15"/>
      <c r="TO105" s="15"/>
      <c r="TP105" s="15"/>
      <c r="TQ105" s="15"/>
      <c r="TR105" s="15"/>
      <c r="TS105" s="15"/>
      <c r="TT105" s="15"/>
      <c r="TU105" s="15"/>
      <c r="TV105" s="15"/>
      <c r="TW105" s="15"/>
      <c r="TX105" s="15"/>
      <c r="TY105" s="15"/>
      <c r="TZ105" s="15"/>
      <c r="UA105" s="15"/>
      <c r="UB105" s="15"/>
      <c r="UC105" s="15"/>
      <c r="UD105" s="15"/>
      <c r="UE105" s="15"/>
      <c r="UF105" s="15"/>
      <c r="UG105" s="15"/>
      <c r="UH105" s="15"/>
      <c r="UI105" s="15"/>
      <c r="UJ105" s="15"/>
      <c r="UK105" s="15"/>
      <c r="UL105" s="15"/>
      <c r="UM105" s="15"/>
      <c r="UN105" s="15"/>
      <c r="UO105" s="15"/>
      <c r="UP105" s="15"/>
      <c r="UQ105" s="15"/>
      <c r="UR105" s="15"/>
      <c r="US105" s="15"/>
      <c r="UT105" s="15"/>
      <c r="UU105" s="15"/>
      <c r="UV105" s="15"/>
      <c r="UW105" s="15"/>
      <c r="UX105" s="15"/>
      <c r="UY105" s="15"/>
      <c r="UZ105" s="15"/>
      <c r="VA105" s="15"/>
      <c r="VB105" s="15"/>
      <c r="VC105" s="15"/>
      <c r="VD105" s="15"/>
      <c r="VE105" s="15"/>
      <c r="VF105" s="15"/>
      <c r="VG105" s="15"/>
      <c r="VH105" s="15"/>
      <c r="VI105" s="15"/>
      <c r="VJ105" s="15"/>
      <c r="VK105" s="15"/>
      <c r="VL105" s="15"/>
      <c r="VM105" s="15"/>
      <c r="VN105" s="15"/>
      <c r="VO105" s="15"/>
      <c r="VP105" s="15"/>
      <c r="VQ105" s="15"/>
      <c r="VR105" s="15"/>
      <c r="VS105" s="15"/>
      <c r="VT105" s="15"/>
      <c r="VU105" s="15"/>
      <c r="VV105" s="15"/>
      <c r="VW105" s="15"/>
      <c r="VX105" s="15"/>
      <c r="VY105" s="15"/>
      <c r="VZ105" s="15"/>
      <c r="WA105" s="15"/>
      <c r="WB105" s="15"/>
      <c r="WC105" s="15"/>
      <c r="WD105" s="15"/>
      <c r="WE105" s="15"/>
      <c r="WF105" s="15"/>
      <c r="WG105" s="15"/>
      <c r="WH105" s="15"/>
      <c r="WI105" s="15"/>
      <c r="WJ105" s="15"/>
      <c r="WK105" s="15"/>
      <c r="WL105" s="15"/>
      <c r="WM105" s="15"/>
      <c r="WN105" s="15"/>
      <c r="WO105" s="15"/>
      <c r="WP105" s="15"/>
      <c r="WQ105" s="15"/>
      <c r="WR105" s="15"/>
      <c r="WS105" s="15"/>
      <c r="WT105" s="15"/>
      <c r="WU105" s="15"/>
      <c r="WV105" s="15"/>
      <c r="WW105" s="15"/>
      <c r="WX105" s="15"/>
      <c r="WY105" s="15"/>
      <c r="WZ105" s="15"/>
      <c r="XA105" s="15"/>
      <c r="XB105" s="15"/>
      <c r="XC105" s="15"/>
      <c r="XD105" s="15"/>
      <c r="XE105" s="15"/>
      <c r="XF105" s="15"/>
      <c r="XG105" s="15"/>
      <c r="XH105" s="15"/>
      <c r="XI105" s="15"/>
      <c r="XJ105" s="15"/>
      <c r="XK105" s="15"/>
      <c r="XL105" s="15"/>
      <c r="XM105" s="15"/>
      <c r="XN105" s="15"/>
      <c r="XO105" s="15"/>
      <c r="XP105" s="15"/>
      <c r="XQ105" s="15"/>
      <c r="XR105" s="15"/>
      <c r="XS105" s="15"/>
      <c r="XT105" s="15"/>
      <c r="XU105" s="15"/>
      <c r="XV105" s="15"/>
      <c r="XW105" s="15"/>
      <c r="XX105" s="15"/>
      <c r="XY105" s="15"/>
      <c r="XZ105" s="15"/>
      <c r="YA105" s="15"/>
      <c r="YB105" s="15"/>
      <c r="YC105" s="15"/>
      <c r="YD105" s="15"/>
      <c r="YE105" s="15"/>
      <c r="YF105" s="15"/>
      <c r="YG105" s="15"/>
      <c r="YH105" s="15"/>
      <c r="YI105" s="15"/>
      <c r="YJ105" s="15"/>
      <c r="YK105" s="15"/>
      <c r="YL105" s="15"/>
      <c r="YM105" s="15"/>
      <c r="YN105" s="15"/>
      <c r="YO105" s="15"/>
      <c r="YP105" s="15"/>
      <c r="YQ105" s="15"/>
      <c r="YR105" s="15"/>
      <c r="YS105" s="15"/>
      <c r="YT105" s="15"/>
      <c r="YU105" s="15"/>
      <c r="YV105" s="15"/>
      <c r="YW105" s="15"/>
      <c r="YX105" s="15"/>
      <c r="YY105" s="15"/>
      <c r="YZ105" s="15"/>
      <c r="ZA105" s="15"/>
      <c r="ZB105" s="15"/>
      <c r="ZC105" s="15"/>
      <c r="ZD105" s="15"/>
      <c r="ZE105" s="15"/>
      <c r="ZF105" s="15"/>
      <c r="ZG105" s="15"/>
      <c r="ZH105" s="15"/>
      <c r="ZI105" s="15"/>
      <c r="ZJ105" s="15"/>
      <c r="ZK105" s="15"/>
      <c r="ZL105" s="15"/>
      <c r="ZM105" s="15"/>
      <c r="ZN105" s="15"/>
      <c r="ZO105" s="15"/>
      <c r="ZP105" s="15"/>
      <c r="ZQ105" s="15"/>
      <c r="ZR105" s="15"/>
      <c r="ZS105" s="15"/>
      <c r="ZT105" s="15"/>
      <c r="ZU105" s="15"/>
      <c r="ZV105" s="15"/>
      <c r="ZW105" s="15"/>
      <c r="ZX105" s="15"/>
      <c r="ZY105" s="15"/>
      <c r="ZZ105" s="15"/>
      <c r="AAA105" s="15"/>
      <c r="AAB105" s="15"/>
      <c r="AAC105" s="15"/>
      <c r="AAD105" s="15"/>
      <c r="AAE105" s="15"/>
      <c r="AAF105" s="15"/>
      <c r="AAG105" s="15"/>
      <c r="AAH105" s="15"/>
      <c r="AAI105" s="15"/>
      <c r="AAJ105" s="15"/>
      <c r="AAK105" s="15"/>
      <c r="AAL105" s="15"/>
      <c r="AAM105" s="15"/>
      <c r="AAN105" s="15"/>
      <c r="AAO105" s="15"/>
      <c r="AAP105" s="15"/>
      <c r="AAQ105" s="15"/>
      <c r="AAR105" s="15"/>
      <c r="AAS105" s="15"/>
      <c r="AAT105" s="15"/>
      <c r="AAU105" s="15"/>
      <c r="AAV105" s="15"/>
      <c r="AAW105" s="15"/>
      <c r="AAX105" s="15"/>
      <c r="AAY105" s="15"/>
      <c r="AAZ105" s="15"/>
      <c r="ABA105" s="15"/>
      <c r="ABB105" s="15"/>
      <c r="ABC105" s="15"/>
      <c r="ABD105" s="15"/>
      <c r="ABE105" s="15"/>
      <c r="ABF105" s="15"/>
      <c r="ABG105" s="15"/>
      <c r="ABH105" s="15"/>
      <c r="ABI105" s="15"/>
      <c r="ABJ105" s="15"/>
      <c r="ABK105" s="15"/>
      <c r="ABL105" s="15"/>
      <c r="ABM105" s="15"/>
      <c r="ABN105" s="15"/>
      <c r="ABO105" s="15"/>
      <c r="ABP105" s="15"/>
      <c r="ABQ105" s="15"/>
      <c r="ABR105" s="15"/>
      <c r="ABS105" s="15"/>
      <c r="ABT105" s="15"/>
      <c r="ABU105" s="15"/>
      <c r="ABV105" s="15"/>
      <c r="ABW105" s="15"/>
      <c r="ABX105" s="15"/>
      <c r="ABY105" s="15"/>
      <c r="ABZ105" s="15"/>
      <c r="ACA105" s="15"/>
      <c r="ACB105" s="15"/>
      <c r="ACC105" s="15"/>
      <c r="ACD105" s="15"/>
      <c r="ACE105" s="15"/>
      <c r="ACF105" s="15"/>
      <c r="ACG105" s="15"/>
      <c r="ACH105" s="15"/>
      <c r="ACI105" s="15"/>
      <c r="ACJ105" s="15"/>
      <c r="ACK105" s="15"/>
      <c r="ACL105" s="15"/>
      <c r="ACM105" s="15"/>
      <c r="ACN105" s="15"/>
      <c r="ACO105" s="15"/>
      <c r="ACP105" s="15"/>
      <c r="ACQ105" s="15"/>
      <c r="ACR105" s="15"/>
      <c r="ACS105" s="15"/>
      <c r="ACT105" s="15"/>
      <c r="ACU105" s="15"/>
      <c r="ACV105" s="15"/>
      <c r="ACW105" s="15"/>
      <c r="ACX105" s="15"/>
      <c r="ACY105" s="15"/>
      <c r="ACZ105" s="15"/>
      <c r="ADA105" s="15"/>
      <c r="ADB105" s="15"/>
      <c r="ADC105" s="15"/>
      <c r="ADD105" s="15"/>
      <c r="ADE105" s="15"/>
      <c r="ADF105" s="15"/>
      <c r="ADG105" s="15"/>
      <c r="ADH105" s="15"/>
      <c r="ADI105" s="15"/>
      <c r="ADJ105" s="15"/>
      <c r="ADK105" s="15"/>
      <c r="ADL105" s="15"/>
      <c r="ADM105" s="15"/>
      <c r="ADN105" s="15"/>
      <c r="ADO105" s="15"/>
      <c r="ADP105" s="15"/>
      <c r="ADQ105" s="15"/>
      <c r="ADR105" s="15"/>
      <c r="ADS105" s="15"/>
      <c r="ADT105" s="15"/>
      <c r="ADU105" s="15"/>
      <c r="ADV105" s="15"/>
      <c r="ADW105" s="15"/>
      <c r="ADX105" s="15"/>
      <c r="ADY105" s="15"/>
      <c r="ADZ105" s="15"/>
      <c r="AEA105" s="15"/>
      <c r="AEB105" s="15"/>
      <c r="AEC105" s="15"/>
      <c r="AED105" s="15"/>
      <c r="AEE105" s="15"/>
      <c r="AEF105" s="15"/>
      <c r="AEG105" s="15"/>
      <c r="AEH105" s="15"/>
      <c r="AEI105" s="15"/>
      <c r="AEJ105" s="15"/>
      <c r="AEK105" s="15"/>
      <c r="AEL105" s="15"/>
      <c r="AEM105" s="15"/>
      <c r="AEN105" s="15"/>
      <c r="AEO105" s="15"/>
      <c r="AEP105" s="15"/>
      <c r="AEQ105" s="15"/>
      <c r="AER105" s="15"/>
      <c r="AES105" s="15"/>
      <c r="AET105" s="15"/>
      <c r="AEU105" s="15"/>
      <c r="AEV105" s="15"/>
      <c r="AEW105" s="15"/>
      <c r="AEX105" s="15"/>
      <c r="AEY105" s="15"/>
      <c r="AEZ105" s="15"/>
      <c r="AFA105" s="15"/>
      <c r="AFB105" s="15"/>
      <c r="AFC105" s="15"/>
      <c r="AFD105" s="15"/>
      <c r="AFE105" s="15"/>
      <c r="AFF105" s="15"/>
      <c r="AFG105" s="15"/>
      <c r="AFH105" s="15"/>
      <c r="AFI105" s="15"/>
      <c r="AFJ105" s="15"/>
      <c r="AFK105" s="15"/>
      <c r="AFL105" s="15"/>
      <c r="AFM105" s="15"/>
      <c r="AFN105" s="15"/>
      <c r="AFO105" s="15"/>
      <c r="AFP105" s="15"/>
      <c r="AFQ105" s="15"/>
      <c r="AFR105" s="15"/>
      <c r="AFS105" s="15"/>
      <c r="AFT105" s="15"/>
      <c r="AFU105" s="15"/>
      <c r="AFV105" s="15"/>
      <c r="AFW105" s="15"/>
      <c r="AFX105" s="15"/>
      <c r="AFY105" s="15"/>
      <c r="AFZ105" s="15"/>
      <c r="AGA105" s="15"/>
      <c r="AGB105" s="15"/>
      <c r="AGC105" s="15"/>
      <c r="AGD105" s="15"/>
      <c r="AGE105" s="15"/>
      <c r="AGF105" s="15"/>
      <c r="AGG105" s="15"/>
      <c r="AGH105" s="15"/>
      <c r="AGI105" s="15"/>
      <c r="AGJ105" s="15"/>
      <c r="AGK105" s="15"/>
      <c r="AGL105" s="15"/>
      <c r="AGM105" s="15"/>
      <c r="AGN105" s="15"/>
      <c r="AGO105" s="15"/>
      <c r="AGP105" s="15"/>
      <c r="AGQ105" s="15"/>
      <c r="AGR105" s="15"/>
      <c r="AGS105" s="15"/>
      <c r="AGT105" s="15"/>
      <c r="AGU105" s="15"/>
      <c r="AGV105" s="15"/>
      <c r="AGW105" s="15"/>
      <c r="AGX105" s="15"/>
      <c r="AGY105" s="15"/>
      <c r="AGZ105" s="15"/>
      <c r="AHA105" s="15"/>
      <c r="AHB105" s="15"/>
      <c r="AHC105" s="15"/>
      <c r="AHD105" s="15"/>
      <c r="AHE105" s="15"/>
      <c r="AHF105" s="15"/>
      <c r="AHG105" s="15"/>
      <c r="AHH105" s="15"/>
      <c r="AHI105" s="15"/>
      <c r="AHJ105" s="15"/>
      <c r="AHK105" s="15"/>
      <c r="AHL105" s="15"/>
      <c r="AHM105" s="15"/>
      <c r="AHN105" s="15"/>
      <c r="AHO105" s="15"/>
      <c r="AHP105" s="15"/>
      <c r="AHQ105" s="15"/>
      <c r="AHR105" s="15"/>
      <c r="AHS105" s="15"/>
      <c r="AHT105" s="15"/>
      <c r="AHU105" s="15"/>
      <c r="AHV105" s="15"/>
      <c r="AHW105" s="15"/>
      <c r="AHX105" s="15"/>
      <c r="AHY105" s="15"/>
      <c r="AHZ105" s="15"/>
      <c r="AIA105" s="15"/>
      <c r="AIB105" s="15"/>
      <c r="AIC105" s="15"/>
      <c r="AID105" s="15"/>
      <c r="AIE105" s="15"/>
      <c r="AIF105" s="15"/>
      <c r="AIG105" s="15"/>
      <c r="AIH105" s="15"/>
      <c r="AII105" s="15"/>
      <c r="AIJ105" s="15"/>
      <c r="AIK105" s="15"/>
      <c r="AIL105" s="15"/>
      <c r="AIM105" s="15"/>
      <c r="AIN105" s="15"/>
      <c r="AIO105" s="15"/>
      <c r="AIP105" s="15"/>
      <c r="AIQ105" s="15"/>
      <c r="AIR105" s="15"/>
      <c r="AIS105" s="15"/>
      <c r="AIT105" s="15"/>
      <c r="AIU105" s="15"/>
      <c r="AIV105" s="15"/>
      <c r="AIW105" s="15"/>
      <c r="AIX105" s="15"/>
      <c r="AIY105" s="15"/>
      <c r="AIZ105" s="15"/>
      <c r="AJA105" s="15"/>
      <c r="AJB105" s="15"/>
      <c r="AJC105" s="15"/>
      <c r="AJD105" s="15"/>
      <c r="AJE105" s="15"/>
      <c r="AJF105" s="15"/>
      <c r="AJG105" s="15"/>
      <c r="AJH105" s="15"/>
      <c r="AJI105" s="15"/>
      <c r="AJJ105" s="15"/>
      <c r="AJK105" s="15"/>
      <c r="AJL105" s="15"/>
      <c r="AJM105" s="15"/>
      <c r="AJN105" s="15"/>
      <c r="AJO105" s="15"/>
      <c r="AJP105" s="15"/>
      <c r="AJQ105" s="15"/>
      <c r="AJR105" s="15"/>
      <c r="AJS105" s="15"/>
      <c r="AJT105" s="15"/>
      <c r="AJU105" s="15"/>
      <c r="AJV105" s="15"/>
      <c r="AJW105" s="15"/>
      <c r="AJX105" s="15"/>
      <c r="AJY105" s="15"/>
      <c r="AJZ105" s="15"/>
      <c r="AKA105" s="15"/>
      <c r="AKB105" s="15"/>
      <c r="AKC105" s="15"/>
      <c r="AKD105" s="15"/>
      <c r="AKE105" s="15"/>
      <c r="AKF105" s="15"/>
      <c r="AKG105" s="15"/>
      <c r="AKH105" s="15"/>
      <c r="AKI105" s="15"/>
      <c r="AKJ105" s="15"/>
      <c r="AKK105" s="15"/>
      <c r="AKL105" s="15"/>
      <c r="AKM105" s="15"/>
      <c r="AKN105" s="15"/>
      <c r="AKO105" s="15"/>
      <c r="AKP105" s="15"/>
      <c r="AKQ105" s="15"/>
      <c r="AKR105" s="15"/>
      <c r="AKS105" s="15"/>
      <c r="AKT105" s="15"/>
      <c r="AKU105" s="15"/>
      <c r="AKV105" s="15"/>
      <c r="AKW105" s="15"/>
      <c r="AKX105" s="15"/>
      <c r="AKY105" s="15"/>
      <c r="AKZ105" s="15"/>
      <c r="ALA105" s="15"/>
      <c r="ALB105" s="15"/>
      <c r="ALC105" s="15"/>
      <c r="ALD105" s="15"/>
      <c r="ALE105" s="15"/>
      <c r="ALF105" s="15"/>
      <c r="ALG105" s="15"/>
      <c r="ALH105" s="15"/>
      <c r="ALI105" s="15"/>
      <c r="ALJ105" s="15"/>
      <c r="ALK105" s="15"/>
      <c r="ALL105" s="15"/>
      <c r="ALM105" s="15"/>
      <c r="ALN105" s="15"/>
      <c r="ALO105" s="15"/>
      <c r="ALP105" s="15"/>
      <c r="ALQ105" s="15"/>
      <c r="ALR105" s="15"/>
      <c r="ALS105" s="15"/>
      <c r="ALT105" s="15"/>
      <c r="ALU105" s="15"/>
      <c r="ALV105" s="15"/>
      <c r="ALW105" s="15"/>
      <c r="ALX105" s="15"/>
      <c r="ALY105" s="15"/>
      <c r="ALZ105" s="15"/>
      <c r="AMA105" s="15"/>
      <c r="AMB105" s="15"/>
      <c r="AMC105" s="15"/>
      <c r="AMD105" s="15"/>
      <c r="AME105" s="15"/>
      <c r="AMF105" s="15"/>
      <c r="AMG105" s="15"/>
      <c r="AMH105" s="15"/>
      <c r="AMI105" s="15"/>
      <c r="AMJ105" s="15"/>
      <c r="AMK105" s="15"/>
      <c r="AML105" s="15"/>
      <c r="AMM105" s="15"/>
      <c r="AMN105" s="15"/>
      <c r="AMO105" s="15"/>
      <c r="AMP105" s="15"/>
      <c r="AMQ105" s="15"/>
      <c r="AMR105" s="15"/>
      <c r="AMS105" s="15"/>
      <c r="AMT105" s="15"/>
      <c r="AMU105" s="15"/>
      <c r="AMV105" s="15"/>
      <c r="AMW105" s="15"/>
      <c r="AMX105" s="15"/>
      <c r="AMY105" s="15"/>
      <c r="AMZ105" s="15"/>
      <c r="ANA105" s="15"/>
      <c r="ANB105" s="15"/>
      <c r="ANC105" s="15"/>
      <c r="AND105" s="15"/>
      <c r="ANE105" s="15"/>
      <c r="ANF105" s="15"/>
      <c r="ANG105" s="15"/>
      <c r="ANH105" s="15"/>
      <c r="ANI105" s="15"/>
      <c r="ANJ105" s="15"/>
      <c r="ANK105" s="15"/>
      <c r="ANL105" s="15"/>
      <c r="ANM105" s="15"/>
      <c r="ANN105" s="15"/>
      <c r="ANO105" s="15"/>
      <c r="ANP105" s="15"/>
      <c r="ANQ105" s="15"/>
      <c r="ANR105" s="15"/>
      <c r="ANS105" s="15"/>
      <c r="ANT105" s="15"/>
      <c r="ANU105" s="15"/>
      <c r="ANV105" s="15"/>
      <c r="ANW105" s="15"/>
      <c r="ANX105" s="15"/>
      <c r="ANY105" s="15"/>
      <c r="ANZ105" s="15"/>
      <c r="AOA105" s="15"/>
      <c r="AOB105" s="15"/>
      <c r="AOC105" s="15"/>
      <c r="AOD105" s="15"/>
      <c r="AOE105" s="15"/>
      <c r="AOF105" s="15"/>
      <c r="AOG105" s="15"/>
      <c r="AOH105" s="15"/>
      <c r="AOI105" s="15"/>
      <c r="AOJ105" s="15"/>
      <c r="AOK105" s="15"/>
      <c r="AOL105" s="15"/>
      <c r="AOM105" s="15"/>
      <c r="AON105" s="15"/>
      <c r="AOO105" s="15"/>
      <c r="AOP105" s="15"/>
      <c r="AOQ105" s="15"/>
      <c r="AOR105" s="15"/>
      <c r="AOS105" s="15"/>
      <c r="AOT105" s="15"/>
      <c r="AOU105" s="15"/>
      <c r="AOV105" s="15"/>
      <c r="AOW105" s="15"/>
      <c r="AOX105" s="15"/>
      <c r="AOY105" s="15"/>
      <c r="AOZ105" s="15"/>
      <c r="APA105" s="15"/>
      <c r="APB105" s="15"/>
      <c r="APC105" s="15"/>
      <c r="APD105" s="15"/>
      <c r="APE105" s="15"/>
      <c r="APF105" s="15"/>
      <c r="APG105" s="15"/>
      <c r="APH105" s="15"/>
      <c r="API105" s="15"/>
      <c r="APJ105" s="15"/>
      <c r="APK105" s="15"/>
      <c r="APL105" s="15"/>
      <c r="APM105" s="15"/>
      <c r="APN105" s="15"/>
      <c r="APO105" s="15"/>
      <c r="APP105" s="15"/>
      <c r="APQ105" s="15"/>
      <c r="APR105" s="15"/>
      <c r="APS105" s="15"/>
      <c r="APT105" s="15"/>
      <c r="APU105" s="15"/>
      <c r="APV105" s="15"/>
      <c r="APW105" s="15"/>
      <c r="APX105" s="15"/>
      <c r="APY105" s="15"/>
      <c r="APZ105" s="15"/>
      <c r="AQA105" s="15"/>
      <c r="AQB105" s="15"/>
      <c r="AQC105" s="15"/>
      <c r="AQD105" s="15"/>
      <c r="AQE105" s="15"/>
      <c r="AQF105" s="15"/>
      <c r="AQG105" s="15"/>
      <c r="AQH105" s="15"/>
      <c r="AQI105" s="15"/>
      <c r="AQJ105" s="15"/>
      <c r="AQK105" s="15"/>
      <c r="AQL105" s="15"/>
      <c r="AQM105" s="15"/>
      <c r="AQN105" s="15"/>
      <c r="AQO105" s="15"/>
      <c r="AQP105" s="15"/>
      <c r="AQQ105" s="15"/>
      <c r="AQR105" s="15"/>
      <c r="AQS105" s="15"/>
      <c r="AQT105" s="15"/>
      <c r="AQU105" s="15"/>
      <c r="AQV105" s="15"/>
      <c r="AQW105" s="15"/>
      <c r="AQX105" s="15"/>
      <c r="AQY105" s="15"/>
      <c r="AQZ105" s="15"/>
      <c r="ARA105" s="15"/>
      <c r="ARB105" s="15"/>
      <c r="ARC105" s="15"/>
      <c r="ARD105" s="15"/>
      <c r="ARE105" s="15"/>
      <c r="ARF105" s="15"/>
      <c r="ARG105" s="15"/>
      <c r="ARH105" s="15"/>
      <c r="ARI105" s="15"/>
      <c r="ARJ105" s="15"/>
      <c r="ARK105" s="15"/>
      <c r="ARL105" s="15"/>
      <c r="ARM105" s="15"/>
      <c r="ARN105" s="15"/>
      <c r="ARO105" s="15"/>
      <c r="ARP105" s="15"/>
      <c r="ARQ105" s="15"/>
      <c r="ARR105" s="15"/>
      <c r="ARS105" s="15"/>
      <c r="ART105" s="15"/>
      <c r="ARU105" s="15"/>
      <c r="ARV105" s="15"/>
      <c r="ARW105" s="15"/>
      <c r="ARX105" s="15"/>
      <c r="ARY105" s="15"/>
      <c r="ARZ105" s="15"/>
      <c r="ASA105" s="15"/>
      <c r="ASB105" s="15"/>
      <c r="ASC105" s="15"/>
      <c r="ASD105" s="15"/>
      <c r="ASE105" s="15"/>
      <c r="ASF105" s="15"/>
      <c r="ASG105" s="15"/>
      <c r="ASH105" s="15"/>
      <c r="ASI105" s="15"/>
      <c r="ASJ105" s="15"/>
      <c r="ASK105" s="15"/>
      <c r="ASL105" s="15"/>
      <c r="ASM105" s="15"/>
      <c r="ASN105" s="15"/>
      <c r="ASO105" s="15"/>
      <c r="ASP105" s="15"/>
      <c r="ASQ105" s="15"/>
      <c r="ASR105" s="15"/>
      <c r="ASS105" s="15"/>
      <c r="AST105" s="15"/>
      <c r="ASU105" s="15"/>
      <c r="ASV105" s="15"/>
      <c r="ASW105" s="15"/>
      <c r="ASX105" s="15"/>
      <c r="ASY105" s="15"/>
      <c r="ASZ105" s="15"/>
      <c r="ATA105" s="15"/>
      <c r="ATB105" s="15"/>
      <c r="ATC105" s="15"/>
      <c r="ATD105" s="15"/>
      <c r="ATE105" s="15"/>
      <c r="ATF105" s="15"/>
      <c r="ATG105" s="15"/>
      <c r="ATH105" s="15"/>
      <c r="ATI105" s="15"/>
      <c r="ATJ105" s="15"/>
      <c r="ATK105" s="15"/>
      <c r="ATL105" s="15"/>
      <c r="ATM105" s="15"/>
      <c r="ATN105" s="15"/>
      <c r="ATO105" s="15"/>
      <c r="ATP105" s="15"/>
      <c r="ATQ105" s="15"/>
      <c r="ATR105" s="15"/>
      <c r="ATS105" s="15"/>
      <c r="ATT105" s="15"/>
      <c r="ATU105" s="15"/>
      <c r="ATV105" s="15"/>
      <c r="ATW105" s="15"/>
      <c r="ATX105" s="15"/>
      <c r="ATY105" s="15"/>
      <c r="ATZ105" s="15"/>
      <c r="AUA105" s="15"/>
      <c r="AUB105" s="15"/>
      <c r="AUC105" s="15"/>
      <c r="AUD105" s="15"/>
      <c r="AUE105" s="15"/>
      <c r="AUF105" s="15"/>
      <c r="AUG105" s="15"/>
      <c r="AUH105" s="15"/>
      <c r="AUI105" s="15"/>
      <c r="AUJ105" s="15"/>
      <c r="AUK105" s="15"/>
      <c r="AUL105" s="15"/>
      <c r="AUM105" s="15"/>
      <c r="AUN105" s="15"/>
      <c r="AUO105" s="15"/>
      <c r="AUP105" s="15"/>
      <c r="AUQ105" s="15"/>
      <c r="AUR105" s="15"/>
      <c r="AUS105" s="15"/>
      <c r="AUT105" s="15"/>
      <c r="AUU105" s="15"/>
      <c r="AUV105" s="15"/>
      <c r="AUW105" s="15"/>
      <c r="AUX105" s="15"/>
      <c r="AUY105" s="15"/>
      <c r="AUZ105" s="15"/>
      <c r="AVA105" s="15"/>
      <c r="AVB105" s="15"/>
      <c r="AVC105" s="15"/>
      <c r="AVD105" s="15"/>
      <c r="AVE105" s="15"/>
      <c r="AVF105" s="15"/>
      <c r="AVG105" s="15"/>
      <c r="AVH105" s="15"/>
      <c r="AVI105" s="15"/>
      <c r="AVJ105" s="15"/>
      <c r="AVK105" s="15"/>
      <c r="AVL105" s="15"/>
      <c r="AVM105" s="15"/>
      <c r="AVN105" s="15"/>
      <c r="AVO105" s="15"/>
      <c r="AVP105" s="15"/>
      <c r="AVQ105" s="15"/>
      <c r="AVR105" s="15"/>
      <c r="AVS105" s="15"/>
      <c r="AVT105" s="15"/>
      <c r="AVU105" s="15"/>
      <c r="AVV105" s="15"/>
      <c r="AVW105" s="15"/>
      <c r="AVX105" s="15"/>
      <c r="AVY105" s="15"/>
      <c r="AVZ105" s="15"/>
      <c r="AWA105" s="15"/>
      <c r="AWB105" s="15"/>
      <c r="AWC105" s="15"/>
      <c r="AWD105" s="15"/>
      <c r="AWE105" s="15"/>
      <c r="AWF105" s="15"/>
      <c r="AWG105" s="15"/>
      <c r="AWH105" s="15"/>
      <c r="AWI105" s="15"/>
      <c r="AWJ105" s="15"/>
      <c r="AWK105" s="15"/>
      <c r="AWL105" s="15"/>
      <c r="AWM105" s="15"/>
      <c r="AWN105" s="15"/>
      <c r="AWO105" s="15"/>
      <c r="AWP105" s="15"/>
      <c r="AWQ105" s="15"/>
      <c r="AWR105" s="15"/>
      <c r="AWS105" s="15"/>
      <c r="AWT105" s="15"/>
      <c r="AWU105" s="15"/>
      <c r="AWV105" s="15"/>
      <c r="AWW105" s="15"/>
      <c r="AWX105" s="15"/>
      <c r="AWY105" s="15"/>
      <c r="AWZ105" s="15"/>
      <c r="AXA105" s="15"/>
      <c r="AXB105" s="15"/>
      <c r="AXC105" s="15"/>
      <c r="AXD105" s="15"/>
      <c r="AXE105" s="15"/>
      <c r="AXF105" s="15"/>
      <c r="AXG105" s="15"/>
      <c r="AXH105" s="15"/>
      <c r="AXI105" s="15"/>
      <c r="AXJ105" s="15"/>
      <c r="AXK105" s="15"/>
      <c r="AXL105" s="15"/>
      <c r="AXM105" s="15"/>
      <c r="AXN105" s="15"/>
      <c r="AXO105" s="15"/>
      <c r="AXP105" s="15"/>
      <c r="AXQ105" s="15"/>
      <c r="AXR105" s="15"/>
      <c r="AXS105" s="15"/>
      <c r="AXT105" s="15"/>
      <c r="AXU105" s="15"/>
      <c r="AXV105" s="15"/>
      <c r="AXW105" s="15"/>
      <c r="AXX105" s="15"/>
      <c r="AXY105" s="15"/>
      <c r="AXZ105" s="15"/>
      <c r="AYA105" s="15"/>
      <c r="AYB105" s="15"/>
      <c r="AYC105" s="15"/>
      <c r="AYD105" s="15"/>
      <c r="AYE105" s="15"/>
      <c r="AYF105" s="15"/>
      <c r="AYG105" s="15"/>
      <c r="AYH105" s="15"/>
      <c r="AYI105" s="15"/>
      <c r="AYJ105" s="15"/>
      <c r="AYK105" s="15"/>
      <c r="AYL105" s="15"/>
      <c r="AYM105" s="15"/>
      <c r="AYN105" s="15"/>
      <c r="AYO105" s="15"/>
      <c r="AYP105" s="15"/>
      <c r="AYQ105" s="15"/>
      <c r="AYR105" s="15"/>
      <c r="AYS105" s="15"/>
      <c r="AYT105" s="15"/>
      <c r="AYU105" s="15"/>
      <c r="AYV105" s="15"/>
      <c r="AYW105" s="15"/>
      <c r="AYX105" s="15"/>
      <c r="AYY105" s="15"/>
      <c r="AYZ105" s="15"/>
      <c r="AZA105" s="15"/>
      <c r="AZB105" s="15"/>
      <c r="AZC105" s="15"/>
      <c r="AZD105" s="15"/>
      <c r="AZE105" s="15"/>
      <c r="AZF105" s="15"/>
      <c r="AZG105" s="15"/>
      <c r="AZH105" s="15"/>
      <c r="AZI105" s="15"/>
      <c r="AZJ105" s="15"/>
      <c r="AZK105" s="15"/>
      <c r="AZL105" s="15"/>
      <c r="AZM105" s="15"/>
      <c r="AZN105" s="15"/>
      <c r="AZO105" s="15"/>
      <c r="AZP105" s="15"/>
      <c r="AZQ105" s="15"/>
      <c r="AZR105" s="15"/>
      <c r="AZS105" s="15"/>
      <c r="AZT105" s="15"/>
      <c r="AZU105" s="15"/>
      <c r="AZV105" s="15"/>
      <c r="AZW105" s="15"/>
      <c r="AZX105" s="15"/>
      <c r="AZY105" s="15"/>
      <c r="AZZ105" s="15"/>
      <c r="BAA105" s="15"/>
      <c r="BAB105" s="15"/>
      <c r="BAC105" s="15"/>
      <c r="BAD105" s="15"/>
      <c r="BAE105" s="15"/>
      <c r="BAF105" s="15"/>
      <c r="BAG105" s="15"/>
      <c r="BAH105" s="15"/>
      <c r="BAI105" s="15"/>
      <c r="BAJ105" s="15"/>
      <c r="BAK105" s="15"/>
      <c r="BAL105" s="15"/>
      <c r="BAM105" s="15"/>
      <c r="BAN105" s="15"/>
      <c r="BAO105" s="15"/>
      <c r="BAP105" s="15"/>
      <c r="BAQ105" s="15"/>
      <c r="BAR105" s="15"/>
      <c r="BAS105" s="15"/>
      <c r="BAT105" s="15"/>
      <c r="BAU105" s="15"/>
      <c r="BAV105" s="15"/>
      <c r="BAW105" s="15"/>
      <c r="BAX105" s="15"/>
      <c r="BAY105" s="15"/>
      <c r="BAZ105" s="15"/>
      <c r="BBA105" s="15"/>
      <c r="BBB105" s="15"/>
      <c r="BBC105" s="15"/>
      <c r="BBD105" s="15"/>
      <c r="BBE105" s="15"/>
      <c r="BBF105" s="15"/>
      <c r="BBG105" s="15"/>
      <c r="BBH105" s="15"/>
      <c r="BBI105" s="15"/>
      <c r="BBJ105" s="15"/>
      <c r="BBK105" s="15"/>
      <c r="BBL105" s="15"/>
      <c r="BBM105" s="15"/>
      <c r="BBN105" s="15"/>
      <c r="BBO105" s="15"/>
      <c r="BBP105" s="15"/>
      <c r="BBQ105" s="15"/>
      <c r="BBR105" s="15"/>
      <c r="BBS105" s="15"/>
      <c r="BBT105" s="15"/>
      <c r="BBU105" s="15"/>
      <c r="BBV105" s="15"/>
      <c r="BBW105" s="15"/>
      <c r="BBX105" s="15"/>
      <c r="BBY105" s="15"/>
      <c r="BBZ105" s="15"/>
      <c r="BCA105" s="15"/>
      <c r="BCB105" s="15"/>
      <c r="BCC105" s="15"/>
      <c r="BCD105" s="15"/>
      <c r="BCE105" s="15"/>
      <c r="BCF105" s="15"/>
      <c r="BCG105" s="15"/>
      <c r="BCH105" s="15"/>
      <c r="BCI105" s="15"/>
      <c r="BCJ105" s="15"/>
      <c r="BCK105" s="15"/>
      <c r="BCL105" s="15"/>
      <c r="BCM105" s="15"/>
      <c r="BCN105" s="15"/>
      <c r="BCO105" s="15"/>
      <c r="BCP105" s="15"/>
      <c r="BCQ105" s="15"/>
      <c r="BCR105" s="15"/>
      <c r="BCS105" s="15"/>
      <c r="BCT105" s="15"/>
      <c r="BCU105" s="15"/>
      <c r="BCV105" s="15"/>
      <c r="BCW105" s="15"/>
      <c r="BCX105" s="15"/>
      <c r="BCY105" s="15"/>
      <c r="BCZ105" s="15"/>
      <c r="BDA105" s="15"/>
      <c r="BDB105" s="15"/>
      <c r="BDC105" s="15"/>
      <c r="BDD105" s="15"/>
      <c r="BDE105" s="15"/>
      <c r="BDF105" s="15"/>
      <c r="BDG105" s="15"/>
      <c r="BDH105" s="15"/>
      <c r="BDI105" s="15"/>
      <c r="BDJ105" s="15"/>
      <c r="BDK105" s="15"/>
      <c r="BDL105" s="15"/>
      <c r="BDM105" s="15"/>
      <c r="BDN105" s="15"/>
      <c r="BDO105" s="15"/>
      <c r="BDP105" s="15"/>
      <c r="BDQ105" s="15"/>
      <c r="BDR105" s="15"/>
      <c r="BDS105" s="15"/>
      <c r="BDT105" s="15"/>
      <c r="BDU105" s="15"/>
      <c r="BDV105" s="15"/>
      <c r="BDW105" s="15"/>
      <c r="BDX105" s="15"/>
      <c r="BDY105" s="15"/>
      <c r="BDZ105" s="15"/>
      <c r="BEA105" s="15"/>
      <c r="BEB105" s="15"/>
      <c r="BEC105" s="15"/>
      <c r="BED105" s="15"/>
      <c r="BEE105" s="15"/>
      <c r="BEF105" s="15"/>
      <c r="BEG105" s="15"/>
      <c r="BEH105" s="15"/>
      <c r="BEI105" s="15"/>
      <c r="BEJ105" s="15"/>
      <c r="BEK105" s="15"/>
      <c r="BEL105" s="15"/>
      <c r="BEM105" s="15"/>
      <c r="BEN105" s="15"/>
      <c r="BEO105" s="15"/>
      <c r="BEP105" s="15"/>
      <c r="BEQ105" s="15"/>
      <c r="BER105" s="15"/>
      <c r="BES105" s="15"/>
      <c r="BET105" s="15"/>
      <c r="BEU105" s="15"/>
      <c r="BEV105" s="15"/>
      <c r="BEW105" s="15"/>
      <c r="BEX105" s="15"/>
      <c r="BEY105" s="15"/>
      <c r="BEZ105" s="15"/>
      <c r="BFA105" s="15"/>
      <c r="BFB105" s="15"/>
      <c r="BFC105" s="15"/>
      <c r="BFD105" s="15"/>
      <c r="BFE105" s="15"/>
      <c r="BFF105" s="15"/>
      <c r="BFG105" s="15"/>
      <c r="BFH105" s="15"/>
      <c r="BFI105" s="15"/>
      <c r="BFJ105" s="15"/>
      <c r="BFK105" s="15"/>
      <c r="BFL105" s="15"/>
      <c r="BFM105" s="15"/>
      <c r="BFN105" s="15"/>
      <c r="BFO105" s="15"/>
      <c r="BFP105" s="15"/>
      <c r="BFQ105" s="15"/>
      <c r="BFR105" s="15"/>
      <c r="BFS105" s="15"/>
      <c r="BFT105" s="15"/>
      <c r="BFU105" s="15"/>
      <c r="BFV105" s="15"/>
      <c r="BFW105" s="15"/>
      <c r="BFX105" s="15"/>
      <c r="BFY105" s="15"/>
      <c r="BFZ105" s="15"/>
      <c r="BGA105" s="15"/>
      <c r="BGB105" s="15"/>
      <c r="BGC105" s="15"/>
      <c r="BGD105" s="15"/>
      <c r="BGE105" s="15"/>
      <c r="BGF105" s="15"/>
      <c r="BGG105" s="15"/>
      <c r="BGH105" s="15"/>
      <c r="BGI105" s="15"/>
      <c r="BGJ105" s="15"/>
      <c r="BGK105" s="15"/>
      <c r="BGL105" s="15"/>
      <c r="BGM105" s="15"/>
      <c r="BGN105" s="15"/>
      <c r="BGO105" s="15"/>
      <c r="BGP105" s="15"/>
      <c r="BGQ105" s="15"/>
      <c r="BGR105" s="15"/>
      <c r="BGS105" s="15"/>
      <c r="BGT105" s="15"/>
      <c r="BGU105" s="15"/>
      <c r="BGV105" s="15"/>
      <c r="BGW105" s="15"/>
      <c r="BGX105" s="15"/>
      <c r="BGY105" s="15"/>
      <c r="BGZ105" s="15"/>
      <c r="BHA105" s="15"/>
      <c r="BHB105" s="15"/>
      <c r="BHC105" s="15"/>
      <c r="BHD105" s="15"/>
      <c r="BHE105" s="15"/>
      <c r="BHF105" s="15"/>
      <c r="BHG105" s="15"/>
      <c r="BHH105" s="15"/>
      <c r="BHI105" s="15"/>
      <c r="BHJ105" s="15"/>
      <c r="BHK105" s="15"/>
      <c r="BHL105" s="15"/>
      <c r="BHM105" s="15"/>
      <c r="BHN105" s="15"/>
      <c r="BHO105" s="15"/>
      <c r="BHP105" s="15"/>
      <c r="BHQ105" s="15"/>
      <c r="BHR105" s="15"/>
      <c r="BHS105" s="15"/>
      <c r="BHT105" s="15"/>
      <c r="BHU105" s="15"/>
      <c r="BHV105" s="15"/>
      <c r="BHW105" s="15"/>
      <c r="BHX105" s="15"/>
      <c r="BHY105" s="15"/>
      <c r="BHZ105" s="15"/>
      <c r="BIA105" s="15"/>
      <c r="BIB105" s="15"/>
      <c r="BIC105" s="15"/>
      <c r="BID105" s="15"/>
      <c r="BIE105" s="15"/>
      <c r="BIF105" s="15"/>
      <c r="BIG105" s="15"/>
      <c r="BIH105" s="15"/>
      <c r="BII105" s="15"/>
      <c r="BIJ105" s="15"/>
      <c r="BIK105" s="15"/>
      <c r="BIL105" s="15"/>
      <c r="BIM105" s="15"/>
      <c r="BIN105" s="15"/>
      <c r="BIO105" s="15"/>
      <c r="BIP105" s="15"/>
      <c r="BIQ105" s="15"/>
      <c r="BIR105" s="15"/>
      <c r="BIS105" s="15"/>
      <c r="BIT105" s="15"/>
      <c r="BIU105" s="15"/>
      <c r="BIV105" s="15"/>
      <c r="BIW105" s="15"/>
      <c r="BIX105" s="15"/>
      <c r="BIY105" s="15"/>
      <c r="BIZ105" s="15"/>
      <c r="BJA105" s="15"/>
      <c r="BJB105" s="15"/>
      <c r="BJC105" s="15"/>
      <c r="BJD105" s="15"/>
      <c r="BJE105" s="15"/>
      <c r="BJF105" s="15"/>
      <c r="BJG105" s="15"/>
      <c r="BJH105" s="15"/>
      <c r="BJI105" s="15"/>
      <c r="BJJ105" s="15"/>
      <c r="BJK105" s="15"/>
      <c r="BJL105" s="15"/>
      <c r="BJM105" s="15"/>
      <c r="BJN105" s="15"/>
      <c r="BJO105" s="15"/>
      <c r="BJP105" s="15"/>
      <c r="BJQ105" s="15"/>
      <c r="BJR105" s="15"/>
      <c r="BJS105" s="15"/>
      <c r="BJT105" s="15"/>
      <c r="BJU105" s="15"/>
      <c r="BJV105" s="15"/>
      <c r="BJW105" s="15"/>
      <c r="BJX105" s="15"/>
      <c r="BJY105" s="15"/>
      <c r="BJZ105" s="15"/>
      <c r="BKA105" s="15"/>
      <c r="BKB105" s="15"/>
      <c r="BKC105" s="15"/>
      <c r="BKD105" s="15"/>
      <c r="BKE105" s="15"/>
      <c r="BKF105" s="15"/>
      <c r="BKG105" s="15"/>
      <c r="BKH105" s="15"/>
      <c r="BKI105" s="15"/>
      <c r="BKJ105" s="15"/>
      <c r="BKK105" s="15"/>
      <c r="BKL105" s="15"/>
      <c r="BKM105" s="15"/>
      <c r="BKN105" s="15"/>
      <c r="BKO105" s="15"/>
      <c r="BKP105" s="15"/>
      <c r="BKQ105" s="15"/>
      <c r="BKR105" s="15"/>
      <c r="BKS105" s="15"/>
      <c r="BKT105" s="15"/>
      <c r="BKU105" s="15"/>
      <c r="BKV105" s="15"/>
      <c r="BKW105" s="15"/>
      <c r="BKX105" s="15"/>
      <c r="BKY105" s="15"/>
      <c r="BKZ105" s="15"/>
      <c r="BLA105" s="15"/>
      <c r="BLB105" s="15"/>
      <c r="BLC105" s="15"/>
      <c r="BLD105" s="15"/>
      <c r="BLE105" s="15"/>
      <c r="BLF105" s="15"/>
      <c r="BLG105" s="15"/>
      <c r="BLH105" s="15"/>
      <c r="BLI105" s="15"/>
      <c r="BLJ105" s="15"/>
      <c r="BLK105" s="15"/>
      <c r="BLL105" s="15"/>
      <c r="BLM105" s="15"/>
      <c r="BLN105" s="15"/>
      <c r="BLO105" s="15"/>
      <c r="BLP105" s="15"/>
      <c r="BLQ105" s="15"/>
      <c r="BLR105" s="15"/>
      <c r="BLS105" s="15"/>
      <c r="BLT105" s="15"/>
      <c r="BLU105" s="15"/>
      <c r="BLV105" s="15"/>
      <c r="BLW105" s="15"/>
      <c r="BLX105" s="15"/>
      <c r="BLY105" s="15"/>
      <c r="BLZ105" s="15"/>
      <c r="BMA105" s="15"/>
      <c r="BMB105" s="15"/>
      <c r="BMC105" s="15"/>
      <c r="BMD105" s="15"/>
      <c r="BME105" s="15"/>
      <c r="BMF105" s="15"/>
      <c r="BMG105" s="15"/>
      <c r="BMH105" s="15"/>
      <c r="BMI105" s="15"/>
      <c r="BMJ105" s="15"/>
      <c r="BMK105" s="15"/>
      <c r="BML105" s="15"/>
      <c r="BMM105" s="15"/>
      <c r="BMN105" s="15"/>
      <c r="BMO105" s="15"/>
      <c r="BMP105" s="15"/>
      <c r="BMQ105" s="15"/>
      <c r="BMR105" s="15"/>
      <c r="BMS105" s="15"/>
      <c r="BMT105" s="15"/>
      <c r="BMU105" s="15"/>
      <c r="BMV105" s="15"/>
      <c r="BMW105" s="15"/>
      <c r="BMX105" s="15"/>
      <c r="BMY105" s="15"/>
      <c r="BMZ105" s="15"/>
      <c r="BNA105" s="15"/>
      <c r="BNB105" s="15"/>
      <c r="BNC105" s="15"/>
      <c r="BND105" s="15"/>
      <c r="BNE105" s="15"/>
      <c r="BNF105" s="15"/>
      <c r="BNG105" s="15"/>
      <c r="BNH105" s="15"/>
      <c r="BNI105" s="15"/>
      <c r="BNJ105" s="15"/>
      <c r="BNK105" s="15"/>
      <c r="BNL105" s="15"/>
      <c r="BNM105" s="15"/>
      <c r="BNN105" s="15"/>
      <c r="BNO105" s="15"/>
      <c r="BNP105" s="15"/>
      <c r="BNQ105" s="15"/>
      <c r="BNR105" s="15"/>
      <c r="BNS105" s="15"/>
      <c r="BNT105" s="15"/>
      <c r="BNU105" s="15"/>
      <c r="BNV105" s="15"/>
      <c r="BNW105" s="15"/>
      <c r="BNX105" s="15"/>
      <c r="BNY105" s="15"/>
      <c r="BNZ105" s="15"/>
      <c r="BOA105" s="15"/>
      <c r="BOB105" s="15"/>
      <c r="BOC105" s="15"/>
      <c r="BOD105" s="15"/>
      <c r="BOE105" s="15"/>
      <c r="BOF105" s="15"/>
      <c r="BOG105" s="15"/>
      <c r="BOH105" s="15"/>
      <c r="BOI105" s="15"/>
      <c r="BOJ105" s="15"/>
      <c r="BOK105" s="15"/>
      <c r="BOL105" s="15"/>
      <c r="BOM105" s="15"/>
      <c r="BON105" s="15"/>
      <c r="BOO105" s="15"/>
      <c r="BOP105" s="15"/>
      <c r="BOQ105" s="15"/>
      <c r="BOR105" s="15"/>
      <c r="BOS105" s="15"/>
      <c r="BOT105" s="15"/>
      <c r="BOU105" s="15"/>
      <c r="BOV105" s="15"/>
      <c r="BOW105" s="15"/>
      <c r="BOX105" s="15"/>
      <c r="BOY105" s="15"/>
      <c r="BOZ105" s="15"/>
      <c r="BPA105" s="15"/>
      <c r="BPB105" s="15"/>
      <c r="BPC105" s="15"/>
      <c r="BPD105" s="15"/>
      <c r="BPE105" s="15"/>
      <c r="BPF105" s="15"/>
      <c r="BPG105" s="15"/>
      <c r="BPH105" s="15"/>
      <c r="BPI105" s="15"/>
      <c r="BPJ105" s="15"/>
      <c r="BPK105" s="15"/>
      <c r="BPL105" s="15"/>
      <c r="BPM105" s="15"/>
      <c r="BPN105" s="15"/>
      <c r="BPO105" s="15"/>
      <c r="BPP105" s="15"/>
      <c r="BPQ105" s="15"/>
      <c r="BPR105" s="15"/>
      <c r="BPS105" s="15"/>
      <c r="BPT105" s="15"/>
      <c r="BPU105" s="15"/>
      <c r="BPV105" s="15"/>
      <c r="BPW105" s="15"/>
      <c r="BPX105" s="15"/>
      <c r="BPY105" s="15"/>
      <c r="BPZ105" s="15"/>
      <c r="BQA105" s="15"/>
      <c r="BQB105" s="15"/>
      <c r="BQC105" s="15"/>
      <c r="BQD105" s="15"/>
      <c r="BQE105" s="15"/>
      <c r="BQF105" s="15"/>
      <c r="BQG105" s="15"/>
      <c r="BQH105" s="15"/>
      <c r="BQI105" s="15"/>
      <c r="BQJ105" s="15"/>
      <c r="BQK105" s="15"/>
      <c r="BQL105" s="15"/>
      <c r="BQM105" s="15"/>
      <c r="BQN105" s="15"/>
      <c r="BQO105" s="15"/>
      <c r="BQP105" s="15"/>
      <c r="BQQ105" s="15"/>
      <c r="BQR105" s="15"/>
      <c r="BQS105" s="15"/>
      <c r="BQT105" s="15"/>
      <c r="BQU105" s="15"/>
      <c r="BQV105" s="15"/>
      <c r="BQW105" s="15"/>
      <c r="BQX105" s="15"/>
      <c r="BQY105" s="15"/>
      <c r="BQZ105" s="15"/>
      <c r="BRA105" s="15"/>
      <c r="BRB105" s="15"/>
      <c r="BRC105" s="15"/>
      <c r="BRD105" s="15"/>
      <c r="BRE105" s="15"/>
      <c r="BRF105" s="15"/>
      <c r="BRG105" s="15"/>
      <c r="BRH105" s="15"/>
      <c r="BRI105" s="15"/>
      <c r="BRJ105" s="15"/>
      <c r="BRK105" s="15"/>
      <c r="BRL105" s="15"/>
      <c r="BRM105" s="15"/>
      <c r="BRN105" s="15"/>
      <c r="BRO105" s="15"/>
      <c r="BRP105" s="15"/>
      <c r="BRQ105" s="15"/>
      <c r="BRR105" s="15"/>
      <c r="BRS105" s="15"/>
      <c r="BRT105" s="15"/>
      <c r="BRU105" s="15"/>
      <c r="BRV105" s="15"/>
      <c r="BRW105" s="15"/>
      <c r="BRX105" s="15"/>
      <c r="BRY105" s="15"/>
      <c r="BRZ105" s="15"/>
      <c r="BSA105" s="15"/>
      <c r="BSB105" s="15"/>
      <c r="BSC105" s="15"/>
      <c r="BSD105" s="15"/>
      <c r="BSE105" s="15"/>
      <c r="BSF105" s="15"/>
      <c r="BSG105" s="15"/>
      <c r="BSH105" s="15"/>
      <c r="BSI105" s="15"/>
      <c r="BSJ105" s="15"/>
      <c r="BSK105" s="15"/>
      <c r="BSL105" s="15"/>
      <c r="BSM105" s="15"/>
      <c r="BSN105" s="15"/>
      <c r="BSO105" s="15"/>
      <c r="BSP105" s="15"/>
      <c r="BSQ105" s="15"/>
      <c r="BSR105" s="15"/>
      <c r="BSS105" s="15"/>
      <c r="BST105" s="15"/>
      <c r="BSU105" s="15"/>
      <c r="BSV105" s="15"/>
      <c r="BSW105" s="15"/>
      <c r="BSX105" s="15"/>
      <c r="BSY105" s="15"/>
      <c r="BSZ105" s="15"/>
      <c r="BTA105" s="15"/>
      <c r="BTB105" s="15"/>
      <c r="BTC105" s="15"/>
      <c r="BTD105" s="15"/>
      <c r="BTE105" s="15"/>
      <c r="BTF105" s="15"/>
      <c r="BTG105" s="15"/>
      <c r="BTH105" s="15"/>
      <c r="BTI105" s="15"/>
      <c r="BTJ105" s="15"/>
      <c r="BTK105" s="15"/>
      <c r="BTL105" s="15"/>
      <c r="BTM105" s="15"/>
      <c r="BTN105" s="15"/>
      <c r="BTO105" s="15"/>
      <c r="BTP105" s="15"/>
      <c r="BTQ105" s="15"/>
      <c r="BTR105" s="15"/>
      <c r="BTS105" s="15"/>
      <c r="BTT105" s="15"/>
      <c r="BTU105" s="15"/>
      <c r="BTV105" s="15"/>
      <c r="BTW105" s="15"/>
      <c r="BTX105" s="15"/>
      <c r="BTY105" s="15"/>
      <c r="BTZ105" s="15"/>
      <c r="BUA105" s="15"/>
      <c r="BUB105" s="15"/>
      <c r="BUC105" s="15"/>
      <c r="BUD105" s="15"/>
      <c r="BUE105" s="15"/>
      <c r="BUF105" s="15"/>
      <c r="BUG105" s="15"/>
      <c r="BUH105" s="15"/>
      <c r="BUI105" s="15"/>
      <c r="BUJ105" s="15"/>
      <c r="BUK105" s="15"/>
      <c r="BUL105" s="15"/>
      <c r="BUM105" s="15"/>
      <c r="BUN105" s="15"/>
      <c r="BUO105" s="15"/>
      <c r="BUP105" s="15"/>
      <c r="BUQ105" s="15"/>
      <c r="BUR105" s="15"/>
      <c r="BUS105" s="15"/>
      <c r="BUT105" s="15"/>
      <c r="BUU105" s="15"/>
      <c r="BUV105" s="15"/>
      <c r="BUW105" s="15"/>
      <c r="BUX105" s="15"/>
      <c r="BUY105" s="15"/>
      <c r="BUZ105" s="15"/>
      <c r="BVA105" s="15"/>
      <c r="BVB105" s="15"/>
      <c r="BVC105" s="15"/>
      <c r="BVD105" s="15"/>
      <c r="BVE105" s="15"/>
      <c r="BVF105" s="15"/>
      <c r="BVG105" s="15"/>
      <c r="BVH105" s="15"/>
      <c r="BVI105" s="15"/>
      <c r="BVJ105" s="15"/>
      <c r="BVK105" s="15"/>
      <c r="BVL105" s="15"/>
      <c r="BVM105" s="15"/>
      <c r="BVN105" s="15"/>
      <c r="BVO105" s="15"/>
      <c r="BVP105" s="15"/>
      <c r="BVQ105" s="15"/>
      <c r="BVR105" s="15"/>
      <c r="BVS105" s="15"/>
      <c r="BVT105" s="15"/>
      <c r="BVU105" s="15"/>
      <c r="BVV105" s="15"/>
      <c r="BVW105" s="15"/>
      <c r="BVX105" s="15"/>
      <c r="BVY105" s="15"/>
      <c r="BVZ105" s="15"/>
      <c r="BWA105" s="15"/>
      <c r="BWB105" s="15"/>
      <c r="BWC105" s="15"/>
      <c r="BWD105" s="15"/>
      <c r="BWE105" s="15"/>
      <c r="BWF105" s="15"/>
      <c r="BWG105" s="15"/>
      <c r="BWH105" s="15"/>
      <c r="BWI105" s="15"/>
      <c r="BWJ105" s="15"/>
      <c r="BWK105" s="15"/>
      <c r="BWL105" s="15"/>
      <c r="BWM105" s="15"/>
      <c r="BWN105" s="15"/>
      <c r="BWO105" s="15"/>
      <c r="BWP105" s="15"/>
      <c r="BWQ105" s="15"/>
      <c r="BWR105" s="15"/>
      <c r="BWS105" s="15"/>
      <c r="BWT105" s="15"/>
      <c r="BWU105" s="15"/>
      <c r="BWV105" s="15"/>
      <c r="BWW105" s="15"/>
      <c r="BWX105" s="15"/>
      <c r="BWY105" s="15"/>
      <c r="BWZ105" s="15"/>
      <c r="BXA105" s="15"/>
      <c r="BXB105" s="15"/>
      <c r="BXC105" s="15"/>
      <c r="BXD105" s="15"/>
      <c r="BXE105" s="15"/>
      <c r="BXF105" s="15"/>
      <c r="BXG105" s="15"/>
      <c r="BXH105" s="15"/>
      <c r="BXI105" s="15"/>
      <c r="BXJ105" s="15"/>
      <c r="BXK105" s="15"/>
      <c r="BXL105" s="15"/>
      <c r="BXM105" s="15"/>
      <c r="BXN105" s="15"/>
      <c r="BXO105" s="15"/>
      <c r="BXP105" s="15"/>
      <c r="BXQ105" s="15"/>
      <c r="BXR105" s="15"/>
      <c r="BXS105" s="15"/>
      <c r="BXT105" s="15"/>
      <c r="BXU105" s="15"/>
      <c r="BXV105" s="15"/>
      <c r="BXW105" s="15"/>
      <c r="BXX105" s="15"/>
      <c r="BXY105" s="15"/>
      <c r="BXZ105" s="15"/>
      <c r="BYA105" s="15"/>
      <c r="BYB105" s="15"/>
      <c r="BYC105" s="15"/>
      <c r="BYD105" s="15"/>
      <c r="BYE105" s="15"/>
      <c r="BYF105" s="15"/>
      <c r="BYG105" s="15"/>
      <c r="BYH105" s="15"/>
      <c r="BYI105" s="15"/>
      <c r="BYJ105" s="15"/>
      <c r="BYK105" s="15"/>
      <c r="BYL105" s="15"/>
      <c r="BYM105" s="15"/>
      <c r="BYN105" s="15"/>
      <c r="BYO105" s="15"/>
      <c r="BYP105" s="15"/>
      <c r="BYQ105" s="15"/>
      <c r="BYR105" s="15"/>
      <c r="BYS105" s="15"/>
      <c r="BYT105" s="15"/>
      <c r="BYU105" s="15"/>
      <c r="BYV105" s="15"/>
      <c r="BYW105" s="15"/>
      <c r="BYX105" s="15"/>
      <c r="BYY105" s="15"/>
      <c r="BYZ105" s="15"/>
      <c r="BZA105" s="15"/>
      <c r="BZB105" s="15"/>
      <c r="BZC105" s="15"/>
      <c r="BZD105" s="15"/>
      <c r="BZE105" s="15"/>
      <c r="BZF105" s="15"/>
      <c r="BZG105" s="15"/>
      <c r="BZH105" s="15"/>
      <c r="BZI105" s="15"/>
      <c r="BZJ105" s="15"/>
      <c r="BZK105" s="15"/>
      <c r="BZL105" s="15"/>
      <c r="BZM105" s="15"/>
      <c r="BZN105" s="15"/>
      <c r="BZO105" s="15"/>
      <c r="BZP105" s="15"/>
      <c r="BZQ105" s="15"/>
      <c r="BZR105" s="15"/>
      <c r="BZS105" s="15"/>
      <c r="BZT105" s="15"/>
      <c r="BZU105" s="15"/>
      <c r="BZV105" s="15"/>
      <c r="BZW105" s="15"/>
      <c r="BZX105" s="15"/>
      <c r="BZY105" s="15"/>
      <c r="BZZ105" s="15"/>
      <c r="CAA105" s="15"/>
      <c r="CAB105" s="15"/>
      <c r="CAC105" s="15"/>
      <c r="CAD105" s="15"/>
      <c r="CAE105" s="15"/>
      <c r="CAF105" s="15"/>
      <c r="CAG105" s="15"/>
      <c r="CAH105" s="15"/>
      <c r="CAI105" s="15"/>
      <c r="CAJ105" s="15"/>
      <c r="CAK105" s="15"/>
      <c r="CAL105" s="15"/>
      <c r="CAM105" s="15"/>
      <c r="CAN105" s="15"/>
      <c r="CAO105" s="15"/>
      <c r="CAP105" s="15"/>
      <c r="CAQ105" s="15"/>
      <c r="CAR105" s="15"/>
      <c r="CAS105" s="15"/>
      <c r="CAT105" s="15"/>
      <c r="CAU105" s="15"/>
      <c r="CAV105" s="15"/>
      <c r="CAW105" s="15"/>
      <c r="CAX105" s="15"/>
      <c r="CAY105" s="15"/>
      <c r="CAZ105" s="15"/>
      <c r="CBA105" s="15"/>
      <c r="CBB105" s="15"/>
      <c r="CBC105" s="15"/>
      <c r="CBD105" s="15"/>
      <c r="CBE105" s="15"/>
      <c r="CBF105" s="15"/>
      <c r="CBG105" s="15"/>
      <c r="CBH105" s="15"/>
    </row>
    <row r="106" spans="1:16372" s="47" customFormat="1" x14ac:dyDescent="0.2">
      <c r="A106" s="1" t="s">
        <v>95</v>
      </c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  <c r="MH106" s="15"/>
      <c r="MI106" s="15"/>
      <c r="MJ106" s="15"/>
      <c r="MK106" s="15"/>
      <c r="ML106" s="15"/>
      <c r="MM106" s="15"/>
      <c r="MN106" s="15"/>
      <c r="MO106" s="15"/>
      <c r="MP106" s="15"/>
      <c r="MQ106" s="15"/>
      <c r="MR106" s="15"/>
      <c r="MS106" s="15"/>
      <c r="MT106" s="15"/>
      <c r="MU106" s="15"/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  <c r="OA106" s="15"/>
      <c r="OB106" s="15"/>
      <c r="OC106" s="15"/>
      <c r="OD106" s="15"/>
      <c r="OE106" s="15"/>
      <c r="OF106" s="15"/>
      <c r="OG106" s="15"/>
      <c r="OH106" s="15"/>
      <c r="OI106" s="15"/>
      <c r="OJ106" s="15"/>
      <c r="OK106" s="15"/>
      <c r="OL106" s="15"/>
      <c r="OM106" s="15"/>
      <c r="ON106" s="15"/>
      <c r="OO106" s="15"/>
      <c r="OP106" s="15"/>
      <c r="OQ106" s="15"/>
      <c r="OR106" s="15"/>
      <c r="OS106" s="15"/>
      <c r="OT106" s="15"/>
      <c r="OU106" s="15"/>
      <c r="OV106" s="15"/>
      <c r="OW106" s="15"/>
      <c r="OX106" s="15"/>
      <c r="OY106" s="15"/>
      <c r="OZ106" s="15"/>
      <c r="PA106" s="15"/>
      <c r="PB106" s="15"/>
      <c r="PC106" s="15"/>
      <c r="PD106" s="15"/>
      <c r="PE106" s="15"/>
      <c r="PF106" s="15"/>
      <c r="PG106" s="15"/>
      <c r="PH106" s="15"/>
      <c r="PI106" s="15"/>
      <c r="PJ106" s="15"/>
      <c r="PK106" s="15"/>
      <c r="PL106" s="15"/>
      <c r="PM106" s="15"/>
      <c r="PN106" s="15"/>
      <c r="PO106" s="15"/>
      <c r="PP106" s="15"/>
      <c r="PQ106" s="15"/>
      <c r="PR106" s="15"/>
      <c r="PS106" s="15"/>
      <c r="PT106" s="15"/>
      <c r="PU106" s="15"/>
      <c r="PV106" s="15"/>
      <c r="PW106" s="15"/>
      <c r="PX106" s="15"/>
      <c r="PY106" s="15"/>
      <c r="PZ106" s="15"/>
      <c r="QA106" s="15"/>
      <c r="QB106" s="15"/>
      <c r="QC106" s="15"/>
      <c r="QD106" s="15"/>
      <c r="QE106" s="15"/>
      <c r="QF106" s="15"/>
      <c r="QG106" s="15"/>
      <c r="QH106" s="15"/>
      <c r="QI106" s="15"/>
      <c r="QJ106" s="15"/>
      <c r="QK106" s="15"/>
      <c r="QL106" s="15"/>
      <c r="QM106" s="15"/>
      <c r="QN106" s="15"/>
      <c r="QO106" s="15"/>
      <c r="QP106" s="15"/>
      <c r="QQ106" s="15"/>
      <c r="QR106" s="15"/>
      <c r="QS106" s="15"/>
      <c r="QT106" s="15"/>
      <c r="QU106" s="15"/>
      <c r="QV106" s="15"/>
      <c r="QW106" s="15"/>
      <c r="QX106" s="15"/>
      <c r="QY106" s="15"/>
      <c r="QZ106" s="15"/>
      <c r="RA106" s="15"/>
      <c r="RB106" s="15"/>
      <c r="RC106" s="15"/>
      <c r="RD106" s="15"/>
      <c r="RE106" s="15"/>
      <c r="RF106" s="15"/>
      <c r="RG106" s="15"/>
      <c r="RH106" s="15"/>
      <c r="RI106" s="15"/>
      <c r="RJ106" s="15"/>
      <c r="RK106" s="15"/>
      <c r="RL106" s="15"/>
      <c r="RM106" s="15"/>
      <c r="RN106" s="15"/>
      <c r="RO106" s="15"/>
      <c r="RP106" s="15"/>
      <c r="RQ106" s="15"/>
      <c r="RR106" s="15"/>
      <c r="RS106" s="15"/>
      <c r="RT106" s="15"/>
      <c r="RU106" s="15"/>
      <c r="RV106" s="15"/>
      <c r="RW106" s="15"/>
      <c r="RX106" s="15"/>
      <c r="RY106" s="15"/>
      <c r="RZ106" s="15"/>
      <c r="SA106" s="15"/>
      <c r="SB106" s="15"/>
      <c r="SC106" s="15"/>
      <c r="SD106" s="15"/>
      <c r="SE106" s="15"/>
      <c r="SF106" s="15"/>
      <c r="SG106" s="15"/>
      <c r="SH106" s="15"/>
      <c r="SI106" s="15"/>
      <c r="SJ106" s="15"/>
      <c r="SK106" s="15"/>
      <c r="SL106" s="15"/>
      <c r="SM106" s="15"/>
      <c r="SN106" s="15"/>
      <c r="SO106" s="15"/>
      <c r="SP106" s="15"/>
      <c r="SQ106" s="15"/>
      <c r="SR106" s="15"/>
      <c r="SS106" s="15"/>
      <c r="ST106" s="15"/>
      <c r="SU106" s="15"/>
      <c r="SV106" s="15"/>
      <c r="SW106" s="15"/>
      <c r="SX106" s="15"/>
      <c r="SY106" s="15"/>
      <c r="SZ106" s="15"/>
      <c r="TA106" s="15"/>
      <c r="TB106" s="15"/>
      <c r="TC106" s="15"/>
      <c r="TD106" s="15"/>
      <c r="TE106" s="15"/>
      <c r="TF106" s="15"/>
      <c r="TG106" s="15"/>
      <c r="TH106" s="15"/>
      <c r="TI106" s="15"/>
      <c r="TJ106" s="15"/>
      <c r="TK106" s="15"/>
      <c r="TL106" s="15"/>
      <c r="TM106" s="15"/>
      <c r="TN106" s="15"/>
      <c r="TO106" s="15"/>
      <c r="TP106" s="15"/>
      <c r="TQ106" s="15"/>
      <c r="TR106" s="15"/>
      <c r="TS106" s="15"/>
      <c r="TT106" s="15"/>
      <c r="TU106" s="15"/>
      <c r="TV106" s="15"/>
      <c r="TW106" s="15"/>
      <c r="TX106" s="15"/>
      <c r="TY106" s="15"/>
      <c r="TZ106" s="15"/>
      <c r="UA106" s="15"/>
      <c r="UB106" s="15"/>
      <c r="UC106" s="15"/>
      <c r="UD106" s="15"/>
      <c r="UE106" s="15"/>
      <c r="UF106" s="15"/>
      <c r="UG106" s="15"/>
      <c r="UH106" s="15"/>
      <c r="UI106" s="15"/>
      <c r="UJ106" s="15"/>
      <c r="UK106" s="15"/>
      <c r="UL106" s="15"/>
      <c r="UM106" s="15"/>
      <c r="UN106" s="15"/>
      <c r="UO106" s="15"/>
      <c r="UP106" s="15"/>
      <c r="UQ106" s="15"/>
      <c r="UR106" s="15"/>
      <c r="US106" s="15"/>
      <c r="UT106" s="15"/>
      <c r="UU106" s="15"/>
      <c r="UV106" s="15"/>
      <c r="UW106" s="15"/>
      <c r="UX106" s="15"/>
      <c r="UY106" s="15"/>
      <c r="UZ106" s="15"/>
      <c r="VA106" s="15"/>
      <c r="VB106" s="15"/>
      <c r="VC106" s="15"/>
      <c r="VD106" s="15"/>
      <c r="VE106" s="15"/>
      <c r="VF106" s="15"/>
      <c r="VG106" s="15"/>
      <c r="VH106" s="15"/>
      <c r="VI106" s="15"/>
      <c r="VJ106" s="15"/>
      <c r="VK106" s="15"/>
      <c r="VL106" s="15"/>
      <c r="VM106" s="15"/>
      <c r="VN106" s="15"/>
      <c r="VO106" s="15"/>
      <c r="VP106" s="15"/>
      <c r="VQ106" s="15"/>
      <c r="VR106" s="15"/>
      <c r="VS106" s="15"/>
      <c r="VT106" s="15"/>
      <c r="VU106" s="15"/>
      <c r="VV106" s="15"/>
      <c r="VW106" s="15"/>
      <c r="VX106" s="15"/>
      <c r="VY106" s="15"/>
      <c r="VZ106" s="15"/>
      <c r="WA106" s="15"/>
      <c r="WB106" s="15"/>
      <c r="WC106" s="15"/>
      <c r="WD106" s="15"/>
      <c r="WE106" s="15"/>
      <c r="WF106" s="15"/>
      <c r="WG106" s="15"/>
      <c r="WH106" s="15"/>
      <c r="WI106" s="15"/>
      <c r="WJ106" s="15"/>
      <c r="WK106" s="15"/>
      <c r="WL106" s="15"/>
      <c r="WM106" s="15"/>
      <c r="WN106" s="15"/>
      <c r="WO106" s="15"/>
      <c r="WP106" s="15"/>
      <c r="WQ106" s="15"/>
      <c r="WR106" s="15"/>
      <c r="WS106" s="15"/>
      <c r="WT106" s="15"/>
      <c r="WU106" s="15"/>
      <c r="WV106" s="15"/>
      <c r="WW106" s="15"/>
      <c r="WX106" s="15"/>
      <c r="WY106" s="15"/>
      <c r="WZ106" s="15"/>
      <c r="XA106" s="15"/>
      <c r="XB106" s="15"/>
      <c r="XC106" s="15"/>
      <c r="XD106" s="15"/>
      <c r="XE106" s="15"/>
      <c r="XF106" s="15"/>
      <c r="XG106" s="15"/>
      <c r="XH106" s="15"/>
      <c r="XI106" s="15"/>
      <c r="XJ106" s="15"/>
      <c r="XK106" s="15"/>
      <c r="XL106" s="15"/>
      <c r="XM106" s="15"/>
      <c r="XN106" s="15"/>
      <c r="XO106" s="15"/>
      <c r="XP106" s="15"/>
      <c r="XQ106" s="15"/>
      <c r="XR106" s="15"/>
      <c r="XS106" s="15"/>
      <c r="XT106" s="15"/>
      <c r="XU106" s="15"/>
      <c r="XV106" s="15"/>
      <c r="XW106" s="15"/>
      <c r="XX106" s="15"/>
      <c r="XY106" s="15"/>
      <c r="XZ106" s="15"/>
      <c r="YA106" s="15"/>
      <c r="YB106" s="15"/>
      <c r="YC106" s="15"/>
      <c r="YD106" s="15"/>
      <c r="YE106" s="15"/>
      <c r="YF106" s="15"/>
      <c r="YG106" s="15"/>
      <c r="YH106" s="15"/>
      <c r="YI106" s="15"/>
      <c r="YJ106" s="15"/>
      <c r="YK106" s="15"/>
      <c r="YL106" s="15"/>
      <c r="YM106" s="15"/>
      <c r="YN106" s="15"/>
      <c r="YO106" s="15"/>
      <c r="YP106" s="15"/>
      <c r="YQ106" s="15"/>
      <c r="YR106" s="15"/>
      <c r="YS106" s="15"/>
      <c r="YT106" s="15"/>
      <c r="YU106" s="15"/>
      <c r="YV106" s="15"/>
      <c r="YW106" s="15"/>
      <c r="YX106" s="15"/>
      <c r="YY106" s="15"/>
      <c r="YZ106" s="15"/>
      <c r="ZA106" s="15"/>
      <c r="ZB106" s="15"/>
      <c r="ZC106" s="15"/>
      <c r="ZD106" s="15"/>
      <c r="ZE106" s="15"/>
      <c r="ZF106" s="15"/>
      <c r="ZG106" s="15"/>
      <c r="ZH106" s="15"/>
      <c r="ZI106" s="15"/>
      <c r="ZJ106" s="15"/>
      <c r="ZK106" s="15"/>
      <c r="ZL106" s="15"/>
      <c r="ZM106" s="15"/>
      <c r="ZN106" s="15"/>
      <c r="ZO106" s="15"/>
      <c r="ZP106" s="15"/>
      <c r="ZQ106" s="15"/>
      <c r="ZR106" s="15"/>
      <c r="ZS106" s="15"/>
      <c r="ZT106" s="15"/>
      <c r="ZU106" s="15"/>
      <c r="ZV106" s="15"/>
      <c r="ZW106" s="15"/>
      <c r="ZX106" s="15"/>
      <c r="ZY106" s="15"/>
      <c r="ZZ106" s="15"/>
      <c r="AAA106" s="15"/>
      <c r="AAB106" s="15"/>
      <c r="AAC106" s="15"/>
      <c r="AAD106" s="15"/>
      <c r="AAE106" s="15"/>
      <c r="AAF106" s="15"/>
      <c r="AAG106" s="15"/>
      <c r="AAH106" s="15"/>
      <c r="AAI106" s="15"/>
      <c r="AAJ106" s="15"/>
      <c r="AAK106" s="15"/>
      <c r="AAL106" s="15"/>
      <c r="AAM106" s="15"/>
      <c r="AAN106" s="15"/>
      <c r="AAO106" s="15"/>
      <c r="AAP106" s="15"/>
      <c r="AAQ106" s="15"/>
      <c r="AAR106" s="15"/>
      <c r="AAS106" s="15"/>
      <c r="AAT106" s="15"/>
      <c r="AAU106" s="15"/>
      <c r="AAV106" s="15"/>
      <c r="AAW106" s="15"/>
      <c r="AAX106" s="15"/>
      <c r="AAY106" s="15"/>
      <c r="AAZ106" s="15"/>
      <c r="ABA106" s="15"/>
      <c r="ABB106" s="15"/>
      <c r="ABC106" s="15"/>
      <c r="ABD106" s="15"/>
      <c r="ABE106" s="15"/>
      <c r="ABF106" s="15"/>
      <c r="ABG106" s="15"/>
      <c r="ABH106" s="15"/>
      <c r="ABI106" s="15"/>
      <c r="ABJ106" s="15"/>
      <c r="ABK106" s="15"/>
      <c r="ABL106" s="15"/>
      <c r="ABM106" s="15"/>
      <c r="ABN106" s="15"/>
      <c r="ABO106" s="15"/>
      <c r="ABP106" s="15"/>
      <c r="ABQ106" s="15"/>
      <c r="ABR106" s="15"/>
      <c r="ABS106" s="15"/>
      <c r="ABT106" s="15"/>
      <c r="ABU106" s="15"/>
      <c r="ABV106" s="15"/>
      <c r="ABW106" s="15"/>
      <c r="ABX106" s="15"/>
      <c r="ABY106" s="15"/>
      <c r="ABZ106" s="15"/>
      <c r="ACA106" s="15"/>
      <c r="ACB106" s="15"/>
      <c r="ACC106" s="15"/>
      <c r="ACD106" s="15"/>
      <c r="ACE106" s="15"/>
      <c r="ACF106" s="15"/>
      <c r="ACG106" s="15"/>
      <c r="ACH106" s="15"/>
      <c r="ACI106" s="15"/>
      <c r="ACJ106" s="15"/>
      <c r="ACK106" s="15"/>
      <c r="ACL106" s="15"/>
      <c r="ACM106" s="15"/>
      <c r="ACN106" s="15"/>
      <c r="ACO106" s="15"/>
      <c r="ACP106" s="15"/>
      <c r="ACQ106" s="15"/>
      <c r="ACR106" s="15"/>
      <c r="ACS106" s="15"/>
      <c r="ACT106" s="15"/>
      <c r="ACU106" s="15"/>
      <c r="ACV106" s="15"/>
      <c r="ACW106" s="15"/>
      <c r="ACX106" s="15"/>
      <c r="ACY106" s="15"/>
      <c r="ACZ106" s="15"/>
      <c r="ADA106" s="15"/>
      <c r="ADB106" s="15"/>
      <c r="ADC106" s="15"/>
      <c r="ADD106" s="15"/>
      <c r="ADE106" s="15"/>
      <c r="ADF106" s="15"/>
      <c r="ADG106" s="15"/>
      <c r="ADH106" s="15"/>
      <c r="ADI106" s="15"/>
      <c r="ADJ106" s="15"/>
      <c r="ADK106" s="15"/>
      <c r="ADL106" s="15"/>
      <c r="ADM106" s="15"/>
      <c r="ADN106" s="15"/>
      <c r="ADO106" s="15"/>
      <c r="ADP106" s="15"/>
      <c r="ADQ106" s="15"/>
      <c r="ADR106" s="15"/>
      <c r="ADS106" s="15"/>
      <c r="ADT106" s="15"/>
      <c r="ADU106" s="15"/>
      <c r="ADV106" s="15"/>
      <c r="ADW106" s="15"/>
      <c r="ADX106" s="15"/>
      <c r="ADY106" s="15"/>
      <c r="ADZ106" s="15"/>
      <c r="AEA106" s="15"/>
      <c r="AEB106" s="15"/>
      <c r="AEC106" s="15"/>
      <c r="AED106" s="15"/>
      <c r="AEE106" s="15"/>
      <c r="AEF106" s="15"/>
      <c r="AEG106" s="15"/>
      <c r="AEH106" s="15"/>
      <c r="AEI106" s="15"/>
      <c r="AEJ106" s="15"/>
      <c r="AEK106" s="15"/>
      <c r="AEL106" s="15"/>
      <c r="AEM106" s="15"/>
      <c r="AEN106" s="15"/>
      <c r="AEO106" s="15"/>
      <c r="AEP106" s="15"/>
      <c r="AEQ106" s="15"/>
      <c r="AER106" s="15"/>
      <c r="AES106" s="15"/>
      <c r="AET106" s="15"/>
      <c r="AEU106" s="15"/>
      <c r="AEV106" s="15"/>
      <c r="AEW106" s="15"/>
      <c r="AEX106" s="15"/>
      <c r="AEY106" s="15"/>
      <c r="AEZ106" s="15"/>
      <c r="AFA106" s="15"/>
      <c r="AFB106" s="15"/>
      <c r="AFC106" s="15"/>
      <c r="AFD106" s="15"/>
      <c r="AFE106" s="15"/>
      <c r="AFF106" s="15"/>
      <c r="AFG106" s="15"/>
      <c r="AFH106" s="15"/>
      <c r="AFI106" s="15"/>
      <c r="AFJ106" s="15"/>
      <c r="AFK106" s="15"/>
      <c r="AFL106" s="15"/>
      <c r="AFM106" s="15"/>
      <c r="AFN106" s="15"/>
      <c r="AFO106" s="15"/>
      <c r="AFP106" s="15"/>
      <c r="AFQ106" s="15"/>
      <c r="AFR106" s="15"/>
      <c r="AFS106" s="15"/>
      <c r="AFT106" s="15"/>
      <c r="AFU106" s="15"/>
      <c r="AFV106" s="15"/>
      <c r="AFW106" s="15"/>
      <c r="AFX106" s="15"/>
      <c r="AFY106" s="15"/>
      <c r="AFZ106" s="15"/>
      <c r="AGA106" s="15"/>
      <c r="AGB106" s="15"/>
      <c r="AGC106" s="15"/>
      <c r="AGD106" s="15"/>
      <c r="AGE106" s="15"/>
      <c r="AGF106" s="15"/>
      <c r="AGG106" s="15"/>
      <c r="AGH106" s="15"/>
      <c r="AGI106" s="15"/>
      <c r="AGJ106" s="15"/>
      <c r="AGK106" s="15"/>
      <c r="AGL106" s="15"/>
      <c r="AGM106" s="15"/>
      <c r="AGN106" s="15"/>
      <c r="AGO106" s="15"/>
      <c r="AGP106" s="15"/>
      <c r="AGQ106" s="15"/>
      <c r="AGR106" s="15"/>
      <c r="AGS106" s="15"/>
      <c r="AGT106" s="15"/>
      <c r="AGU106" s="15"/>
      <c r="AGV106" s="15"/>
      <c r="AGW106" s="15"/>
      <c r="AGX106" s="15"/>
      <c r="AGY106" s="15"/>
      <c r="AGZ106" s="15"/>
      <c r="AHA106" s="15"/>
      <c r="AHB106" s="15"/>
      <c r="AHC106" s="15"/>
      <c r="AHD106" s="15"/>
      <c r="AHE106" s="15"/>
      <c r="AHF106" s="15"/>
      <c r="AHG106" s="15"/>
      <c r="AHH106" s="15"/>
      <c r="AHI106" s="15"/>
      <c r="AHJ106" s="15"/>
      <c r="AHK106" s="15"/>
      <c r="AHL106" s="15"/>
      <c r="AHM106" s="15"/>
      <c r="AHN106" s="15"/>
      <c r="AHO106" s="15"/>
      <c r="AHP106" s="15"/>
      <c r="AHQ106" s="15"/>
      <c r="AHR106" s="15"/>
      <c r="AHS106" s="15"/>
      <c r="AHT106" s="15"/>
      <c r="AHU106" s="15"/>
      <c r="AHV106" s="15"/>
      <c r="AHW106" s="15"/>
      <c r="AHX106" s="15"/>
      <c r="AHY106" s="15"/>
      <c r="AHZ106" s="15"/>
      <c r="AIA106" s="15"/>
      <c r="AIB106" s="15"/>
      <c r="AIC106" s="15"/>
      <c r="AID106" s="15"/>
      <c r="AIE106" s="15"/>
      <c r="AIF106" s="15"/>
      <c r="AIG106" s="15"/>
      <c r="AIH106" s="15"/>
      <c r="AII106" s="15"/>
      <c r="AIJ106" s="15"/>
      <c r="AIK106" s="15"/>
      <c r="AIL106" s="15"/>
      <c r="AIM106" s="15"/>
      <c r="AIN106" s="15"/>
      <c r="AIO106" s="15"/>
      <c r="AIP106" s="15"/>
      <c r="AIQ106" s="15"/>
      <c r="AIR106" s="15"/>
      <c r="AIS106" s="15"/>
      <c r="AIT106" s="15"/>
      <c r="AIU106" s="15"/>
      <c r="AIV106" s="15"/>
      <c r="AIW106" s="15"/>
      <c r="AIX106" s="15"/>
      <c r="AIY106" s="15"/>
      <c r="AIZ106" s="15"/>
      <c r="AJA106" s="15"/>
      <c r="AJB106" s="15"/>
      <c r="AJC106" s="15"/>
      <c r="AJD106" s="15"/>
      <c r="AJE106" s="15"/>
      <c r="AJF106" s="15"/>
      <c r="AJG106" s="15"/>
      <c r="AJH106" s="15"/>
      <c r="AJI106" s="15"/>
      <c r="AJJ106" s="15"/>
      <c r="AJK106" s="15"/>
      <c r="AJL106" s="15"/>
      <c r="AJM106" s="15"/>
      <c r="AJN106" s="15"/>
      <c r="AJO106" s="15"/>
      <c r="AJP106" s="15"/>
      <c r="AJQ106" s="15"/>
      <c r="AJR106" s="15"/>
      <c r="AJS106" s="15"/>
      <c r="AJT106" s="15"/>
      <c r="AJU106" s="15"/>
      <c r="AJV106" s="15"/>
      <c r="AJW106" s="15"/>
      <c r="AJX106" s="15"/>
      <c r="AJY106" s="15"/>
      <c r="AJZ106" s="15"/>
      <c r="AKA106" s="15"/>
      <c r="AKB106" s="15"/>
      <c r="AKC106" s="15"/>
      <c r="AKD106" s="15"/>
      <c r="AKE106" s="15"/>
      <c r="AKF106" s="15"/>
      <c r="AKG106" s="15"/>
      <c r="AKH106" s="15"/>
      <c r="AKI106" s="15"/>
      <c r="AKJ106" s="15"/>
      <c r="AKK106" s="15"/>
      <c r="AKL106" s="15"/>
      <c r="AKM106" s="15"/>
      <c r="AKN106" s="15"/>
      <c r="AKO106" s="15"/>
      <c r="AKP106" s="15"/>
      <c r="AKQ106" s="15"/>
      <c r="AKR106" s="15"/>
      <c r="AKS106" s="15"/>
      <c r="AKT106" s="15"/>
      <c r="AKU106" s="15"/>
      <c r="AKV106" s="15"/>
      <c r="AKW106" s="15"/>
      <c r="AKX106" s="15"/>
      <c r="AKY106" s="15"/>
      <c r="AKZ106" s="15"/>
      <c r="ALA106" s="15"/>
      <c r="ALB106" s="15"/>
      <c r="ALC106" s="15"/>
      <c r="ALD106" s="15"/>
      <c r="ALE106" s="15"/>
      <c r="ALF106" s="15"/>
      <c r="ALG106" s="15"/>
      <c r="ALH106" s="15"/>
      <c r="ALI106" s="15"/>
      <c r="ALJ106" s="15"/>
      <c r="ALK106" s="15"/>
      <c r="ALL106" s="15"/>
      <c r="ALM106" s="15"/>
      <c r="ALN106" s="15"/>
      <c r="ALO106" s="15"/>
      <c r="ALP106" s="15"/>
      <c r="ALQ106" s="15"/>
      <c r="ALR106" s="15"/>
      <c r="ALS106" s="15"/>
      <c r="ALT106" s="15"/>
      <c r="ALU106" s="15"/>
      <c r="ALV106" s="15"/>
      <c r="ALW106" s="15"/>
      <c r="ALX106" s="15"/>
      <c r="ALY106" s="15"/>
      <c r="ALZ106" s="15"/>
      <c r="AMA106" s="15"/>
      <c r="AMB106" s="15"/>
      <c r="AMC106" s="15"/>
      <c r="AMD106" s="15"/>
      <c r="AME106" s="15"/>
      <c r="AMF106" s="15"/>
      <c r="AMG106" s="15"/>
      <c r="AMH106" s="15"/>
      <c r="AMI106" s="15"/>
      <c r="AMJ106" s="15"/>
      <c r="AMK106" s="15"/>
      <c r="AML106" s="15"/>
      <c r="AMM106" s="15"/>
      <c r="AMN106" s="15"/>
      <c r="AMO106" s="15"/>
      <c r="AMP106" s="15"/>
      <c r="AMQ106" s="15"/>
      <c r="AMR106" s="15"/>
      <c r="AMS106" s="15"/>
      <c r="AMT106" s="15"/>
      <c r="AMU106" s="15"/>
      <c r="AMV106" s="15"/>
      <c r="AMW106" s="15"/>
      <c r="AMX106" s="15"/>
      <c r="AMY106" s="15"/>
      <c r="AMZ106" s="15"/>
      <c r="ANA106" s="15"/>
      <c r="ANB106" s="15"/>
      <c r="ANC106" s="15"/>
      <c r="AND106" s="15"/>
      <c r="ANE106" s="15"/>
      <c r="ANF106" s="15"/>
      <c r="ANG106" s="15"/>
      <c r="ANH106" s="15"/>
      <c r="ANI106" s="15"/>
      <c r="ANJ106" s="15"/>
      <c r="ANK106" s="15"/>
      <c r="ANL106" s="15"/>
      <c r="ANM106" s="15"/>
      <c r="ANN106" s="15"/>
      <c r="ANO106" s="15"/>
      <c r="ANP106" s="15"/>
      <c r="ANQ106" s="15"/>
      <c r="ANR106" s="15"/>
      <c r="ANS106" s="15"/>
      <c r="ANT106" s="15"/>
      <c r="ANU106" s="15"/>
      <c r="ANV106" s="15"/>
      <c r="ANW106" s="15"/>
      <c r="ANX106" s="15"/>
      <c r="ANY106" s="15"/>
      <c r="ANZ106" s="15"/>
      <c r="AOA106" s="15"/>
      <c r="AOB106" s="15"/>
      <c r="AOC106" s="15"/>
      <c r="AOD106" s="15"/>
      <c r="AOE106" s="15"/>
      <c r="AOF106" s="15"/>
      <c r="AOG106" s="15"/>
      <c r="AOH106" s="15"/>
      <c r="AOI106" s="15"/>
      <c r="AOJ106" s="15"/>
      <c r="AOK106" s="15"/>
      <c r="AOL106" s="15"/>
      <c r="AOM106" s="15"/>
      <c r="AON106" s="15"/>
      <c r="AOO106" s="15"/>
      <c r="AOP106" s="15"/>
      <c r="AOQ106" s="15"/>
      <c r="AOR106" s="15"/>
      <c r="AOS106" s="15"/>
      <c r="AOT106" s="15"/>
      <c r="AOU106" s="15"/>
      <c r="AOV106" s="15"/>
      <c r="AOW106" s="15"/>
      <c r="AOX106" s="15"/>
      <c r="AOY106" s="15"/>
      <c r="AOZ106" s="15"/>
      <c r="APA106" s="15"/>
      <c r="APB106" s="15"/>
      <c r="APC106" s="15"/>
      <c r="APD106" s="15"/>
      <c r="APE106" s="15"/>
      <c r="APF106" s="15"/>
      <c r="APG106" s="15"/>
      <c r="APH106" s="15"/>
      <c r="API106" s="15"/>
      <c r="APJ106" s="15"/>
      <c r="APK106" s="15"/>
      <c r="APL106" s="15"/>
      <c r="APM106" s="15"/>
      <c r="APN106" s="15"/>
      <c r="APO106" s="15"/>
      <c r="APP106" s="15"/>
      <c r="APQ106" s="15"/>
      <c r="APR106" s="15"/>
      <c r="APS106" s="15"/>
      <c r="APT106" s="15"/>
      <c r="APU106" s="15"/>
      <c r="APV106" s="15"/>
      <c r="APW106" s="15"/>
      <c r="APX106" s="15"/>
      <c r="APY106" s="15"/>
      <c r="APZ106" s="15"/>
      <c r="AQA106" s="15"/>
      <c r="AQB106" s="15"/>
      <c r="AQC106" s="15"/>
      <c r="AQD106" s="15"/>
      <c r="AQE106" s="15"/>
      <c r="AQF106" s="15"/>
      <c r="AQG106" s="15"/>
      <c r="AQH106" s="15"/>
      <c r="AQI106" s="15"/>
      <c r="AQJ106" s="15"/>
      <c r="AQK106" s="15"/>
      <c r="AQL106" s="15"/>
      <c r="AQM106" s="15"/>
      <c r="AQN106" s="15"/>
      <c r="AQO106" s="15"/>
      <c r="AQP106" s="15"/>
      <c r="AQQ106" s="15"/>
      <c r="AQR106" s="15"/>
      <c r="AQS106" s="15"/>
      <c r="AQT106" s="15"/>
      <c r="AQU106" s="15"/>
      <c r="AQV106" s="15"/>
      <c r="AQW106" s="15"/>
      <c r="AQX106" s="15"/>
      <c r="AQY106" s="15"/>
      <c r="AQZ106" s="15"/>
      <c r="ARA106" s="15"/>
      <c r="ARB106" s="15"/>
      <c r="ARC106" s="15"/>
      <c r="ARD106" s="15"/>
      <c r="ARE106" s="15"/>
      <c r="ARF106" s="15"/>
      <c r="ARG106" s="15"/>
      <c r="ARH106" s="15"/>
      <c r="ARI106" s="15"/>
      <c r="ARJ106" s="15"/>
      <c r="ARK106" s="15"/>
      <c r="ARL106" s="15"/>
      <c r="ARM106" s="15"/>
      <c r="ARN106" s="15"/>
      <c r="ARO106" s="15"/>
      <c r="ARP106" s="15"/>
      <c r="ARQ106" s="15"/>
      <c r="ARR106" s="15"/>
      <c r="ARS106" s="15"/>
      <c r="ART106" s="15"/>
      <c r="ARU106" s="15"/>
      <c r="ARV106" s="15"/>
      <c r="ARW106" s="15"/>
      <c r="ARX106" s="15"/>
      <c r="ARY106" s="15"/>
      <c r="ARZ106" s="15"/>
      <c r="ASA106" s="15"/>
      <c r="ASB106" s="15"/>
      <c r="ASC106" s="15"/>
      <c r="ASD106" s="15"/>
      <c r="ASE106" s="15"/>
      <c r="ASF106" s="15"/>
      <c r="ASG106" s="15"/>
      <c r="ASH106" s="15"/>
      <c r="ASI106" s="15"/>
      <c r="ASJ106" s="15"/>
      <c r="ASK106" s="15"/>
      <c r="ASL106" s="15"/>
      <c r="ASM106" s="15"/>
      <c r="ASN106" s="15"/>
      <c r="ASO106" s="15"/>
      <c r="ASP106" s="15"/>
      <c r="ASQ106" s="15"/>
      <c r="ASR106" s="15"/>
      <c r="ASS106" s="15"/>
      <c r="AST106" s="15"/>
      <c r="ASU106" s="15"/>
      <c r="ASV106" s="15"/>
      <c r="ASW106" s="15"/>
      <c r="ASX106" s="15"/>
      <c r="ASY106" s="15"/>
      <c r="ASZ106" s="15"/>
      <c r="ATA106" s="15"/>
      <c r="ATB106" s="15"/>
      <c r="ATC106" s="15"/>
      <c r="ATD106" s="15"/>
      <c r="ATE106" s="15"/>
      <c r="ATF106" s="15"/>
      <c r="ATG106" s="15"/>
      <c r="ATH106" s="15"/>
      <c r="ATI106" s="15"/>
      <c r="ATJ106" s="15"/>
      <c r="ATK106" s="15"/>
      <c r="ATL106" s="15"/>
      <c r="ATM106" s="15"/>
      <c r="ATN106" s="15"/>
      <c r="ATO106" s="15"/>
      <c r="ATP106" s="15"/>
      <c r="ATQ106" s="15"/>
      <c r="ATR106" s="15"/>
      <c r="ATS106" s="15"/>
      <c r="ATT106" s="15"/>
      <c r="ATU106" s="15"/>
      <c r="ATV106" s="15"/>
      <c r="ATW106" s="15"/>
      <c r="ATX106" s="15"/>
      <c r="ATY106" s="15"/>
      <c r="ATZ106" s="15"/>
      <c r="AUA106" s="15"/>
      <c r="AUB106" s="15"/>
      <c r="AUC106" s="15"/>
      <c r="AUD106" s="15"/>
      <c r="AUE106" s="15"/>
      <c r="AUF106" s="15"/>
      <c r="AUG106" s="15"/>
      <c r="AUH106" s="15"/>
      <c r="AUI106" s="15"/>
      <c r="AUJ106" s="15"/>
      <c r="AUK106" s="15"/>
      <c r="AUL106" s="15"/>
      <c r="AUM106" s="15"/>
      <c r="AUN106" s="15"/>
      <c r="AUO106" s="15"/>
      <c r="AUP106" s="15"/>
      <c r="AUQ106" s="15"/>
      <c r="AUR106" s="15"/>
      <c r="AUS106" s="15"/>
      <c r="AUT106" s="15"/>
      <c r="AUU106" s="15"/>
      <c r="AUV106" s="15"/>
      <c r="AUW106" s="15"/>
      <c r="AUX106" s="15"/>
      <c r="AUY106" s="15"/>
      <c r="AUZ106" s="15"/>
      <c r="AVA106" s="15"/>
      <c r="AVB106" s="15"/>
      <c r="AVC106" s="15"/>
      <c r="AVD106" s="15"/>
      <c r="AVE106" s="15"/>
      <c r="AVF106" s="15"/>
      <c r="AVG106" s="15"/>
      <c r="AVH106" s="15"/>
      <c r="AVI106" s="15"/>
      <c r="AVJ106" s="15"/>
      <c r="AVK106" s="15"/>
      <c r="AVL106" s="15"/>
      <c r="AVM106" s="15"/>
      <c r="AVN106" s="15"/>
      <c r="AVO106" s="15"/>
      <c r="AVP106" s="15"/>
      <c r="AVQ106" s="15"/>
      <c r="AVR106" s="15"/>
      <c r="AVS106" s="15"/>
      <c r="AVT106" s="15"/>
      <c r="AVU106" s="15"/>
      <c r="AVV106" s="15"/>
      <c r="AVW106" s="15"/>
      <c r="AVX106" s="15"/>
      <c r="AVY106" s="15"/>
      <c r="AVZ106" s="15"/>
      <c r="AWA106" s="15"/>
      <c r="AWB106" s="15"/>
      <c r="AWC106" s="15"/>
      <c r="AWD106" s="15"/>
      <c r="AWE106" s="15"/>
      <c r="AWF106" s="15"/>
      <c r="AWG106" s="15"/>
      <c r="AWH106" s="15"/>
      <c r="AWI106" s="15"/>
      <c r="AWJ106" s="15"/>
      <c r="AWK106" s="15"/>
      <c r="AWL106" s="15"/>
      <c r="AWM106" s="15"/>
      <c r="AWN106" s="15"/>
      <c r="AWO106" s="15"/>
      <c r="AWP106" s="15"/>
      <c r="AWQ106" s="15"/>
      <c r="AWR106" s="15"/>
      <c r="AWS106" s="15"/>
      <c r="AWT106" s="15"/>
      <c r="AWU106" s="15"/>
      <c r="AWV106" s="15"/>
      <c r="AWW106" s="15"/>
      <c r="AWX106" s="15"/>
      <c r="AWY106" s="15"/>
      <c r="AWZ106" s="15"/>
      <c r="AXA106" s="15"/>
      <c r="AXB106" s="15"/>
      <c r="AXC106" s="15"/>
      <c r="AXD106" s="15"/>
      <c r="AXE106" s="15"/>
      <c r="AXF106" s="15"/>
      <c r="AXG106" s="15"/>
      <c r="AXH106" s="15"/>
      <c r="AXI106" s="15"/>
      <c r="AXJ106" s="15"/>
      <c r="AXK106" s="15"/>
      <c r="AXL106" s="15"/>
      <c r="AXM106" s="15"/>
      <c r="AXN106" s="15"/>
      <c r="AXO106" s="15"/>
      <c r="AXP106" s="15"/>
      <c r="AXQ106" s="15"/>
      <c r="AXR106" s="15"/>
      <c r="AXS106" s="15"/>
      <c r="AXT106" s="15"/>
      <c r="AXU106" s="15"/>
      <c r="AXV106" s="15"/>
      <c r="AXW106" s="15"/>
      <c r="AXX106" s="15"/>
      <c r="AXY106" s="15"/>
      <c r="AXZ106" s="15"/>
      <c r="AYA106" s="15"/>
      <c r="AYB106" s="15"/>
      <c r="AYC106" s="15"/>
      <c r="AYD106" s="15"/>
      <c r="AYE106" s="15"/>
      <c r="AYF106" s="15"/>
      <c r="AYG106" s="15"/>
      <c r="AYH106" s="15"/>
      <c r="AYI106" s="15"/>
      <c r="AYJ106" s="15"/>
      <c r="AYK106" s="15"/>
      <c r="AYL106" s="15"/>
      <c r="AYM106" s="15"/>
      <c r="AYN106" s="15"/>
      <c r="AYO106" s="15"/>
      <c r="AYP106" s="15"/>
      <c r="AYQ106" s="15"/>
      <c r="AYR106" s="15"/>
      <c r="AYS106" s="15"/>
      <c r="AYT106" s="15"/>
      <c r="AYU106" s="15"/>
      <c r="AYV106" s="15"/>
      <c r="AYW106" s="15"/>
      <c r="AYX106" s="15"/>
      <c r="AYY106" s="15"/>
      <c r="AYZ106" s="15"/>
      <c r="AZA106" s="15"/>
      <c r="AZB106" s="15"/>
      <c r="AZC106" s="15"/>
      <c r="AZD106" s="15"/>
      <c r="AZE106" s="15"/>
      <c r="AZF106" s="15"/>
      <c r="AZG106" s="15"/>
      <c r="AZH106" s="15"/>
      <c r="AZI106" s="15"/>
      <c r="AZJ106" s="15"/>
      <c r="AZK106" s="15"/>
      <c r="AZL106" s="15"/>
      <c r="AZM106" s="15"/>
      <c r="AZN106" s="15"/>
      <c r="AZO106" s="15"/>
      <c r="AZP106" s="15"/>
      <c r="AZQ106" s="15"/>
      <c r="AZR106" s="15"/>
      <c r="AZS106" s="15"/>
      <c r="AZT106" s="15"/>
      <c r="AZU106" s="15"/>
      <c r="AZV106" s="15"/>
      <c r="AZW106" s="15"/>
      <c r="AZX106" s="15"/>
      <c r="AZY106" s="15"/>
      <c r="AZZ106" s="15"/>
      <c r="BAA106" s="15"/>
      <c r="BAB106" s="15"/>
      <c r="BAC106" s="15"/>
      <c r="BAD106" s="15"/>
      <c r="BAE106" s="15"/>
      <c r="BAF106" s="15"/>
      <c r="BAG106" s="15"/>
      <c r="BAH106" s="15"/>
      <c r="BAI106" s="15"/>
      <c r="BAJ106" s="15"/>
      <c r="BAK106" s="15"/>
      <c r="BAL106" s="15"/>
      <c r="BAM106" s="15"/>
      <c r="BAN106" s="15"/>
      <c r="BAO106" s="15"/>
      <c r="BAP106" s="15"/>
      <c r="BAQ106" s="15"/>
      <c r="BAR106" s="15"/>
      <c r="BAS106" s="15"/>
      <c r="BAT106" s="15"/>
      <c r="BAU106" s="15"/>
      <c r="BAV106" s="15"/>
      <c r="BAW106" s="15"/>
      <c r="BAX106" s="15"/>
      <c r="BAY106" s="15"/>
      <c r="BAZ106" s="15"/>
      <c r="BBA106" s="15"/>
      <c r="BBB106" s="15"/>
      <c r="BBC106" s="15"/>
      <c r="BBD106" s="15"/>
      <c r="BBE106" s="15"/>
      <c r="BBF106" s="15"/>
      <c r="BBG106" s="15"/>
      <c r="BBH106" s="15"/>
      <c r="BBI106" s="15"/>
      <c r="BBJ106" s="15"/>
      <c r="BBK106" s="15"/>
      <c r="BBL106" s="15"/>
      <c r="BBM106" s="15"/>
      <c r="BBN106" s="15"/>
      <c r="BBO106" s="15"/>
      <c r="BBP106" s="15"/>
      <c r="BBQ106" s="15"/>
      <c r="BBR106" s="15"/>
      <c r="BBS106" s="15"/>
      <c r="BBT106" s="15"/>
      <c r="BBU106" s="15"/>
      <c r="BBV106" s="15"/>
      <c r="BBW106" s="15"/>
      <c r="BBX106" s="15"/>
      <c r="BBY106" s="15"/>
      <c r="BBZ106" s="15"/>
      <c r="BCA106" s="15"/>
      <c r="BCB106" s="15"/>
      <c r="BCC106" s="15"/>
      <c r="BCD106" s="15"/>
      <c r="BCE106" s="15"/>
      <c r="BCF106" s="15"/>
      <c r="BCG106" s="15"/>
      <c r="BCH106" s="15"/>
      <c r="BCI106" s="15"/>
      <c r="BCJ106" s="15"/>
      <c r="BCK106" s="15"/>
      <c r="BCL106" s="15"/>
      <c r="BCM106" s="15"/>
      <c r="BCN106" s="15"/>
      <c r="BCO106" s="15"/>
      <c r="BCP106" s="15"/>
      <c r="BCQ106" s="15"/>
      <c r="BCR106" s="15"/>
      <c r="BCS106" s="15"/>
      <c r="BCT106" s="15"/>
      <c r="BCU106" s="15"/>
      <c r="BCV106" s="15"/>
      <c r="BCW106" s="15"/>
      <c r="BCX106" s="15"/>
      <c r="BCY106" s="15"/>
      <c r="BCZ106" s="15"/>
      <c r="BDA106" s="15"/>
      <c r="BDB106" s="15"/>
      <c r="BDC106" s="15"/>
      <c r="BDD106" s="15"/>
      <c r="BDE106" s="15"/>
      <c r="BDF106" s="15"/>
      <c r="BDG106" s="15"/>
      <c r="BDH106" s="15"/>
      <c r="BDI106" s="15"/>
      <c r="BDJ106" s="15"/>
      <c r="BDK106" s="15"/>
      <c r="BDL106" s="15"/>
      <c r="BDM106" s="15"/>
      <c r="BDN106" s="15"/>
      <c r="BDO106" s="15"/>
      <c r="BDP106" s="15"/>
      <c r="BDQ106" s="15"/>
      <c r="BDR106" s="15"/>
      <c r="BDS106" s="15"/>
      <c r="BDT106" s="15"/>
      <c r="BDU106" s="15"/>
      <c r="BDV106" s="15"/>
      <c r="BDW106" s="15"/>
      <c r="BDX106" s="15"/>
      <c r="BDY106" s="15"/>
      <c r="BDZ106" s="15"/>
      <c r="BEA106" s="15"/>
      <c r="BEB106" s="15"/>
      <c r="BEC106" s="15"/>
      <c r="BED106" s="15"/>
      <c r="BEE106" s="15"/>
      <c r="BEF106" s="15"/>
      <c r="BEG106" s="15"/>
      <c r="BEH106" s="15"/>
      <c r="BEI106" s="15"/>
      <c r="BEJ106" s="15"/>
      <c r="BEK106" s="15"/>
      <c r="BEL106" s="15"/>
      <c r="BEM106" s="15"/>
      <c r="BEN106" s="15"/>
      <c r="BEO106" s="15"/>
      <c r="BEP106" s="15"/>
      <c r="BEQ106" s="15"/>
      <c r="BER106" s="15"/>
      <c r="BES106" s="15"/>
      <c r="BET106" s="15"/>
      <c r="BEU106" s="15"/>
      <c r="BEV106" s="15"/>
      <c r="BEW106" s="15"/>
      <c r="BEX106" s="15"/>
      <c r="BEY106" s="15"/>
      <c r="BEZ106" s="15"/>
      <c r="BFA106" s="15"/>
      <c r="BFB106" s="15"/>
      <c r="BFC106" s="15"/>
      <c r="BFD106" s="15"/>
      <c r="BFE106" s="15"/>
      <c r="BFF106" s="15"/>
      <c r="BFG106" s="15"/>
      <c r="BFH106" s="15"/>
      <c r="BFI106" s="15"/>
      <c r="BFJ106" s="15"/>
      <c r="BFK106" s="15"/>
      <c r="BFL106" s="15"/>
      <c r="BFM106" s="15"/>
      <c r="BFN106" s="15"/>
      <c r="BFO106" s="15"/>
      <c r="BFP106" s="15"/>
      <c r="BFQ106" s="15"/>
      <c r="BFR106" s="15"/>
      <c r="BFS106" s="15"/>
      <c r="BFT106" s="15"/>
      <c r="BFU106" s="15"/>
      <c r="BFV106" s="15"/>
      <c r="BFW106" s="15"/>
      <c r="BFX106" s="15"/>
      <c r="BFY106" s="15"/>
      <c r="BFZ106" s="15"/>
      <c r="BGA106" s="15"/>
      <c r="BGB106" s="15"/>
      <c r="BGC106" s="15"/>
      <c r="BGD106" s="15"/>
      <c r="BGE106" s="15"/>
      <c r="BGF106" s="15"/>
      <c r="BGG106" s="15"/>
      <c r="BGH106" s="15"/>
      <c r="BGI106" s="15"/>
      <c r="BGJ106" s="15"/>
      <c r="BGK106" s="15"/>
      <c r="BGL106" s="15"/>
      <c r="BGM106" s="15"/>
      <c r="BGN106" s="15"/>
      <c r="BGO106" s="15"/>
      <c r="BGP106" s="15"/>
      <c r="BGQ106" s="15"/>
      <c r="BGR106" s="15"/>
      <c r="BGS106" s="15"/>
      <c r="BGT106" s="15"/>
      <c r="BGU106" s="15"/>
      <c r="BGV106" s="15"/>
      <c r="BGW106" s="15"/>
      <c r="BGX106" s="15"/>
      <c r="BGY106" s="15"/>
      <c r="BGZ106" s="15"/>
      <c r="BHA106" s="15"/>
      <c r="BHB106" s="15"/>
      <c r="BHC106" s="15"/>
      <c r="BHD106" s="15"/>
      <c r="BHE106" s="15"/>
      <c r="BHF106" s="15"/>
      <c r="BHG106" s="15"/>
      <c r="BHH106" s="15"/>
      <c r="BHI106" s="15"/>
      <c r="BHJ106" s="15"/>
      <c r="BHK106" s="15"/>
      <c r="BHL106" s="15"/>
      <c r="BHM106" s="15"/>
      <c r="BHN106" s="15"/>
      <c r="BHO106" s="15"/>
      <c r="BHP106" s="15"/>
      <c r="BHQ106" s="15"/>
      <c r="BHR106" s="15"/>
      <c r="BHS106" s="15"/>
      <c r="BHT106" s="15"/>
      <c r="BHU106" s="15"/>
      <c r="BHV106" s="15"/>
      <c r="BHW106" s="15"/>
      <c r="BHX106" s="15"/>
      <c r="BHY106" s="15"/>
      <c r="BHZ106" s="15"/>
      <c r="BIA106" s="15"/>
      <c r="BIB106" s="15"/>
      <c r="BIC106" s="15"/>
      <c r="BID106" s="15"/>
      <c r="BIE106" s="15"/>
      <c r="BIF106" s="15"/>
      <c r="BIG106" s="15"/>
      <c r="BIH106" s="15"/>
      <c r="BII106" s="15"/>
      <c r="BIJ106" s="15"/>
      <c r="BIK106" s="15"/>
      <c r="BIL106" s="15"/>
      <c r="BIM106" s="15"/>
      <c r="BIN106" s="15"/>
      <c r="BIO106" s="15"/>
      <c r="BIP106" s="15"/>
      <c r="BIQ106" s="15"/>
      <c r="BIR106" s="15"/>
      <c r="BIS106" s="15"/>
      <c r="BIT106" s="15"/>
      <c r="BIU106" s="15"/>
      <c r="BIV106" s="15"/>
      <c r="BIW106" s="15"/>
      <c r="BIX106" s="15"/>
      <c r="BIY106" s="15"/>
      <c r="BIZ106" s="15"/>
      <c r="BJA106" s="15"/>
      <c r="BJB106" s="15"/>
      <c r="BJC106" s="15"/>
      <c r="BJD106" s="15"/>
      <c r="BJE106" s="15"/>
      <c r="BJF106" s="15"/>
      <c r="BJG106" s="15"/>
      <c r="BJH106" s="15"/>
      <c r="BJI106" s="15"/>
      <c r="BJJ106" s="15"/>
      <c r="BJK106" s="15"/>
      <c r="BJL106" s="15"/>
      <c r="BJM106" s="15"/>
      <c r="BJN106" s="15"/>
      <c r="BJO106" s="15"/>
      <c r="BJP106" s="15"/>
      <c r="BJQ106" s="15"/>
      <c r="BJR106" s="15"/>
      <c r="BJS106" s="15"/>
      <c r="BJT106" s="15"/>
      <c r="BJU106" s="15"/>
      <c r="BJV106" s="15"/>
      <c r="BJW106" s="15"/>
      <c r="BJX106" s="15"/>
      <c r="BJY106" s="15"/>
      <c r="BJZ106" s="15"/>
      <c r="BKA106" s="15"/>
      <c r="BKB106" s="15"/>
      <c r="BKC106" s="15"/>
      <c r="BKD106" s="15"/>
      <c r="BKE106" s="15"/>
      <c r="BKF106" s="15"/>
      <c r="BKG106" s="15"/>
      <c r="BKH106" s="15"/>
      <c r="BKI106" s="15"/>
      <c r="BKJ106" s="15"/>
      <c r="BKK106" s="15"/>
      <c r="BKL106" s="15"/>
      <c r="BKM106" s="15"/>
      <c r="BKN106" s="15"/>
      <c r="BKO106" s="15"/>
      <c r="BKP106" s="15"/>
      <c r="BKQ106" s="15"/>
      <c r="BKR106" s="15"/>
      <c r="BKS106" s="15"/>
      <c r="BKT106" s="15"/>
      <c r="BKU106" s="15"/>
      <c r="BKV106" s="15"/>
      <c r="BKW106" s="15"/>
      <c r="BKX106" s="15"/>
      <c r="BKY106" s="15"/>
      <c r="BKZ106" s="15"/>
      <c r="BLA106" s="15"/>
      <c r="BLB106" s="15"/>
      <c r="BLC106" s="15"/>
      <c r="BLD106" s="15"/>
      <c r="BLE106" s="15"/>
      <c r="BLF106" s="15"/>
      <c r="BLG106" s="15"/>
      <c r="BLH106" s="15"/>
      <c r="BLI106" s="15"/>
      <c r="BLJ106" s="15"/>
      <c r="BLK106" s="15"/>
      <c r="BLL106" s="15"/>
      <c r="BLM106" s="15"/>
      <c r="BLN106" s="15"/>
      <c r="BLO106" s="15"/>
      <c r="BLP106" s="15"/>
      <c r="BLQ106" s="15"/>
      <c r="BLR106" s="15"/>
      <c r="BLS106" s="15"/>
      <c r="BLT106" s="15"/>
      <c r="BLU106" s="15"/>
      <c r="BLV106" s="15"/>
      <c r="BLW106" s="15"/>
      <c r="BLX106" s="15"/>
      <c r="BLY106" s="15"/>
      <c r="BLZ106" s="15"/>
      <c r="BMA106" s="15"/>
      <c r="BMB106" s="15"/>
      <c r="BMC106" s="15"/>
      <c r="BMD106" s="15"/>
      <c r="BME106" s="15"/>
      <c r="BMF106" s="15"/>
      <c r="BMG106" s="15"/>
      <c r="BMH106" s="15"/>
      <c r="BMI106" s="15"/>
      <c r="BMJ106" s="15"/>
      <c r="BMK106" s="15"/>
      <c r="BML106" s="15"/>
      <c r="BMM106" s="15"/>
      <c r="BMN106" s="15"/>
      <c r="BMO106" s="15"/>
      <c r="BMP106" s="15"/>
      <c r="BMQ106" s="15"/>
      <c r="BMR106" s="15"/>
      <c r="BMS106" s="15"/>
      <c r="BMT106" s="15"/>
      <c r="BMU106" s="15"/>
      <c r="BMV106" s="15"/>
      <c r="BMW106" s="15"/>
      <c r="BMX106" s="15"/>
      <c r="BMY106" s="15"/>
      <c r="BMZ106" s="15"/>
      <c r="BNA106" s="15"/>
      <c r="BNB106" s="15"/>
      <c r="BNC106" s="15"/>
      <c r="BND106" s="15"/>
      <c r="BNE106" s="15"/>
      <c r="BNF106" s="15"/>
      <c r="BNG106" s="15"/>
      <c r="BNH106" s="15"/>
      <c r="BNI106" s="15"/>
      <c r="BNJ106" s="15"/>
      <c r="BNK106" s="15"/>
      <c r="BNL106" s="15"/>
      <c r="BNM106" s="15"/>
      <c r="BNN106" s="15"/>
      <c r="BNO106" s="15"/>
      <c r="BNP106" s="15"/>
      <c r="BNQ106" s="15"/>
      <c r="BNR106" s="15"/>
      <c r="BNS106" s="15"/>
      <c r="BNT106" s="15"/>
      <c r="BNU106" s="15"/>
      <c r="BNV106" s="15"/>
      <c r="BNW106" s="15"/>
      <c r="BNX106" s="15"/>
      <c r="BNY106" s="15"/>
      <c r="BNZ106" s="15"/>
      <c r="BOA106" s="15"/>
      <c r="BOB106" s="15"/>
      <c r="BOC106" s="15"/>
      <c r="BOD106" s="15"/>
      <c r="BOE106" s="15"/>
      <c r="BOF106" s="15"/>
      <c r="BOG106" s="15"/>
      <c r="BOH106" s="15"/>
      <c r="BOI106" s="15"/>
      <c r="BOJ106" s="15"/>
      <c r="BOK106" s="15"/>
      <c r="BOL106" s="15"/>
      <c r="BOM106" s="15"/>
      <c r="BON106" s="15"/>
      <c r="BOO106" s="15"/>
      <c r="BOP106" s="15"/>
      <c r="BOQ106" s="15"/>
      <c r="BOR106" s="15"/>
      <c r="BOS106" s="15"/>
      <c r="BOT106" s="15"/>
      <c r="BOU106" s="15"/>
      <c r="BOV106" s="15"/>
      <c r="BOW106" s="15"/>
      <c r="BOX106" s="15"/>
      <c r="BOY106" s="15"/>
      <c r="BOZ106" s="15"/>
      <c r="BPA106" s="15"/>
      <c r="BPB106" s="15"/>
      <c r="BPC106" s="15"/>
      <c r="BPD106" s="15"/>
      <c r="BPE106" s="15"/>
      <c r="BPF106" s="15"/>
      <c r="BPG106" s="15"/>
      <c r="BPH106" s="15"/>
      <c r="BPI106" s="15"/>
      <c r="BPJ106" s="15"/>
      <c r="BPK106" s="15"/>
      <c r="BPL106" s="15"/>
      <c r="BPM106" s="15"/>
      <c r="BPN106" s="15"/>
      <c r="BPO106" s="15"/>
      <c r="BPP106" s="15"/>
      <c r="BPQ106" s="15"/>
      <c r="BPR106" s="15"/>
      <c r="BPS106" s="15"/>
      <c r="BPT106" s="15"/>
      <c r="BPU106" s="15"/>
      <c r="BPV106" s="15"/>
      <c r="BPW106" s="15"/>
      <c r="BPX106" s="15"/>
      <c r="BPY106" s="15"/>
      <c r="BPZ106" s="15"/>
      <c r="BQA106" s="15"/>
      <c r="BQB106" s="15"/>
      <c r="BQC106" s="15"/>
      <c r="BQD106" s="15"/>
      <c r="BQE106" s="15"/>
      <c r="BQF106" s="15"/>
      <c r="BQG106" s="15"/>
      <c r="BQH106" s="15"/>
      <c r="BQI106" s="15"/>
      <c r="BQJ106" s="15"/>
      <c r="BQK106" s="15"/>
      <c r="BQL106" s="15"/>
      <c r="BQM106" s="15"/>
      <c r="BQN106" s="15"/>
      <c r="BQO106" s="15"/>
      <c r="BQP106" s="15"/>
      <c r="BQQ106" s="15"/>
      <c r="BQR106" s="15"/>
      <c r="BQS106" s="15"/>
      <c r="BQT106" s="15"/>
      <c r="BQU106" s="15"/>
      <c r="BQV106" s="15"/>
      <c r="BQW106" s="15"/>
      <c r="BQX106" s="15"/>
      <c r="BQY106" s="15"/>
      <c r="BQZ106" s="15"/>
      <c r="BRA106" s="15"/>
      <c r="BRB106" s="15"/>
      <c r="BRC106" s="15"/>
      <c r="BRD106" s="15"/>
      <c r="BRE106" s="15"/>
      <c r="BRF106" s="15"/>
      <c r="BRG106" s="15"/>
      <c r="BRH106" s="15"/>
      <c r="BRI106" s="15"/>
      <c r="BRJ106" s="15"/>
      <c r="BRK106" s="15"/>
      <c r="BRL106" s="15"/>
      <c r="BRM106" s="15"/>
      <c r="BRN106" s="15"/>
      <c r="BRO106" s="15"/>
      <c r="BRP106" s="15"/>
      <c r="BRQ106" s="15"/>
      <c r="BRR106" s="15"/>
      <c r="BRS106" s="15"/>
      <c r="BRT106" s="15"/>
      <c r="BRU106" s="15"/>
      <c r="BRV106" s="15"/>
      <c r="BRW106" s="15"/>
      <c r="BRX106" s="15"/>
      <c r="BRY106" s="15"/>
      <c r="BRZ106" s="15"/>
      <c r="BSA106" s="15"/>
      <c r="BSB106" s="15"/>
      <c r="BSC106" s="15"/>
      <c r="BSD106" s="15"/>
      <c r="BSE106" s="15"/>
      <c r="BSF106" s="15"/>
      <c r="BSG106" s="15"/>
      <c r="BSH106" s="15"/>
      <c r="BSI106" s="15"/>
      <c r="BSJ106" s="15"/>
      <c r="BSK106" s="15"/>
      <c r="BSL106" s="15"/>
      <c r="BSM106" s="15"/>
      <c r="BSN106" s="15"/>
      <c r="BSO106" s="15"/>
      <c r="BSP106" s="15"/>
      <c r="BSQ106" s="15"/>
      <c r="BSR106" s="15"/>
      <c r="BSS106" s="15"/>
      <c r="BST106" s="15"/>
      <c r="BSU106" s="15"/>
      <c r="BSV106" s="15"/>
      <c r="BSW106" s="15"/>
      <c r="BSX106" s="15"/>
      <c r="BSY106" s="15"/>
      <c r="BSZ106" s="15"/>
      <c r="BTA106" s="15"/>
      <c r="BTB106" s="15"/>
      <c r="BTC106" s="15"/>
      <c r="BTD106" s="15"/>
      <c r="BTE106" s="15"/>
      <c r="BTF106" s="15"/>
      <c r="BTG106" s="15"/>
      <c r="BTH106" s="15"/>
      <c r="BTI106" s="15"/>
      <c r="BTJ106" s="15"/>
      <c r="BTK106" s="15"/>
      <c r="BTL106" s="15"/>
      <c r="BTM106" s="15"/>
      <c r="BTN106" s="15"/>
      <c r="BTO106" s="15"/>
      <c r="BTP106" s="15"/>
      <c r="BTQ106" s="15"/>
      <c r="BTR106" s="15"/>
      <c r="BTS106" s="15"/>
      <c r="BTT106" s="15"/>
      <c r="BTU106" s="15"/>
      <c r="BTV106" s="15"/>
      <c r="BTW106" s="15"/>
      <c r="BTX106" s="15"/>
      <c r="BTY106" s="15"/>
      <c r="BTZ106" s="15"/>
      <c r="BUA106" s="15"/>
      <c r="BUB106" s="15"/>
      <c r="BUC106" s="15"/>
      <c r="BUD106" s="15"/>
      <c r="BUE106" s="15"/>
      <c r="BUF106" s="15"/>
      <c r="BUG106" s="15"/>
      <c r="BUH106" s="15"/>
      <c r="BUI106" s="15"/>
      <c r="BUJ106" s="15"/>
      <c r="BUK106" s="15"/>
      <c r="BUL106" s="15"/>
      <c r="BUM106" s="15"/>
      <c r="BUN106" s="15"/>
      <c r="BUO106" s="15"/>
      <c r="BUP106" s="15"/>
      <c r="BUQ106" s="15"/>
      <c r="BUR106" s="15"/>
      <c r="BUS106" s="15"/>
      <c r="BUT106" s="15"/>
      <c r="BUU106" s="15"/>
      <c r="BUV106" s="15"/>
      <c r="BUW106" s="15"/>
      <c r="BUX106" s="15"/>
      <c r="BUY106" s="15"/>
      <c r="BUZ106" s="15"/>
      <c r="BVA106" s="15"/>
      <c r="BVB106" s="15"/>
      <c r="BVC106" s="15"/>
      <c r="BVD106" s="15"/>
      <c r="BVE106" s="15"/>
      <c r="BVF106" s="15"/>
      <c r="BVG106" s="15"/>
      <c r="BVH106" s="15"/>
      <c r="BVI106" s="15"/>
      <c r="BVJ106" s="15"/>
      <c r="BVK106" s="15"/>
      <c r="BVL106" s="15"/>
      <c r="BVM106" s="15"/>
      <c r="BVN106" s="15"/>
      <c r="BVO106" s="15"/>
      <c r="BVP106" s="15"/>
      <c r="BVQ106" s="15"/>
      <c r="BVR106" s="15"/>
      <c r="BVS106" s="15"/>
      <c r="BVT106" s="15"/>
      <c r="BVU106" s="15"/>
      <c r="BVV106" s="15"/>
      <c r="BVW106" s="15"/>
      <c r="BVX106" s="15"/>
      <c r="BVY106" s="15"/>
      <c r="BVZ106" s="15"/>
      <c r="BWA106" s="15"/>
      <c r="BWB106" s="15"/>
      <c r="BWC106" s="15"/>
      <c r="BWD106" s="15"/>
      <c r="BWE106" s="15"/>
      <c r="BWF106" s="15"/>
      <c r="BWG106" s="15"/>
      <c r="BWH106" s="15"/>
      <c r="BWI106" s="15"/>
      <c r="BWJ106" s="15"/>
      <c r="BWK106" s="15"/>
      <c r="BWL106" s="15"/>
      <c r="BWM106" s="15"/>
      <c r="BWN106" s="15"/>
      <c r="BWO106" s="15"/>
      <c r="BWP106" s="15"/>
      <c r="BWQ106" s="15"/>
      <c r="BWR106" s="15"/>
      <c r="BWS106" s="15"/>
      <c r="BWT106" s="15"/>
      <c r="BWU106" s="15"/>
      <c r="BWV106" s="15"/>
      <c r="BWW106" s="15"/>
      <c r="BWX106" s="15"/>
      <c r="BWY106" s="15"/>
      <c r="BWZ106" s="15"/>
      <c r="BXA106" s="15"/>
      <c r="BXB106" s="15"/>
      <c r="BXC106" s="15"/>
      <c r="BXD106" s="15"/>
      <c r="BXE106" s="15"/>
      <c r="BXF106" s="15"/>
      <c r="BXG106" s="15"/>
      <c r="BXH106" s="15"/>
      <c r="BXI106" s="15"/>
      <c r="BXJ106" s="15"/>
      <c r="BXK106" s="15"/>
      <c r="BXL106" s="15"/>
      <c r="BXM106" s="15"/>
      <c r="BXN106" s="15"/>
      <c r="BXO106" s="15"/>
      <c r="BXP106" s="15"/>
      <c r="BXQ106" s="15"/>
      <c r="BXR106" s="15"/>
      <c r="BXS106" s="15"/>
      <c r="BXT106" s="15"/>
      <c r="BXU106" s="15"/>
      <c r="BXV106" s="15"/>
      <c r="BXW106" s="15"/>
      <c r="BXX106" s="15"/>
      <c r="BXY106" s="15"/>
      <c r="BXZ106" s="15"/>
      <c r="BYA106" s="15"/>
      <c r="BYB106" s="15"/>
      <c r="BYC106" s="15"/>
      <c r="BYD106" s="15"/>
      <c r="BYE106" s="15"/>
      <c r="BYF106" s="15"/>
      <c r="BYG106" s="15"/>
      <c r="BYH106" s="15"/>
      <c r="BYI106" s="15"/>
      <c r="BYJ106" s="15"/>
      <c r="BYK106" s="15"/>
      <c r="BYL106" s="15"/>
      <c r="BYM106" s="15"/>
      <c r="BYN106" s="15"/>
      <c r="BYO106" s="15"/>
      <c r="BYP106" s="15"/>
      <c r="BYQ106" s="15"/>
      <c r="BYR106" s="15"/>
      <c r="BYS106" s="15"/>
      <c r="BYT106" s="15"/>
      <c r="BYU106" s="15"/>
      <c r="BYV106" s="15"/>
      <c r="BYW106" s="15"/>
      <c r="BYX106" s="15"/>
      <c r="BYY106" s="15"/>
      <c r="BYZ106" s="15"/>
      <c r="BZA106" s="15"/>
      <c r="BZB106" s="15"/>
      <c r="BZC106" s="15"/>
      <c r="BZD106" s="15"/>
      <c r="BZE106" s="15"/>
      <c r="BZF106" s="15"/>
      <c r="BZG106" s="15"/>
      <c r="BZH106" s="15"/>
      <c r="BZI106" s="15"/>
      <c r="BZJ106" s="15"/>
      <c r="BZK106" s="15"/>
      <c r="BZL106" s="15"/>
      <c r="BZM106" s="15"/>
      <c r="BZN106" s="15"/>
      <c r="BZO106" s="15"/>
      <c r="BZP106" s="15"/>
      <c r="BZQ106" s="15"/>
      <c r="BZR106" s="15"/>
      <c r="BZS106" s="15"/>
      <c r="BZT106" s="15"/>
      <c r="BZU106" s="15"/>
      <c r="BZV106" s="15"/>
      <c r="BZW106" s="15"/>
      <c r="BZX106" s="15"/>
      <c r="BZY106" s="15"/>
      <c r="BZZ106" s="15"/>
      <c r="CAA106" s="15"/>
      <c r="CAB106" s="15"/>
      <c r="CAC106" s="15"/>
      <c r="CAD106" s="15"/>
      <c r="CAE106" s="15"/>
      <c r="CAF106" s="15"/>
      <c r="CAG106" s="15"/>
      <c r="CAH106" s="15"/>
      <c r="CAI106" s="15"/>
      <c r="CAJ106" s="15"/>
      <c r="CAK106" s="15"/>
      <c r="CAL106" s="15"/>
      <c r="CAM106" s="15"/>
      <c r="CAN106" s="15"/>
      <c r="CAO106" s="15"/>
      <c r="CAP106" s="15"/>
      <c r="CAQ106" s="15"/>
      <c r="CAR106" s="15"/>
      <c r="CAS106" s="15"/>
      <c r="CAT106" s="15"/>
      <c r="CAU106" s="15"/>
      <c r="CAV106" s="15"/>
      <c r="CAW106" s="15"/>
      <c r="CAX106" s="15"/>
      <c r="CAY106" s="15"/>
      <c r="CAZ106" s="15"/>
      <c r="CBA106" s="15"/>
      <c r="CBB106" s="15"/>
      <c r="CBC106" s="15"/>
      <c r="CBD106" s="15"/>
      <c r="CBE106" s="15"/>
      <c r="CBF106" s="15"/>
      <c r="CBG106" s="15"/>
      <c r="CBH106" s="15"/>
    </row>
    <row r="107" spans="1:16372" s="47" customFormat="1" x14ac:dyDescent="0.2">
      <c r="A107" s="1" t="s">
        <v>96</v>
      </c>
      <c r="B107" s="5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  <c r="MH107" s="15"/>
      <c r="MI107" s="15"/>
      <c r="MJ107" s="15"/>
      <c r="MK107" s="15"/>
      <c r="ML107" s="15"/>
      <c r="MM107" s="15"/>
      <c r="MN107" s="15"/>
      <c r="MO107" s="15"/>
      <c r="MP107" s="15"/>
      <c r="MQ107" s="15"/>
      <c r="MR107" s="15"/>
      <c r="MS107" s="15"/>
      <c r="MT107" s="15"/>
      <c r="MU107" s="15"/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  <c r="OA107" s="15"/>
      <c r="OB107" s="15"/>
      <c r="OC107" s="15"/>
      <c r="OD107" s="15"/>
      <c r="OE107" s="15"/>
      <c r="OF107" s="15"/>
      <c r="OG107" s="15"/>
      <c r="OH107" s="15"/>
      <c r="OI107" s="15"/>
      <c r="OJ107" s="15"/>
      <c r="OK107" s="15"/>
      <c r="OL107" s="15"/>
      <c r="OM107" s="15"/>
      <c r="ON107" s="15"/>
      <c r="OO107" s="15"/>
      <c r="OP107" s="15"/>
      <c r="OQ107" s="15"/>
      <c r="OR107" s="15"/>
      <c r="OS107" s="15"/>
      <c r="OT107" s="15"/>
      <c r="OU107" s="15"/>
      <c r="OV107" s="15"/>
      <c r="OW107" s="15"/>
      <c r="OX107" s="15"/>
      <c r="OY107" s="15"/>
      <c r="OZ107" s="15"/>
      <c r="PA107" s="15"/>
      <c r="PB107" s="15"/>
      <c r="PC107" s="15"/>
      <c r="PD107" s="15"/>
      <c r="PE107" s="15"/>
      <c r="PF107" s="15"/>
      <c r="PG107" s="15"/>
      <c r="PH107" s="15"/>
      <c r="PI107" s="15"/>
      <c r="PJ107" s="15"/>
      <c r="PK107" s="15"/>
      <c r="PL107" s="15"/>
      <c r="PM107" s="15"/>
      <c r="PN107" s="15"/>
      <c r="PO107" s="15"/>
      <c r="PP107" s="15"/>
      <c r="PQ107" s="15"/>
      <c r="PR107" s="15"/>
      <c r="PS107" s="15"/>
      <c r="PT107" s="15"/>
      <c r="PU107" s="15"/>
      <c r="PV107" s="15"/>
      <c r="PW107" s="15"/>
      <c r="PX107" s="15"/>
      <c r="PY107" s="15"/>
      <c r="PZ107" s="15"/>
      <c r="QA107" s="15"/>
      <c r="QB107" s="15"/>
      <c r="QC107" s="15"/>
      <c r="QD107" s="15"/>
      <c r="QE107" s="15"/>
      <c r="QF107" s="15"/>
      <c r="QG107" s="15"/>
      <c r="QH107" s="15"/>
      <c r="QI107" s="15"/>
      <c r="QJ107" s="15"/>
      <c r="QK107" s="15"/>
      <c r="QL107" s="15"/>
      <c r="QM107" s="15"/>
      <c r="QN107" s="15"/>
      <c r="QO107" s="15"/>
      <c r="QP107" s="15"/>
      <c r="QQ107" s="15"/>
      <c r="QR107" s="15"/>
      <c r="QS107" s="15"/>
      <c r="QT107" s="15"/>
      <c r="QU107" s="15"/>
      <c r="QV107" s="15"/>
      <c r="QW107" s="15"/>
      <c r="QX107" s="15"/>
      <c r="QY107" s="15"/>
      <c r="QZ107" s="15"/>
      <c r="RA107" s="15"/>
      <c r="RB107" s="15"/>
      <c r="RC107" s="15"/>
      <c r="RD107" s="15"/>
      <c r="RE107" s="15"/>
      <c r="RF107" s="15"/>
      <c r="RG107" s="15"/>
      <c r="RH107" s="15"/>
      <c r="RI107" s="15"/>
      <c r="RJ107" s="15"/>
      <c r="RK107" s="15"/>
      <c r="RL107" s="15"/>
      <c r="RM107" s="15"/>
      <c r="RN107" s="15"/>
      <c r="RO107" s="15"/>
      <c r="RP107" s="15"/>
      <c r="RQ107" s="15"/>
      <c r="RR107" s="15"/>
      <c r="RS107" s="15"/>
      <c r="RT107" s="15"/>
      <c r="RU107" s="15"/>
      <c r="RV107" s="15"/>
      <c r="RW107" s="15"/>
      <c r="RX107" s="15"/>
      <c r="RY107" s="15"/>
      <c r="RZ107" s="15"/>
      <c r="SA107" s="15"/>
      <c r="SB107" s="15"/>
      <c r="SC107" s="15"/>
      <c r="SD107" s="15"/>
      <c r="SE107" s="15"/>
      <c r="SF107" s="15"/>
      <c r="SG107" s="15"/>
      <c r="SH107" s="15"/>
      <c r="SI107" s="15"/>
      <c r="SJ107" s="15"/>
      <c r="SK107" s="15"/>
      <c r="SL107" s="15"/>
      <c r="SM107" s="15"/>
      <c r="SN107" s="15"/>
      <c r="SO107" s="15"/>
      <c r="SP107" s="15"/>
      <c r="SQ107" s="15"/>
      <c r="SR107" s="15"/>
      <c r="SS107" s="15"/>
      <c r="ST107" s="15"/>
      <c r="SU107" s="15"/>
      <c r="SV107" s="15"/>
      <c r="SW107" s="15"/>
      <c r="SX107" s="15"/>
      <c r="SY107" s="15"/>
      <c r="SZ107" s="15"/>
      <c r="TA107" s="15"/>
      <c r="TB107" s="15"/>
      <c r="TC107" s="15"/>
      <c r="TD107" s="15"/>
      <c r="TE107" s="15"/>
      <c r="TF107" s="15"/>
      <c r="TG107" s="15"/>
      <c r="TH107" s="15"/>
      <c r="TI107" s="15"/>
      <c r="TJ107" s="15"/>
      <c r="TK107" s="15"/>
      <c r="TL107" s="15"/>
      <c r="TM107" s="15"/>
      <c r="TN107" s="15"/>
      <c r="TO107" s="15"/>
      <c r="TP107" s="15"/>
      <c r="TQ107" s="15"/>
      <c r="TR107" s="15"/>
      <c r="TS107" s="15"/>
      <c r="TT107" s="15"/>
      <c r="TU107" s="15"/>
      <c r="TV107" s="15"/>
      <c r="TW107" s="15"/>
      <c r="TX107" s="15"/>
      <c r="TY107" s="15"/>
      <c r="TZ107" s="15"/>
      <c r="UA107" s="15"/>
      <c r="UB107" s="15"/>
      <c r="UC107" s="15"/>
      <c r="UD107" s="15"/>
      <c r="UE107" s="15"/>
      <c r="UF107" s="15"/>
      <c r="UG107" s="15"/>
      <c r="UH107" s="15"/>
      <c r="UI107" s="15"/>
      <c r="UJ107" s="15"/>
      <c r="UK107" s="15"/>
      <c r="UL107" s="15"/>
      <c r="UM107" s="15"/>
      <c r="UN107" s="15"/>
      <c r="UO107" s="15"/>
      <c r="UP107" s="15"/>
      <c r="UQ107" s="15"/>
      <c r="UR107" s="15"/>
      <c r="US107" s="15"/>
      <c r="UT107" s="15"/>
      <c r="UU107" s="15"/>
      <c r="UV107" s="15"/>
      <c r="UW107" s="15"/>
      <c r="UX107" s="15"/>
      <c r="UY107" s="15"/>
      <c r="UZ107" s="15"/>
      <c r="VA107" s="15"/>
      <c r="VB107" s="15"/>
      <c r="VC107" s="15"/>
      <c r="VD107" s="15"/>
      <c r="VE107" s="15"/>
      <c r="VF107" s="15"/>
      <c r="VG107" s="15"/>
      <c r="VH107" s="15"/>
      <c r="VI107" s="15"/>
      <c r="VJ107" s="15"/>
      <c r="VK107" s="15"/>
      <c r="VL107" s="15"/>
      <c r="VM107" s="15"/>
      <c r="VN107" s="15"/>
      <c r="VO107" s="15"/>
      <c r="VP107" s="15"/>
      <c r="VQ107" s="15"/>
      <c r="VR107" s="15"/>
      <c r="VS107" s="15"/>
      <c r="VT107" s="15"/>
      <c r="VU107" s="15"/>
      <c r="VV107" s="15"/>
      <c r="VW107" s="15"/>
      <c r="VX107" s="15"/>
      <c r="VY107" s="15"/>
      <c r="VZ107" s="15"/>
      <c r="WA107" s="15"/>
      <c r="WB107" s="15"/>
      <c r="WC107" s="15"/>
      <c r="WD107" s="15"/>
      <c r="WE107" s="15"/>
      <c r="WF107" s="15"/>
      <c r="WG107" s="15"/>
      <c r="WH107" s="15"/>
      <c r="WI107" s="15"/>
      <c r="WJ107" s="15"/>
      <c r="WK107" s="15"/>
      <c r="WL107" s="15"/>
      <c r="WM107" s="15"/>
      <c r="WN107" s="15"/>
      <c r="WO107" s="15"/>
      <c r="WP107" s="15"/>
      <c r="WQ107" s="15"/>
      <c r="WR107" s="15"/>
      <c r="WS107" s="15"/>
      <c r="WT107" s="15"/>
      <c r="WU107" s="15"/>
      <c r="WV107" s="15"/>
      <c r="WW107" s="15"/>
      <c r="WX107" s="15"/>
      <c r="WY107" s="15"/>
      <c r="WZ107" s="15"/>
      <c r="XA107" s="15"/>
      <c r="XB107" s="15"/>
      <c r="XC107" s="15"/>
      <c r="XD107" s="15"/>
      <c r="XE107" s="15"/>
      <c r="XF107" s="15"/>
      <c r="XG107" s="15"/>
      <c r="XH107" s="15"/>
      <c r="XI107" s="15"/>
      <c r="XJ107" s="15"/>
      <c r="XK107" s="15"/>
      <c r="XL107" s="15"/>
      <c r="XM107" s="15"/>
      <c r="XN107" s="15"/>
      <c r="XO107" s="15"/>
      <c r="XP107" s="15"/>
      <c r="XQ107" s="15"/>
      <c r="XR107" s="15"/>
      <c r="XS107" s="15"/>
      <c r="XT107" s="15"/>
      <c r="XU107" s="15"/>
      <c r="XV107" s="15"/>
      <c r="XW107" s="15"/>
      <c r="XX107" s="15"/>
      <c r="XY107" s="15"/>
      <c r="XZ107" s="15"/>
      <c r="YA107" s="15"/>
      <c r="YB107" s="15"/>
      <c r="YC107" s="15"/>
      <c r="YD107" s="15"/>
      <c r="YE107" s="15"/>
      <c r="YF107" s="15"/>
      <c r="YG107" s="15"/>
      <c r="YH107" s="15"/>
      <c r="YI107" s="15"/>
      <c r="YJ107" s="15"/>
      <c r="YK107" s="15"/>
      <c r="YL107" s="15"/>
      <c r="YM107" s="15"/>
      <c r="YN107" s="15"/>
      <c r="YO107" s="15"/>
      <c r="YP107" s="15"/>
      <c r="YQ107" s="15"/>
      <c r="YR107" s="15"/>
      <c r="YS107" s="15"/>
      <c r="YT107" s="15"/>
      <c r="YU107" s="15"/>
      <c r="YV107" s="15"/>
      <c r="YW107" s="15"/>
      <c r="YX107" s="15"/>
      <c r="YY107" s="15"/>
      <c r="YZ107" s="15"/>
      <c r="ZA107" s="15"/>
      <c r="ZB107" s="15"/>
      <c r="ZC107" s="15"/>
      <c r="ZD107" s="15"/>
      <c r="ZE107" s="15"/>
      <c r="ZF107" s="15"/>
      <c r="ZG107" s="15"/>
      <c r="ZH107" s="15"/>
      <c r="ZI107" s="15"/>
      <c r="ZJ107" s="15"/>
      <c r="ZK107" s="15"/>
      <c r="ZL107" s="15"/>
      <c r="ZM107" s="15"/>
      <c r="ZN107" s="15"/>
      <c r="ZO107" s="15"/>
      <c r="ZP107" s="15"/>
      <c r="ZQ107" s="15"/>
      <c r="ZR107" s="15"/>
      <c r="ZS107" s="15"/>
      <c r="ZT107" s="15"/>
      <c r="ZU107" s="15"/>
      <c r="ZV107" s="15"/>
      <c r="ZW107" s="15"/>
      <c r="ZX107" s="15"/>
      <c r="ZY107" s="15"/>
      <c r="ZZ107" s="15"/>
      <c r="AAA107" s="15"/>
      <c r="AAB107" s="15"/>
      <c r="AAC107" s="15"/>
      <c r="AAD107" s="15"/>
      <c r="AAE107" s="15"/>
      <c r="AAF107" s="15"/>
      <c r="AAG107" s="15"/>
      <c r="AAH107" s="15"/>
      <c r="AAI107" s="15"/>
      <c r="AAJ107" s="15"/>
      <c r="AAK107" s="15"/>
      <c r="AAL107" s="15"/>
      <c r="AAM107" s="15"/>
      <c r="AAN107" s="15"/>
      <c r="AAO107" s="15"/>
      <c r="AAP107" s="15"/>
      <c r="AAQ107" s="15"/>
      <c r="AAR107" s="15"/>
      <c r="AAS107" s="15"/>
      <c r="AAT107" s="15"/>
      <c r="AAU107" s="15"/>
      <c r="AAV107" s="15"/>
      <c r="AAW107" s="15"/>
      <c r="AAX107" s="15"/>
      <c r="AAY107" s="15"/>
      <c r="AAZ107" s="15"/>
      <c r="ABA107" s="15"/>
      <c r="ABB107" s="15"/>
      <c r="ABC107" s="15"/>
      <c r="ABD107" s="15"/>
      <c r="ABE107" s="15"/>
      <c r="ABF107" s="15"/>
      <c r="ABG107" s="15"/>
      <c r="ABH107" s="15"/>
      <c r="ABI107" s="15"/>
      <c r="ABJ107" s="15"/>
      <c r="ABK107" s="15"/>
      <c r="ABL107" s="15"/>
      <c r="ABM107" s="15"/>
      <c r="ABN107" s="15"/>
      <c r="ABO107" s="15"/>
      <c r="ABP107" s="15"/>
      <c r="ABQ107" s="15"/>
      <c r="ABR107" s="15"/>
      <c r="ABS107" s="15"/>
      <c r="ABT107" s="15"/>
      <c r="ABU107" s="15"/>
      <c r="ABV107" s="15"/>
      <c r="ABW107" s="15"/>
      <c r="ABX107" s="15"/>
      <c r="ABY107" s="15"/>
      <c r="ABZ107" s="15"/>
      <c r="ACA107" s="15"/>
      <c r="ACB107" s="15"/>
      <c r="ACC107" s="15"/>
      <c r="ACD107" s="15"/>
      <c r="ACE107" s="15"/>
      <c r="ACF107" s="15"/>
      <c r="ACG107" s="15"/>
      <c r="ACH107" s="15"/>
      <c r="ACI107" s="15"/>
      <c r="ACJ107" s="15"/>
      <c r="ACK107" s="15"/>
      <c r="ACL107" s="15"/>
      <c r="ACM107" s="15"/>
      <c r="ACN107" s="15"/>
      <c r="ACO107" s="15"/>
      <c r="ACP107" s="15"/>
      <c r="ACQ107" s="15"/>
      <c r="ACR107" s="15"/>
      <c r="ACS107" s="15"/>
      <c r="ACT107" s="15"/>
      <c r="ACU107" s="15"/>
      <c r="ACV107" s="15"/>
      <c r="ACW107" s="15"/>
      <c r="ACX107" s="15"/>
      <c r="ACY107" s="15"/>
      <c r="ACZ107" s="15"/>
      <c r="ADA107" s="15"/>
      <c r="ADB107" s="15"/>
      <c r="ADC107" s="15"/>
      <c r="ADD107" s="15"/>
      <c r="ADE107" s="15"/>
      <c r="ADF107" s="15"/>
      <c r="ADG107" s="15"/>
      <c r="ADH107" s="15"/>
      <c r="ADI107" s="15"/>
      <c r="ADJ107" s="15"/>
      <c r="ADK107" s="15"/>
      <c r="ADL107" s="15"/>
      <c r="ADM107" s="15"/>
      <c r="ADN107" s="15"/>
      <c r="ADO107" s="15"/>
      <c r="ADP107" s="15"/>
      <c r="ADQ107" s="15"/>
      <c r="ADR107" s="15"/>
      <c r="ADS107" s="15"/>
      <c r="ADT107" s="15"/>
      <c r="ADU107" s="15"/>
      <c r="ADV107" s="15"/>
      <c r="ADW107" s="15"/>
      <c r="ADX107" s="15"/>
      <c r="ADY107" s="15"/>
      <c r="ADZ107" s="15"/>
      <c r="AEA107" s="15"/>
      <c r="AEB107" s="15"/>
      <c r="AEC107" s="15"/>
      <c r="AED107" s="15"/>
      <c r="AEE107" s="15"/>
      <c r="AEF107" s="15"/>
      <c r="AEG107" s="15"/>
      <c r="AEH107" s="15"/>
      <c r="AEI107" s="15"/>
      <c r="AEJ107" s="15"/>
      <c r="AEK107" s="15"/>
      <c r="AEL107" s="15"/>
      <c r="AEM107" s="15"/>
      <c r="AEN107" s="15"/>
      <c r="AEO107" s="15"/>
      <c r="AEP107" s="15"/>
      <c r="AEQ107" s="15"/>
      <c r="AER107" s="15"/>
      <c r="AES107" s="15"/>
      <c r="AET107" s="15"/>
      <c r="AEU107" s="15"/>
      <c r="AEV107" s="15"/>
      <c r="AEW107" s="15"/>
      <c r="AEX107" s="15"/>
      <c r="AEY107" s="15"/>
      <c r="AEZ107" s="15"/>
      <c r="AFA107" s="15"/>
      <c r="AFB107" s="15"/>
      <c r="AFC107" s="15"/>
      <c r="AFD107" s="15"/>
      <c r="AFE107" s="15"/>
      <c r="AFF107" s="15"/>
      <c r="AFG107" s="15"/>
      <c r="AFH107" s="15"/>
      <c r="AFI107" s="15"/>
      <c r="AFJ107" s="15"/>
      <c r="AFK107" s="15"/>
      <c r="AFL107" s="15"/>
      <c r="AFM107" s="15"/>
      <c r="AFN107" s="15"/>
      <c r="AFO107" s="15"/>
      <c r="AFP107" s="15"/>
      <c r="AFQ107" s="15"/>
      <c r="AFR107" s="15"/>
      <c r="AFS107" s="15"/>
      <c r="AFT107" s="15"/>
      <c r="AFU107" s="15"/>
      <c r="AFV107" s="15"/>
      <c r="AFW107" s="15"/>
      <c r="AFX107" s="15"/>
      <c r="AFY107" s="15"/>
      <c r="AFZ107" s="15"/>
      <c r="AGA107" s="15"/>
      <c r="AGB107" s="15"/>
      <c r="AGC107" s="15"/>
      <c r="AGD107" s="15"/>
      <c r="AGE107" s="15"/>
      <c r="AGF107" s="15"/>
      <c r="AGG107" s="15"/>
      <c r="AGH107" s="15"/>
      <c r="AGI107" s="15"/>
      <c r="AGJ107" s="15"/>
      <c r="AGK107" s="15"/>
      <c r="AGL107" s="15"/>
      <c r="AGM107" s="15"/>
      <c r="AGN107" s="15"/>
      <c r="AGO107" s="15"/>
      <c r="AGP107" s="15"/>
      <c r="AGQ107" s="15"/>
      <c r="AGR107" s="15"/>
      <c r="AGS107" s="15"/>
      <c r="AGT107" s="15"/>
      <c r="AGU107" s="15"/>
      <c r="AGV107" s="15"/>
      <c r="AGW107" s="15"/>
      <c r="AGX107" s="15"/>
      <c r="AGY107" s="15"/>
      <c r="AGZ107" s="15"/>
      <c r="AHA107" s="15"/>
      <c r="AHB107" s="15"/>
      <c r="AHC107" s="15"/>
      <c r="AHD107" s="15"/>
      <c r="AHE107" s="15"/>
      <c r="AHF107" s="15"/>
      <c r="AHG107" s="15"/>
      <c r="AHH107" s="15"/>
      <c r="AHI107" s="15"/>
      <c r="AHJ107" s="15"/>
      <c r="AHK107" s="15"/>
      <c r="AHL107" s="15"/>
      <c r="AHM107" s="15"/>
      <c r="AHN107" s="15"/>
      <c r="AHO107" s="15"/>
      <c r="AHP107" s="15"/>
      <c r="AHQ107" s="15"/>
      <c r="AHR107" s="15"/>
      <c r="AHS107" s="15"/>
      <c r="AHT107" s="15"/>
      <c r="AHU107" s="15"/>
      <c r="AHV107" s="15"/>
      <c r="AHW107" s="15"/>
      <c r="AHX107" s="15"/>
      <c r="AHY107" s="15"/>
      <c r="AHZ107" s="15"/>
      <c r="AIA107" s="15"/>
      <c r="AIB107" s="15"/>
      <c r="AIC107" s="15"/>
      <c r="AID107" s="15"/>
      <c r="AIE107" s="15"/>
      <c r="AIF107" s="15"/>
      <c r="AIG107" s="15"/>
      <c r="AIH107" s="15"/>
      <c r="AII107" s="15"/>
      <c r="AIJ107" s="15"/>
      <c r="AIK107" s="15"/>
      <c r="AIL107" s="15"/>
      <c r="AIM107" s="15"/>
      <c r="AIN107" s="15"/>
      <c r="AIO107" s="15"/>
      <c r="AIP107" s="15"/>
      <c r="AIQ107" s="15"/>
      <c r="AIR107" s="15"/>
      <c r="AIS107" s="15"/>
      <c r="AIT107" s="15"/>
      <c r="AIU107" s="15"/>
      <c r="AIV107" s="15"/>
      <c r="AIW107" s="15"/>
      <c r="AIX107" s="15"/>
      <c r="AIY107" s="15"/>
      <c r="AIZ107" s="15"/>
      <c r="AJA107" s="15"/>
      <c r="AJB107" s="15"/>
      <c r="AJC107" s="15"/>
      <c r="AJD107" s="15"/>
      <c r="AJE107" s="15"/>
      <c r="AJF107" s="15"/>
      <c r="AJG107" s="15"/>
      <c r="AJH107" s="15"/>
      <c r="AJI107" s="15"/>
      <c r="AJJ107" s="15"/>
      <c r="AJK107" s="15"/>
      <c r="AJL107" s="15"/>
      <c r="AJM107" s="15"/>
      <c r="AJN107" s="15"/>
      <c r="AJO107" s="15"/>
      <c r="AJP107" s="15"/>
      <c r="AJQ107" s="15"/>
      <c r="AJR107" s="15"/>
      <c r="AJS107" s="15"/>
      <c r="AJT107" s="15"/>
      <c r="AJU107" s="15"/>
      <c r="AJV107" s="15"/>
      <c r="AJW107" s="15"/>
      <c r="AJX107" s="15"/>
      <c r="AJY107" s="15"/>
      <c r="AJZ107" s="15"/>
      <c r="AKA107" s="15"/>
      <c r="AKB107" s="15"/>
      <c r="AKC107" s="15"/>
      <c r="AKD107" s="15"/>
      <c r="AKE107" s="15"/>
      <c r="AKF107" s="15"/>
      <c r="AKG107" s="15"/>
      <c r="AKH107" s="15"/>
      <c r="AKI107" s="15"/>
      <c r="AKJ107" s="15"/>
      <c r="AKK107" s="15"/>
      <c r="AKL107" s="15"/>
      <c r="AKM107" s="15"/>
      <c r="AKN107" s="15"/>
      <c r="AKO107" s="15"/>
      <c r="AKP107" s="15"/>
      <c r="AKQ107" s="15"/>
      <c r="AKR107" s="15"/>
      <c r="AKS107" s="15"/>
      <c r="AKT107" s="15"/>
      <c r="AKU107" s="15"/>
      <c r="AKV107" s="15"/>
      <c r="AKW107" s="15"/>
      <c r="AKX107" s="15"/>
      <c r="AKY107" s="15"/>
      <c r="AKZ107" s="15"/>
      <c r="ALA107" s="15"/>
      <c r="ALB107" s="15"/>
      <c r="ALC107" s="15"/>
      <c r="ALD107" s="15"/>
      <c r="ALE107" s="15"/>
      <c r="ALF107" s="15"/>
      <c r="ALG107" s="15"/>
      <c r="ALH107" s="15"/>
      <c r="ALI107" s="15"/>
      <c r="ALJ107" s="15"/>
      <c r="ALK107" s="15"/>
      <c r="ALL107" s="15"/>
      <c r="ALM107" s="15"/>
      <c r="ALN107" s="15"/>
      <c r="ALO107" s="15"/>
      <c r="ALP107" s="15"/>
      <c r="ALQ107" s="15"/>
      <c r="ALR107" s="15"/>
      <c r="ALS107" s="15"/>
      <c r="ALT107" s="15"/>
      <c r="ALU107" s="15"/>
      <c r="ALV107" s="15"/>
      <c r="ALW107" s="15"/>
      <c r="ALX107" s="15"/>
      <c r="ALY107" s="15"/>
      <c r="ALZ107" s="15"/>
      <c r="AMA107" s="15"/>
      <c r="AMB107" s="15"/>
      <c r="AMC107" s="15"/>
      <c r="AMD107" s="15"/>
      <c r="AME107" s="15"/>
      <c r="AMF107" s="15"/>
      <c r="AMG107" s="15"/>
      <c r="AMH107" s="15"/>
      <c r="AMI107" s="15"/>
      <c r="AMJ107" s="15"/>
      <c r="AMK107" s="15"/>
      <c r="AML107" s="15"/>
      <c r="AMM107" s="15"/>
      <c r="AMN107" s="15"/>
      <c r="AMO107" s="15"/>
      <c r="AMP107" s="15"/>
      <c r="AMQ107" s="15"/>
      <c r="AMR107" s="15"/>
      <c r="AMS107" s="15"/>
      <c r="AMT107" s="15"/>
      <c r="AMU107" s="15"/>
      <c r="AMV107" s="15"/>
      <c r="AMW107" s="15"/>
      <c r="AMX107" s="15"/>
      <c r="AMY107" s="15"/>
      <c r="AMZ107" s="15"/>
      <c r="ANA107" s="15"/>
      <c r="ANB107" s="15"/>
      <c r="ANC107" s="15"/>
      <c r="AND107" s="15"/>
      <c r="ANE107" s="15"/>
      <c r="ANF107" s="15"/>
      <c r="ANG107" s="15"/>
      <c r="ANH107" s="15"/>
      <c r="ANI107" s="15"/>
      <c r="ANJ107" s="15"/>
      <c r="ANK107" s="15"/>
      <c r="ANL107" s="15"/>
      <c r="ANM107" s="15"/>
      <c r="ANN107" s="15"/>
      <c r="ANO107" s="15"/>
      <c r="ANP107" s="15"/>
      <c r="ANQ107" s="15"/>
      <c r="ANR107" s="15"/>
      <c r="ANS107" s="15"/>
      <c r="ANT107" s="15"/>
      <c r="ANU107" s="15"/>
      <c r="ANV107" s="15"/>
      <c r="ANW107" s="15"/>
      <c r="ANX107" s="15"/>
      <c r="ANY107" s="15"/>
      <c r="ANZ107" s="15"/>
      <c r="AOA107" s="15"/>
      <c r="AOB107" s="15"/>
      <c r="AOC107" s="15"/>
      <c r="AOD107" s="15"/>
      <c r="AOE107" s="15"/>
      <c r="AOF107" s="15"/>
      <c r="AOG107" s="15"/>
      <c r="AOH107" s="15"/>
      <c r="AOI107" s="15"/>
      <c r="AOJ107" s="15"/>
      <c r="AOK107" s="15"/>
      <c r="AOL107" s="15"/>
      <c r="AOM107" s="15"/>
      <c r="AON107" s="15"/>
      <c r="AOO107" s="15"/>
      <c r="AOP107" s="15"/>
      <c r="AOQ107" s="15"/>
      <c r="AOR107" s="15"/>
      <c r="AOS107" s="15"/>
      <c r="AOT107" s="15"/>
      <c r="AOU107" s="15"/>
      <c r="AOV107" s="15"/>
      <c r="AOW107" s="15"/>
      <c r="AOX107" s="15"/>
      <c r="AOY107" s="15"/>
      <c r="AOZ107" s="15"/>
      <c r="APA107" s="15"/>
      <c r="APB107" s="15"/>
      <c r="APC107" s="15"/>
      <c r="APD107" s="15"/>
      <c r="APE107" s="15"/>
      <c r="APF107" s="15"/>
      <c r="APG107" s="15"/>
      <c r="APH107" s="15"/>
      <c r="API107" s="15"/>
      <c r="APJ107" s="15"/>
      <c r="APK107" s="15"/>
      <c r="APL107" s="15"/>
      <c r="APM107" s="15"/>
      <c r="APN107" s="15"/>
      <c r="APO107" s="15"/>
      <c r="APP107" s="15"/>
      <c r="APQ107" s="15"/>
      <c r="APR107" s="15"/>
      <c r="APS107" s="15"/>
      <c r="APT107" s="15"/>
      <c r="APU107" s="15"/>
      <c r="APV107" s="15"/>
      <c r="APW107" s="15"/>
      <c r="APX107" s="15"/>
      <c r="APY107" s="15"/>
      <c r="APZ107" s="15"/>
      <c r="AQA107" s="15"/>
      <c r="AQB107" s="15"/>
      <c r="AQC107" s="15"/>
      <c r="AQD107" s="15"/>
      <c r="AQE107" s="15"/>
      <c r="AQF107" s="15"/>
      <c r="AQG107" s="15"/>
      <c r="AQH107" s="15"/>
      <c r="AQI107" s="15"/>
      <c r="AQJ107" s="15"/>
      <c r="AQK107" s="15"/>
      <c r="AQL107" s="15"/>
      <c r="AQM107" s="15"/>
      <c r="AQN107" s="15"/>
      <c r="AQO107" s="15"/>
      <c r="AQP107" s="15"/>
      <c r="AQQ107" s="15"/>
      <c r="AQR107" s="15"/>
      <c r="AQS107" s="15"/>
      <c r="AQT107" s="15"/>
      <c r="AQU107" s="15"/>
      <c r="AQV107" s="15"/>
      <c r="AQW107" s="15"/>
      <c r="AQX107" s="15"/>
      <c r="AQY107" s="15"/>
      <c r="AQZ107" s="15"/>
      <c r="ARA107" s="15"/>
      <c r="ARB107" s="15"/>
      <c r="ARC107" s="15"/>
      <c r="ARD107" s="15"/>
      <c r="ARE107" s="15"/>
      <c r="ARF107" s="15"/>
      <c r="ARG107" s="15"/>
      <c r="ARH107" s="15"/>
      <c r="ARI107" s="15"/>
      <c r="ARJ107" s="15"/>
      <c r="ARK107" s="15"/>
      <c r="ARL107" s="15"/>
      <c r="ARM107" s="15"/>
      <c r="ARN107" s="15"/>
      <c r="ARO107" s="15"/>
      <c r="ARP107" s="15"/>
      <c r="ARQ107" s="15"/>
      <c r="ARR107" s="15"/>
      <c r="ARS107" s="15"/>
      <c r="ART107" s="15"/>
      <c r="ARU107" s="15"/>
      <c r="ARV107" s="15"/>
      <c r="ARW107" s="15"/>
      <c r="ARX107" s="15"/>
      <c r="ARY107" s="15"/>
      <c r="ARZ107" s="15"/>
      <c r="ASA107" s="15"/>
      <c r="ASB107" s="15"/>
      <c r="ASC107" s="15"/>
      <c r="ASD107" s="15"/>
      <c r="ASE107" s="15"/>
      <c r="ASF107" s="15"/>
      <c r="ASG107" s="15"/>
      <c r="ASH107" s="15"/>
      <c r="ASI107" s="15"/>
      <c r="ASJ107" s="15"/>
      <c r="ASK107" s="15"/>
      <c r="ASL107" s="15"/>
      <c r="ASM107" s="15"/>
      <c r="ASN107" s="15"/>
      <c r="ASO107" s="15"/>
      <c r="ASP107" s="15"/>
      <c r="ASQ107" s="15"/>
      <c r="ASR107" s="15"/>
      <c r="ASS107" s="15"/>
      <c r="AST107" s="15"/>
      <c r="ASU107" s="15"/>
      <c r="ASV107" s="15"/>
      <c r="ASW107" s="15"/>
      <c r="ASX107" s="15"/>
      <c r="ASY107" s="15"/>
      <c r="ASZ107" s="15"/>
      <c r="ATA107" s="15"/>
      <c r="ATB107" s="15"/>
      <c r="ATC107" s="15"/>
      <c r="ATD107" s="15"/>
      <c r="ATE107" s="15"/>
      <c r="ATF107" s="15"/>
      <c r="ATG107" s="15"/>
      <c r="ATH107" s="15"/>
      <c r="ATI107" s="15"/>
      <c r="ATJ107" s="15"/>
      <c r="ATK107" s="15"/>
      <c r="ATL107" s="15"/>
      <c r="ATM107" s="15"/>
      <c r="ATN107" s="15"/>
      <c r="ATO107" s="15"/>
      <c r="ATP107" s="15"/>
      <c r="ATQ107" s="15"/>
      <c r="ATR107" s="15"/>
      <c r="ATS107" s="15"/>
      <c r="ATT107" s="15"/>
      <c r="ATU107" s="15"/>
      <c r="ATV107" s="15"/>
      <c r="ATW107" s="15"/>
      <c r="ATX107" s="15"/>
      <c r="ATY107" s="15"/>
      <c r="ATZ107" s="15"/>
      <c r="AUA107" s="15"/>
      <c r="AUB107" s="15"/>
      <c r="AUC107" s="15"/>
      <c r="AUD107" s="15"/>
      <c r="AUE107" s="15"/>
      <c r="AUF107" s="15"/>
      <c r="AUG107" s="15"/>
      <c r="AUH107" s="15"/>
      <c r="AUI107" s="15"/>
      <c r="AUJ107" s="15"/>
      <c r="AUK107" s="15"/>
      <c r="AUL107" s="15"/>
      <c r="AUM107" s="15"/>
      <c r="AUN107" s="15"/>
      <c r="AUO107" s="15"/>
      <c r="AUP107" s="15"/>
      <c r="AUQ107" s="15"/>
      <c r="AUR107" s="15"/>
      <c r="AUS107" s="15"/>
      <c r="AUT107" s="15"/>
      <c r="AUU107" s="15"/>
      <c r="AUV107" s="15"/>
      <c r="AUW107" s="15"/>
      <c r="AUX107" s="15"/>
      <c r="AUY107" s="15"/>
      <c r="AUZ107" s="15"/>
      <c r="AVA107" s="15"/>
      <c r="AVB107" s="15"/>
      <c r="AVC107" s="15"/>
      <c r="AVD107" s="15"/>
      <c r="AVE107" s="15"/>
      <c r="AVF107" s="15"/>
      <c r="AVG107" s="15"/>
      <c r="AVH107" s="15"/>
      <c r="AVI107" s="15"/>
      <c r="AVJ107" s="15"/>
      <c r="AVK107" s="15"/>
      <c r="AVL107" s="15"/>
      <c r="AVM107" s="15"/>
      <c r="AVN107" s="15"/>
      <c r="AVO107" s="15"/>
      <c r="AVP107" s="15"/>
      <c r="AVQ107" s="15"/>
      <c r="AVR107" s="15"/>
      <c r="AVS107" s="15"/>
      <c r="AVT107" s="15"/>
      <c r="AVU107" s="15"/>
      <c r="AVV107" s="15"/>
      <c r="AVW107" s="15"/>
      <c r="AVX107" s="15"/>
      <c r="AVY107" s="15"/>
      <c r="AVZ107" s="15"/>
      <c r="AWA107" s="15"/>
      <c r="AWB107" s="15"/>
      <c r="AWC107" s="15"/>
      <c r="AWD107" s="15"/>
      <c r="AWE107" s="15"/>
      <c r="AWF107" s="15"/>
      <c r="AWG107" s="15"/>
      <c r="AWH107" s="15"/>
      <c r="AWI107" s="15"/>
      <c r="AWJ107" s="15"/>
      <c r="AWK107" s="15"/>
      <c r="AWL107" s="15"/>
      <c r="AWM107" s="15"/>
      <c r="AWN107" s="15"/>
      <c r="AWO107" s="15"/>
      <c r="AWP107" s="15"/>
      <c r="AWQ107" s="15"/>
      <c r="AWR107" s="15"/>
      <c r="AWS107" s="15"/>
      <c r="AWT107" s="15"/>
      <c r="AWU107" s="15"/>
      <c r="AWV107" s="15"/>
      <c r="AWW107" s="15"/>
      <c r="AWX107" s="15"/>
      <c r="AWY107" s="15"/>
      <c r="AWZ107" s="15"/>
      <c r="AXA107" s="15"/>
      <c r="AXB107" s="15"/>
      <c r="AXC107" s="15"/>
      <c r="AXD107" s="15"/>
      <c r="AXE107" s="15"/>
      <c r="AXF107" s="15"/>
      <c r="AXG107" s="15"/>
      <c r="AXH107" s="15"/>
      <c r="AXI107" s="15"/>
      <c r="AXJ107" s="15"/>
      <c r="AXK107" s="15"/>
      <c r="AXL107" s="15"/>
      <c r="AXM107" s="15"/>
      <c r="AXN107" s="15"/>
      <c r="AXO107" s="15"/>
      <c r="AXP107" s="15"/>
      <c r="AXQ107" s="15"/>
      <c r="AXR107" s="15"/>
      <c r="AXS107" s="15"/>
      <c r="AXT107" s="15"/>
      <c r="AXU107" s="15"/>
      <c r="AXV107" s="15"/>
      <c r="AXW107" s="15"/>
      <c r="AXX107" s="15"/>
      <c r="AXY107" s="15"/>
      <c r="AXZ107" s="15"/>
      <c r="AYA107" s="15"/>
      <c r="AYB107" s="15"/>
      <c r="AYC107" s="15"/>
      <c r="AYD107" s="15"/>
      <c r="AYE107" s="15"/>
      <c r="AYF107" s="15"/>
      <c r="AYG107" s="15"/>
      <c r="AYH107" s="15"/>
      <c r="AYI107" s="15"/>
      <c r="AYJ107" s="15"/>
      <c r="AYK107" s="15"/>
      <c r="AYL107" s="15"/>
      <c r="AYM107" s="15"/>
      <c r="AYN107" s="15"/>
      <c r="AYO107" s="15"/>
      <c r="AYP107" s="15"/>
      <c r="AYQ107" s="15"/>
      <c r="AYR107" s="15"/>
      <c r="AYS107" s="15"/>
      <c r="AYT107" s="15"/>
      <c r="AYU107" s="15"/>
      <c r="AYV107" s="15"/>
      <c r="AYW107" s="15"/>
      <c r="AYX107" s="15"/>
      <c r="AYY107" s="15"/>
      <c r="AYZ107" s="15"/>
      <c r="AZA107" s="15"/>
      <c r="AZB107" s="15"/>
      <c r="AZC107" s="15"/>
      <c r="AZD107" s="15"/>
      <c r="AZE107" s="15"/>
      <c r="AZF107" s="15"/>
      <c r="AZG107" s="15"/>
      <c r="AZH107" s="15"/>
      <c r="AZI107" s="15"/>
      <c r="AZJ107" s="15"/>
      <c r="AZK107" s="15"/>
      <c r="AZL107" s="15"/>
      <c r="AZM107" s="15"/>
      <c r="AZN107" s="15"/>
      <c r="AZO107" s="15"/>
      <c r="AZP107" s="15"/>
      <c r="AZQ107" s="15"/>
      <c r="AZR107" s="15"/>
      <c r="AZS107" s="15"/>
      <c r="AZT107" s="15"/>
      <c r="AZU107" s="15"/>
      <c r="AZV107" s="15"/>
      <c r="AZW107" s="15"/>
      <c r="AZX107" s="15"/>
      <c r="AZY107" s="15"/>
      <c r="AZZ107" s="15"/>
      <c r="BAA107" s="15"/>
      <c r="BAB107" s="15"/>
      <c r="BAC107" s="15"/>
      <c r="BAD107" s="15"/>
      <c r="BAE107" s="15"/>
      <c r="BAF107" s="15"/>
      <c r="BAG107" s="15"/>
      <c r="BAH107" s="15"/>
      <c r="BAI107" s="15"/>
      <c r="BAJ107" s="15"/>
      <c r="BAK107" s="15"/>
      <c r="BAL107" s="15"/>
      <c r="BAM107" s="15"/>
      <c r="BAN107" s="15"/>
      <c r="BAO107" s="15"/>
      <c r="BAP107" s="15"/>
      <c r="BAQ107" s="15"/>
      <c r="BAR107" s="15"/>
      <c r="BAS107" s="15"/>
      <c r="BAT107" s="15"/>
      <c r="BAU107" s="15"/>
      <c r="BAV107" s="15"/>
      <c r="BAW107" s="15"/>
      <c r="BAX107" s="15"/>
      <c r="BAY107" s="15"/>
      <c r="BAZ107" s="15"/>
      <c r="BBA107" s="15"/>
      <c r="BBB107" s="15"/>
      <c r="BBC107" s="15"/>
      <c r="BBD107" s="15"/>
      <c r="BBE107" s="15"/>
      <c r="BBF107" s="15"/>
      <c r="BBG107" s="15"/>
      <c r="BBH107" s="15"/>
      <c r="BBI107" s="15"/>
      <c r="BBJ107" s="15"/>
      <c r="BBK107" s="15"/>
      <c r="BBL107" s="15"/>
      <c r="BBM107" s="15"/>
      <c r="BBN107" s="15"/>
      <c r="BBO107" s="15"/>
      <c r="BBP107" s="15"/>
      <c r="BBQ107" s="15"/>
      <c r="BBR107" s="15"/>
      <c r="BBS107" s="15"/>
      <c r="BBT107" s="15"/>
      <c r="BBU107" s="15"/>
      <c r="BBV107" s="15"/>
      <c r="BBW107" s="15"/>
      <c r="BBX107" s="15"/>
      <c r="BBY107" s="15"/>
      <c r="BBZ107" s="15"/>
      <c r="BCA107" s="15"/>
      <c r="BCB107" s="15"/>
      <c r="BCC107" s="15"/>
      <c r="BCD107" s="15"/>
      <c r="BCE107" s="15"/>
      <c r="BCF107" s="15"/>
      <c r="BCG107" s="15"/>
      <c r="BCH107" s="15"/>
      <c r="BCI107" s="15"/>
      <c r="BCJ107" s="15"/>
      <c r="BCK107" s="15"/>
      <c r="BCL107" s="15"/>
      <c r="BCM107" s="15"/>
      <c r="BCN107" s="15"/>
      <c r="BCO107" s="15"/>
      <c r="BCP107" s="15"/>
      <c r="BCQ107" s="15"/>
      <c r="BCR107" s="15"/>
      <c r="BCS107" s="15"/>
      <c r="BCT107" s="15"/>
      <c r="BCU107" s="15"/>
      <c r="BCV107" s="15"/>
      <c r="BCW107" s="15"/>
      <c r="BCX107" s="15"/>
      <c r="BCY107" s="15"/>
      <c r="BCZ107" s="15"/>
      <c r="BDA107" s="15"/>
      <c r="BDB107" s="15"/>
      <c r="BDC107" s="15"/>
      <c r="BDD107" s="15"/>
      <c r="BDE107" s="15"/>
      <c r="BDF107" s="15"/>
      <c r="BDG107" s="15"/>
      <c r="BDH107" s="15"/>
      <c r="BDI107" s="15"/>
      <c r="BDJ107" s="15"/>
      <c r="BDK107" s="15"/>
      <c r="BDL107" s="15"/>
      <c r="BDM107" s="15"/>
      <c r="BDN107" s="15"/>
      <c r="BDO107" s="15"/>
      <c r="BDP107" s="15"/>
      <c r="BDQ107" s="15"/>
      <c r="BDR107" s="15"/>
      <c r="BDS107" s="15"/>
      <c r="BDT107" s="15"/>
      <c r="BDU107" s="15"/>
      <c r="BDV107" s="15"/>
      <c r="BDW107" s="15"/>
      <c r="BDX107" s="15"/>
      <c r="BDY107" s="15"/>
      <c r="BDZ107" s="15"/>
      <c r="BEA107" s="15"/>
      <c r="BEB107" s="15"/>
      <c r="BEC107" s="15"/>
      <c r="BED107" s="15"/>
      <c r="BEE107" s="15"/>
      <c r="BEF107" s="15"/>
      <c r="BEG107" s="15"/>
      <c r="BEH107" s="15"/>
      <c r="BEI107" s="15"/>
      <c r="BEJ107" s="15"/>
      <c r="BEK107" s="15"/>
      <c r="BEL107" s="15"/>
      <c r="BEM107" s="15"/>
      <c r="BEN107" s="15"/>
      <c r="BEO107" s="15"/>
      <c r="BEP107" s="15"/>
      <c r="BEQ107" s="15"/>
      <c r="BER107" s="15"/>
      <c r="BES107" s="15"/>
      <c r="BET107" s="15"/>
      <c r="BEU107" s="15"/>
      <c r="BEV107" s="15"/>
      <c r="BEW107" s="15"/>
      <c r="BEX107" s="15"/>
      <c r="BEY107" s="15"/>
      <c r="BEZ107" s="15"/>
      <c r="BFA107" s="15"/>
      <c r="BFB107" s="15"/>
      <c r="BFC107" s="15"/>
      <c r="BFD107" s="15"/>
      <c r="BFE107" s="15"/>
      <c r="BFF107" s="15"/>
      <c r="BFG107" s="15"/>
      <c r="BFH107" s="15"/>
      <c r="BFI107" s="15"/>
      <c r="BFJ107" s="15"/>
      <c r="BFK107" s="15"/>
      <c r="BFL107" s="15"/>
      <c r="BFM107" s="15"/>
      <c r="BFN107" s="15"/>
      <c r="BFO107" s="15"/>
      <c r="BFP107" s="15"/>
      <c r="BFQ107" s="15"/>
      <c r="BFR107" s="15"/>
      <c r="BFS107" s="15"/>
      <c r="BFT107" s="15"/>
      <c r="BFU107" s="15"/>
      <c r="BFV107" s="15"/>
      <c r="BFW107" s="15"/>
      <c r="BFX107" s="15"/>
      <c r="BFY107" s="15"/>
      <c r="BFZ107" s="15"/>
      <c r="BGA107" s="15"/>
      <c r="BGB107" s="15"/>
      <c r="BGC107" s="15"/>
      <c r="BGD107" s="15"/>
      <c r="BGE107" s="15"/>
      <c r="BGF107" s="15"/>
      <c r="BGG107" s="15"/>
      <c r="BGH107" s="15"/>
      <c r="BGI107" s="15"/>
      <c r="BGJ107" s="15"/>
      <c r="BGK107" s="15"/>
      <c r="BGL107" s="15"/>
      <c r="BGM107" s="15"/>
      <c r="BGN107" s="15"/>
      <c r="BGO107" s="15"/>
      <c r="BGP107" s="15"/>
      <c r="BGQ107" s="15"/>
      <c r="BGR107" s="15"/>
      <c r="BGS107" s="15"/>
      <c r="BGT107" s="15"/>
      <c r="BGU107" s="15"/>
      <c r="BGV107" s="15"/>
      <c r="BGW107" s="15"/>
      <c r="BGX107" s="15"/>
      <c r="BGY107" s="15"/>
      <c r="BGZ107" s="15"/>
      <c r="BHA107" s="15"/>
      <c r="BHB107" s="15"/>
      <c r="BHC107" s="15"/>
      <c r="BHD107" s="15"/>
      <c r="BHE107" s="15"/>
      <c r="BHF107" s="15"/>
      <c r="BHG107" s="15"/>
      <c r="BHH107" s="15"/>
      <c r="BHI107" s="15"/>
      <c r="BHJ107" s="15"/>
      <c r="BHK107" s="15"/>
      <c r="BHL107" s="15"/>
      <c r="BHM107" s="15"/>
      <c r="BHN107" s="15"/>
      <c r="BHO107" s="15"/>
      <c r="BHP107" s="15"/>
      <c r="BHQ107" s="15"/>
      <c r="BHR107" s="15"/>
      <c r="BHS107" s="15"/>
      <c r="BHT107" s="15"/>
      <c r="BHU107" s="15"/>
      <c r="BHV107" s="15"/>
      <c r="BHW107" s="15"/>
      <c r="BHX107" s="15"/>
      <c r="BHY107" s="15"/>
      <c r="BHZ107" s="15"/>
      <c r="BIA107" s="15"/>
      <c r="BIB107" s="15"/>
      <c r="BIC107" s="15"/>
      <c r="BID107" s="15"/>
      <c r="BIE107" s="15"/>
      <c r="BIF107" s="15"/>
      <c r="BIG107" s="15"/>
      <c r="BIH107" s="15"/>
      <c r="BII107" s="15"/>
      <c r="BIJ107" s="15"/>
      <c r="BIK107" s="15"/>
      <c r="BIL107" s="15"/>
      <c r="BIM107" s="15"/>
      <c r="BIN107" s="15"/>
      <c r="BIO107" s="15"/>
      <c r="BIP107" s="15"/>
      <c r="BIQ107" s="15"/>
      <c r="BIR107" s="15"/>
      <c r="BIS107" s="15"/>
      <c r="BIT107" s="15"/>
      <c r="BIU107" s="15"/>
      <c r="BIV107" s="15"/>
      <c r="BIW107" s="15"/>
      <c r="BIX107" s="15"/>
      <c r="BIY107" s="15"/>
      <c r="BIZ107" s="15"/>
      <c r="BJA107" s="15"/>
      <c r="BJB107" s="15"/>
      <c r="BJC107" s="15"/>
      <c r="BJD107" s="15"/>
      <c r="BJE107" s="15"/>
      <c r="BJF107" s="15"/>
      <c r="BJG107" s="15"/>
      <c r="BJH107" s="15"/>
      <c r="BJI107" s="15"/>
      <c r="BJJ107" s="15"/>
      <c r="BJK107" s="15"/>
      <c r="BJL107" s="15"/>
      <c r="BJM107" s="15"/>
      <c r="BJN107" s="15"/>
      <c r="BJO107" s="15"/>
      <c r="BJP107" s="15"/>
      <c r="BJQ107" s="15"/>
      <c r="BJR107" s="15"/>
      <c r="BJS107" s="15"/>
      <c r="BJT107" s="15"/>
      <c r="BJU107" s="15"/>
      <c r="BJV107" s="15"/>
      <c r="BJW107" s="15"/>
      <c r="BJX107" s="15"/>
      <c r="BJY107" s="15"/>
      <c r="BJZ107" s="15"/>
      <c r="BKA107" s="15"/>
      <c r="BKB107" s="15"/>
      <c r="BKC107" s="15"/>
      <c r="BKD107" s="15"/>
      <c r="BKE107" s="15"/>
      <c r="BKF107" s="15"/>
      <c r="BKG107" s="15"/>
      <c r="BKH107" s="15"/>
      <c r="BKI107" s="15"/>
      <c r="BKJ107" s="15"/>
      <c r="BKK107" s="15"/>
      <c r="BKL107" s="15"/>
      <c r="BKM107" s="15"/>
      <c r="BKN107" s="15"/>
      <c r="BKO107" s="15"/>
      <c r="BKP107" s="15"/>
      <c r="BKQ107" s="15"/>
      <c r="BKR107" s="15"/>
      <c r="BKS107" s="15"/>
      <c r="BKT107" s="15"/>
      <c r="BKU107" s="15"/>
      <c r="BKV107" s="15"/>
      <c r="BKW107" s="15"/>
      <c r="BKX107" s="15"/>
      <c r="BKY107" s="15"/>
      <c r="BKZ107" s="15"/>
      <c r="BLA107" s="15"/>
      <c r="BLB107" s="15"/>
      <c r="BLC107" s="15"/>
      <c r="BLD107" s="15"/>
      <c r="BLE107" s="15"/>
      <c r="BLF107" s="15"/>
      <c r="BLG107" s="15"/>
      <c r="BLH107" s="15"/>
      <c r="BLI107" s="15"/>
      <c r="BLJ107" s="15"/>
      <c r="BLK107" s="15"/>
      <c r="BLL107" s="15"/>
      <c r="BLM107" s="15"/>
      <c r="BLN107" s="15"/>
      <c r="BLO107" s="15"/>
      <c r="BLP107" s="15"/>
      <c r="BLQ107" s="15"/>
      <c r="BLR107" s="15"/>
      <c r="BLS107" s="15"/>
      <c r="BLT107" s="15"/>
      <c r="BLU107" s="15"/>
      <c r="BLV107" s="15"/>
      <c r="BLW107" s="15"/>
      <c r="BLX107" s="15"/>
      <c r="BLY107" s="15"/>
      <c r="BLZ107" s="15"/>
      <c r="BMA107" s="15"/>
      <c r="BMB107" s="15"/>
      <c r="BMC107" s="15"/>
      <c r="BMD107" s="15"/>
      <c r="BME107" s="15"/>
      <c r="BMF107" s="15"/>
      <c r="BMG107" s="15"/>
      <c r="BMH107" s="15"/>
      <c r="BMI107" s="15"/>
      <c r="BMJ107" s="15"/>
      <c r="BMK107" s="15"/>
      <c r="BML107" s="15"/>
      <c r="BMM107" s="15"/>
      <c r="BMN107" s="15"/>
      <c r="BMO107" s="15"/>
      <c r="BMP107" s="15"/>
      <c r="BMQ107" s="15"/>
      <c r="BMR107" s="15"/>
      <c r="BMS107" s="15"/>
      <c r="BMT107" s="15"/>
      <c r="BMU107" s="15"/>
      <c r="BMV107" s="15"/>
      <c r="BMW107" s="15"/>
      <c r="BMX107" s="15"/>
      <c r="BMY107" s="15"/>
      <c r="BMZ107" s="15"/>
      <c r="BNA107" s="15"/>
      <c r="BNB107" s="15"/>
      <c r="BNC107" s="15"/>
      <c r="BND107" s="15"/>
      <c r="BNE107" s="15"/>
      <c r="BNF107" s="15"/>
      <c r="BNG107" s="15"/>
      <c r="BNH107" s="15"/>
      <c r="BNI107" s="15"/>
      <c r="BNJ107" s="15"/>
      <c r="BNK107" s="15"/>
      <c r="BNL107" s="15"/>
      <c r="BNM107" s="15"/>
      <c r="BNN107" s="15"/>
      <c r="BNO107" s="15"/>
      <c r="BNP107" s="15"/>
      <c r="BNQ107" s="15"/>
      <c r="BNR107" s="15"/>
      <c r="BNS107" s="15"/>
      <c r="BNT107" s="15"/>
      <c r="BNU107" s="15"/>
      <c r="BNV107" s="15"/>
      <c r="BNW107" s="15"/>
      <c r="BNX107" s="15"/>
      <c r="BNY107" s="15"/>
      <c r="BNZ107" s="15"/>
      <c r="BOA107" s="15"/>
      <c r="BOB107" s="15"/>
      <c r="BOC107" s="15"/>
      <c r="BOD107" s="15"/>
      <c r="BOE107" s="15"/>
      <c r="BOF107" s="15"/>
      <c r="BOG107" s="15"/>
      <c r="BOH107" s="15"/>
      <c r="BOI107" s="15"/>
      <c r="BOJ107" s="15"/>
      <c r="BOK107" s="15"/>
      <c r="BOL107" s="15"/>
      <c r="BOM107" s="15"/>
      <c r="BON107" s="15"/>
      <c r="BOO107" s="15"/>
      <c r="BOP107" s="15"/>
      <c r="BOQ107" s="15"/>
      <c r="BOR107" s="15"/>
      <c r="BOS107" s="15"/>
      <c r="BOT107" s="15"/>
      <c r="BOU107" s="15"/>
      <c r="BOV107" s="15"/>
      <c r="BOW107" s="15"/>
      <c r="BOX107" s="15"/>
      <c r="BOY107" s="15"/>
      <c r="BOZ107" s="15"/>
      <c r="BPA107" s="15"/>
      <c r="BPB107" s="15"/>
      <c r="BPC107" s="15"/>
      <c r="BPD107" s="15"/>
      <c r="BPE107" s="15"/>
      <c r="BPF107" s="15"/>
      <c r="BPG107" s="15"/>
      <c r="BPH107" s="15"/>
      <c r="BPI107" s="15"/>
      <c r="BPJ107" s="15"/>
      <c r="BPK107" s="15"/>
      <c r="BPL107" s="15"/>
      <c r="BPM107" s="15"/>
      <c r="BPN107" s="15"/>
      <c r="BPO107" s="15"/>
      <c r="BPP107" s="15"/>
      <c r="BPQ107" s="15"/>
      <c r="BPR107" s="15"/>
      <c r="BPS107" s="15"/>
      <c r="BPT107" s="15"/>
      <c r="BPU107" s="15"/>
      <c r="BPV107" s="15"/>
      <c r="BPW107" s="15"/>
      <c r="BPX107" s="15"/>
      <c r="BPY107" s="15"/>
      <c r="BPZ107" s="15"/>
      <c r="BQA107" s="15"/>
      <c r="BQB107" s="15"/>
      <c r="BQC107" s="15"/>
      <c r="BQD107" s="15"/>
      <c r="BQE107" s="15"/>
      <c r="BQF107" s="15"/>
      <c r="BQG107" s="15"/>
      <c r="BQH107" s="15"/>
      <c r="BQI107" s="15"/>
      <c r="BQJ107" s="15"/>
      <c r="BQK107" s="15"/>
      <c r="BQL107" s="15"/>
      <c r="BQM107" s="15"/>
      <c r="BQN107" s="15"/>
      <c r="BQO107" s="15"/>
      <c r="BQP107" s="15"/>
      <c r="BQQ107" s="15"/>
      <c r="BQR107" s="15"/>
      <c r="BQS107" s="15"/>
      <c r="BQT107" s="15"/>
      <c r="BQU107" s="15"/>
      <c r="BQV107" s="15"/>
      <c r="BQW107" s="15"/>
      <c r="BQX107" s="15"/>
      <c r="BQY107" s="15"/>
      <c r="BQZ107" s="15"/>
      <c r="BRA107" s="15"/>
      <c r="BRB107" s="15"/>
      <c r="BRC107" s="15"/>
      <c r="BRD107" s="15"/>
      <c r="BRE107" s="15"/>
      <c r="BRF107" s="15"/>
      <c r="BRG107" s="15"/>
      <c r="BRH107" s="15"/>
      <c r="BRI107" s="15"/>
      <c r="BRJ107" s="15"/>
      <c r="BRK107" s="15"/>
      <c r="BRL107" s="15"/>
      <c r="BRM107" s="15"/>
      <c r="BRN107" s="15"/>
      <c r="BRO107" s="15"/>
      <c r="BRP107" s="15"/>
      <c r="BRQ107" s="15"/>
      <c r="BRR107" s="15"/>
      <c r="BRS107" s="15"/>
      <c r="BRT107" s="15"/>
      <c r="BRU107" s="15"/>
      <c r="BRV107" s="15"/>
      <c r="BRW107" s="15"/>
      <c r="BRX107" s="15"/>
      <c r="BRY107" s="15"/>
      <c r="BRZ107" s="15"/>
      <c r="BSA107" s="15"/>
      <c r="BSB107" s="15"/>
      <c r="BSC107" s="15"/>
      <c r="BSD107" s="15"/>
      <c r="BSE107" s="15"/>
      <c r="BSF107" s="15"/>
      <c r="BSG107" s="15"/>
      <c r="BSH107" s="15"/>
      <c r="BSI107" s="15"/>
      <c r="BSJ107" s="15"/>
      <c r="BSK107" s="15"/>
      <c r="BSL107" s="15"/>
      <c r="BSM107" s="15"/>
      <c r="BSN107" s="15"/>
      <c r="BSO107" s="15"/>
      <c r="BSP107" s="15"/>
      <c r="BSQ107" s="15"/>
      <c r="BSR107" s="15"/>
      <c r="BSS107" s="15"/>
      <c r="BST107" s="15"/>
      <c r="BSU107" s="15"/>
      <c r="BSV107" s="15"/>
      <c r="BSW107" s="15"/>
      <c r="BSX107" s="15"/>
      <c r="BSY107" s="15"/>
      <c r="BSZ107" s="15"/>
      <c r="BTA107" s="15"/>
      <c r="BTB107" s="15"/>
      <c r="BTC107" s="15"/>
      <c r="BTD107" s="15"/>
      <c r="BTE107" s="15"/>
      <c r="BTF107" s="15"/>
      <c r="BTG107" s="15"/>
      <c r="BTH107" s="15"/>
      <c r="BTI107" s="15"/>
      <c r="BTJ107" s="15"/>
      <c r="BTK107" s="15"/>
      <c r="BTL107" s="15"/>
      <c r="BTM107" s="15"/>
      <c r="BTN107" s="15"/>
      <c r="BTO107" s="15"/>
      <c r="BTP107" s="15"/>
      <c r="BTQ107" s="15"/>
      <c r="BTR107" s="15"/>
      <c r="BTS107" s="15"/>
      <c r="BTT107" s="15"/>
      <c r="BTU107" s="15"/>
      <c r="BTV107" s="15"/>
      <c r="BTW107" s="15"/>
      <c r="BTX107" s="15"/>
      <c r="BTY107" s="15"/>
      <c r="BTZ107" s="15"/>
      <c r="BUA107" s="15"/>
      <c r="BUB107" s="15"/>
      <c r="BUC107" s="15"/>
      <c r="BUD107" s="15"/>
      <c r="BUE107" s="15"/>
      <c r="BUF107" s="15"/>
      <c r="BUG107" s="15"/>
      <c r="BUH107" s="15"/>
      <c r="BUI107" s="15"/>
      <c r="BUJ107" s="15"/>
      <c r="BUK107" s="15"/>
      <c r="BUL107" s="15"/>
      <c r="BUM107" s="15"/>
      <c r="BUN107" s="15"/>
      <c r="BUO107" s="15"/>
      <c r="BUP107" s="15"/>
      <c r="BUQ107" s="15"/>
      <c r="BUR107" s="15"/>
      <c r="BUS107" s="15"/>
      <c r="BUT107" s="15"/>
      <c r="BUU107" s="15"/>
      <c r="BUV107" s="15"/>
      <c r="BUW107" s="15"/>
      <c r="BUX107" s="15"/>
      <c r="BUY107" s="15"/>
      <c r="BUZ107" s="15"/>
      <c r="BVA107" s="15"/>
      <c r="BVB107" s="15"/>
      <c r="BVC107" s="15"/>
      <c r="BVD107" s="15"/>
      <c r="BVE107" s="15"/>
      <c r="BVF107" s="15"/>
      <c r="BVG107" s="15"/>
      <c r="BVH107" s="15"/>
      <c r="BVI107" s="15"/>
      <c r="BVJ107" s="15"/>
      <c r="BVK107" s="15"/>
      <c r="BVL107" s="15"/>
      <c r="BVM107" s="15"/>
      <c r="BVN107" s="15"/>
      <c r="BVO107" s="15"/>
      <c r="BVP107" s="15"/>
      <c r="BVQ107" s="15"/>
      <c r="BVR107" s="15"/>
      <c r="BVS107" s="15"/>
      <c r="BVT107" s="15"/>
      <c r="BVU107" s="15"/>
      <c r="BVV107" s="15"/>
      <c r="BVW107" s="15"/>
      <c r="BVX107" s="15"/>
      <c r="BVY107" s="15"/>
      <c r="BVZ107" s="15"/>
      <c r="BWA107" s="15"/>
      <c r="BWB107" s="15"/>
      <c r="BWC107" s="15"/>
      <c r="BWD107" s="15"/>
      <c r="BWE107" s="15"/>
      <c r="BWF107" s="15"/>
      <c r="BWG107" s="15"/>
      <c r="BWH107" s="15"/>
      <c r="BWI107" s="15"/>
      <c r="BWJ107" s="15"/>
      <c r="BWK107" s="15"/>
      <c r="BWL107" s="15"/>
      <c r="BWM107" s="15"/>
      <c r="BWN107" s="15"/>
      <c r="BWO107" s="15"/>
      <c r="BWP107" s="15"/>
      <c r="BWQ107" s="15"/>
      <c r="BWR107" s="15"/>
      <c r="BWS107" s="15"/>
      <c r="BWT107" s="15"/>
      <c r="BWU107" s="15"/>
      <c r="BWV107" s="15"/>
      <c r="BWW107" s="15"/>
      <c r="BWX107" s="15"/>
      <c r="BWY107" s="15"/>
      <c r="BWZ107" s="15"/>
      <c r="BXA107" s="15"/>
      <c r="BXB107" s="15"/>
      <c r="BXC107" s="15"/>
      <c r="BXD107" s="15"/>
      <c r="BXE107" s="15"/>
      <c r="BXF107" s="15"/>
      <c r="BXG107" s="15"/>
      <c r="BXH107" s="15"/>
      <c r="BXI107" s="15"/>
      <c r="BXJ107" s="15"/>
      <c r="BXK107" s="15"/>
      <c r="BXL107" s="15"/>
      <c r="BXM107" s="15"/>
      <c r="BXN107" s="15"/>
      <c r="BXO107" s="15"/>
      <c r="BXP107" s="15"/>
      <c r="BXQ107" s="15"/>
      <c r="BXR107" s="15"/>
      <c r="BXS107" s="15"/>
      <c r="BXT107" s="15"/>
      <c r="BXU107" s="15"/>
      <c r="BXV107" s="15"/>
      <c r="BXW107" s="15"/>
      <c r="BXX107" s="15"/>
      <c r="BXY107" s="15"/>
      <c r="BXZ107" s="15"/>
      <c r="BYA107" s="15"/>
      <c r="BYB107" s="15"/>
      <c r="BYC107" s="15"/>
      <c r="BYD107" s="15"/>
      <c r="BYE107" s="15"/>
      <c r="BYF107" s="15"/>
      <c r="BYG107" s="15"/>
      <c r="BYH107" s="15"/>
      <c r="BYI107" s="15"/>
      <c r="BYJ107" s="15"/>
      <c r="BYK107" s="15"/>
      <c r="BYL107" s="15"/>
      <c r="BYM107" s="15"/>
      <c r="BYN107" s="15"/>
      <c r="BYO107" s="15"/>
      <c r="BYP107" s="15"/>
      <c r="BYQ107" s="15"/>
      <c r="BYR107" s="15"/>
      <c r="BYS107" s="15"/>
      <c r="BYT107" s="15"/>
      <c r="BYU107" s="15"/>
      <c r="BYV107" s="15"/>
      <c r="BYW107" s="15"/>
      <c r="BYX107" s="15"/>
      <c r="BYY107" s="15"/>
      <c r="BYZ107" s="15"/>
      <c r="BZA107" s="15"/>
      <c r="BZB107" s="15"/>
      <c r="BZC107" s="15"/>
      <c r="BZD107" s="15"/>
      <c r="BZE107" s="15"/>
      <c r="BZF107" s="15"/>
      <c r="BZG107" s="15"/>
      <c r="BZH107" s="15"/>
      <c r="BZI107" s="15"/>
      <c r="BZJ107" s="15"/>
      <c r="BZK107" s="15"/>
      <c r="BZL107" s="15"/>
      <c r="BZM107" s="15"/>
      <c r="BZN107" s="15"/>
      <c r="BZO107" s="15"/>
      <c r="BZP107" s="15"/>
      <c r="BZQ107" s="15"/>
      <c r="BZR107" s="15"/>
      <c r="BZS107" s="15"/>
      <c r="BZT107" s="15"/>
      <c r="BZU107" s="15"/>
      <c r="BZV107" s="15"/>
      <c r="BZW107" s="15"/>
      <c r="BZX107" s="15"/>
      <c r="BZY107" s="15"/>
      <c r="BZZ107" s="15"/>
      <c r="CAA107" s="15"/>
      <c r="CAB107" s="15"/>
      <c r="CAC107" s="15"/>
      <c r="CAD107" s="15"/>
      <c r="CAE107" s="15"/>
      <c r="CAF107" s="15"/>
      <c r="CAG107" s="15"/>
      <c r="CAH107" s="15"/>
      <c r="CAI107" s="15"/>
      <c r="CAJ107" s="15"/>
      <c r="CAK107" s="15"/>
      <c r="CAL107" s="15"/>
      <c r="CAM107" s="15"/>
      <c r="CAN107" s="15"/>
      <c r="CAO107" s="15"/>
      <c r="CAP107" s="15"/>
      <c r="CAQ107" s="15"/>
      <c r="CAR107" s="15"/>
      <c r="CAS107" s="15"/>
      <c r="CAT107" s="15"/>
      <c r="CAU107" s="15"/>
      <c r="CAV107" s="15"/>
      <c r="CAW107" s="15"/>
      <c r="CAX107" s="15"/>
      <c r="CAY107" s="15"/>
      <c r="CAZ107" s="15"/>
      <c r="CBA107" s="15"/>
      <c r="CBB107" s="15"/>
      <c r="CBC107" s="15"/>
      <c r="CBD107" s="15"/>
      <c r="CBE107" s="15"/>
      <c r="CBF107" s="15"/>
      <c r="CBG107" s="15"/>
      <c r="CBH107" s="15"/>
    </row>
    <row r="108" spans="1:16372" s="47" customFormat="1" x14ac:dyDescent="0.2">
      <c r="A108" s="2" t="s">
        <v>198</v>
      </c>
      <c r="B108" s="33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  <c r="MH108" s="15"/>
      <c r="MI108" s="15"/>
      <c r="MJ108" s="15"/>
      <c r="MK108" s="15"/>
      <c r="ML108" s="15"/>
      <c r="MM108" s="15"/>
      <c r="MN108" s="15"/>
    </row>
    <row r="109" spans="1:16372" s="47" customFormat="1" x14ac:dyDescent="0.2">
      <c r="A109" s="13" t="s">
        <v>116</v>
      </c>
      <c r="B109" s="59" t="str">
        <f t="shared" ref="B109" si="11">IF(AND(B22&gt;=30, B22&lt;=39), "yes", "no")</f>
        <v>no</v>
      </c>
    </row>
    <row r="110" spans="1:16372" s="47" customFormat="1" x14ac:dyDescent="0.2">
      <c r="A110" s="13" t="s">
        <v>117</v>
      </c>
      <c r="B110" s="59" t="str">
        <f t="shared" ref="B110" si="12">IF(AND(B22&gt;=40, B22&lt;=49), "yes", "no")</f>
        <v>no</v>
      </c>
    </row>
    <row r="111" spans="1:16372" s="47" customFormat="1" x14ac:dyDescent="0.2">
      <c r="A111" s="13" t="s">
        <v>118</v>
      </c>
      <c r="B111" s="59" t="str">
        <f t="shared" ref="B111" si="13">IF(AND(B22&gt;=50, B22&lt;=59), "yes", "no")</f>
        <v>no</v>
      </c>
    </row>
    <row r="112" spans="1:16372" s="47" customFormat="1" x14ac:dyDescent="0.2">
      <c r="A112" s="13" t="s">
        <v>119</v>
      </c>
      <c r="B112" s="59" t="str">
        <f t="shared" ref="B112" si="14">IF(AND(B22&gt;=60, B22&lt;=69), "yes", "no")</f>
        <v>no</v>
      </c>
    </row>
    <row r="113" spans="1:2088" s="47" customFormat="1" x14ac:dyDescent="0.2">
      <c r="A113" s="13" t="s">
        <v>120</v>
      </c>
      <c r="B113" s="59" t="str">
        <f t="shared" ref="B113" si="15">IF(AND(B22&gt;=70, B22&lt;=79), "yes", "no")</f>
        <v>no</v>
      </c>
    </row>
    <row r="114" spans="1:2088" x14ac:dyDescent="0.2">
      <c r="A114" s="13" t="s">
        <v>121</v>
      </c>
      <c r="B114" s="59" t="str">
        <f t="shared" ref="B114" si="16">IF(AND(B22&gt;=70, B22&lt;=80), "yes", "no")</f>
        <v>no</v>
      </c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  <c r="DS114" s="47"/>
      <c r="DT114" s="47"/>
      <c r="DU114" s="47"/>
      <c r="DV114" s="47"/>
      <c r="DW114" s="47"/>
      <c r="DX114" s="47"/>
      <c r="DY114" s="47"/>
      <c r="DZ114" s="47"/>
      <c r="EA114" s="47"/>
      <c r="EB114" s="47"/>
      <c r="EC114" s="47"/>
      <c r="ED114" s="47"/>
      <c r="EE114" s="47"/>
      <c r="EF114" s="47"/>
      <c r="EG114" s="47"/>
      <c r="EH114" s="47"/>
      <c r="EI114" s="47"/>
      <c r="EJ114" s="47"/>
      <c r="EK114" s="47"/>
      <c r="EL114" s="47"/>
      <c r="EM114" s="47"/>
      <c r="EN114" s="47"/>
      <c r="EO114" s="47"/>
      <c r="EP114" s="47"/>
      <c r="EQ114" s="47"/>
      <c r="ER114" s="47"/>
      <c r="ES114" s="47"/>
      <c r="ET114" s="47"/>
      <c r="EU114" s="47"/>
      <c r="EV114" s="47"/>
      <c r="EW114" s="47"/>
      <c r="EX114" s="47"/>
      <c r="EY114" s="47"/>
      <c r="EZ114" s="47"/>
      <c r="FA114" s="47"/>
      <c r="FB114" s="47"/>
      <c r="FC114" s="47"/>
      <c r="FD114" s="47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7"/>
      <c r="FP114" s="47"/>
      <c r="FQ114" s="47"/>
      <c r="FR114" s="47"/>
      <c r="FS114" s="47"/>
      <c r="FT114" s="47"/>
      <c r="FU114" s="47"/>
      <c r="FV114" s="47"/>
      <c r="FW114" s="47"/>
      <c r="FX114" s="47"/>
      <c r="FY114" s="47"/>
      <c r="FZ114" s="47"/>
      <c r="GA114" s="47"/>
      <c r="GB114" s="47"/>
      <c r="GC114" s="47"/>
      <c r="GD114" s="47"/>
      <c r="GE114" s="47"/>
      <c r="GF114" s="47"/>
      <c r="GG114" s="47"/>
      <c r="GH114" s="47"/>
      <c r="GI114" s="47"/>
      <c r="GJ114" s="47"/>
      <c r="GK114" s="47"/>
      <c r="GL114" s="47"/>
      <c r="GM114" s="47"/>
      <c r="GN114" s="47"/>
      <c r="GO114" s="47"/>
      <c r="GP114" s="47"/>
      <c r="GQ114" s="47"/>
      <c r="GR114" s="47"/>
      <c r="GS114" s="47"/>
      <c r="GT114" s="47"/>
      <c r="GU114" s="47"/>
      <c r="GV114" s="47"/>
      <c r="GW114" s="47"/>
      <c r="GX114" s="47"/>
      <c r="GY114" s="47"/>
      <c r="GZ114" s="47"/>
      <c r="HA114" s="47"/>
      <c r="HB114" s="47"/>
      <c r="HC114" s="47"/>
      <c r="HD114" s="47"/>
      <c r="HE114" s="47"/>
      <c r="HF114" s="47"/>
      <c r="HG114" s="47"/>
      <c r="HH114" s="47"/>
      <c r="HI114" s="47"/>
      <c r="HJ114" s="47"/>
      <c r="HK114" s="47"/>
      <c r="HL114" s="47"/>
      <c r="HM114" s="47"/>
      <c r="HN114" s="47"/>
      <c r="HO114" s="47"/>
      <c r="HP114" s="47"/>
      <c r="HQ114" s="47"/>
      <c r="HR114" s="47"/>
      <c r="HS114" s="47"/>
      <c r="HT114" s="47"/>
      <c r="HU114" s="47"/>
      <c r="HV114" s="47"/>
      <c r="HW114" s="47"/>
      <c r="HX114" s="47"/>
      <c r="HY114" s="47"/>
      <c r="HZ114" s="47"/>
      <c r="IA114" s="47"/>
      <c r="IB114" s="47"/>
      <c r="IC114" s="47"/>
      <c r="ID114" s="47"/>
      <c r="IE114" s="47"/>
      <c r="IF114" s="47"/>
      <c r="IG114" s="47"/>
      <c r="IH114" s="47"/>
      <c r="II114" s="47"/>
      <c r="IJ114" s="47"/>
      <c r="IK114" s="47"/>
      <c r="IL114" s="47"/>
      <c r="IM114" s="47"/>
      <c r="IN114" s="47"/>
      <c r="IO114" s="47"/>
      <c r="IP114" s="47"/>
      <c r="IQ114" s="47"/>
      <c r="IR114" s="47"/>
      <c r="IS114" s="47"/>
      <c r="IT114" s="47"/>
      <c r="IU114" s="47"/>
      <c r="IV114" s="47"/>
      <c r="IW114" s="47"/>
      <c r="IX114" s="47"/>
      <c r="IY114" s="47"/>
      <c r="IZ114" s="47"/>
      <c r="JA114" s="47"/>
      <c r="JB114" s="47"/>
      <c r="JC114" s="47"/>
      <c r="JD114" s="47"/>
      <c r="JE114" s="47"/>
      <c r="JF114" s="47"/>
      <c r="JG114" s="47"/>
      <c r="JH114" s="47"/>
      <c r="JI114" s="47"/>
      <c r="JJ114" s="47"/>
      <c r="JK114" s="47"/>
      <c r="JL114" s="47"/>
      <c r="JM114" s="47"/>
      <c r="JN114" s="47"/>
      <c r="JO114" s="47"/>
      <c r="JP114" s="47"/>
      <c r="JQ114" s="47"/>
      <c r="JR114" s="47"/>
      <c r="JS114" s="47"/>
      <c r="JT114" s="47"/>
      <c r="JU114" s="47"/>
      <c r="JV114" s="47"/>
      <c r="JW114" s="47"/>
      <c r="JX114" s="47"/>
      <c r="JY114" s="47"/>
      <c r="JZ114" s="47"/>
      <c r="KA114" s="47"/>
      <c r="KB114" s="47"/>
      <c r="KC114" s="47"/>
      <c r="KD114" s="47"/>
      <c r="KE114" s="47"/>
      <c r="KF114" s="47"/>
      <c r="KG114" s="47"/>
      <c r="KH114" s="47"/>
      <c r="KI114" s="47"/>
      <c r="KJ114" s="47"/>
      <c r="KK114" s="47"/>
      <c r="KL114" s="47"/>
      <c r="KM114" s="47"/>
      <c r="KN114" s="47"/>
      <c r="KO114" s="47"/>
      <c r="KP114" s="47"/>
      <c r="KQ114" s="47"/>
      <c r="KR114" s="47"/>
      <c r="KS114" s="47"/>
      <c r="KT114" s="47"/>
      <c r="KU114" s="47"/>
      <c r="KV114" s="47"/>
      <c r="KW114" s="47"/>
      <c r="KX114" s="47"/>
      <c r="KY114" s="47"/>
      <c r="KZ114" s="47"/>
      <c r="LA114" s="47"/>
      <c r="LB114" s="47"/>
      <c r="LC114" s="47"/>
      <c r="LD114" s="47"/>
      <c r="LE114" s="47"/>
      <c r="LF114" s="47"/>
      <c r="LG114" s="47"/>
      <c r="LH114" s="47"/>
      <c r="LI114" s="47"/>
      <c r="LJ114" s="47"/>
      <c r="LK114" s="47"/>
      <c r="LL114" s="47"/>
      <c r="LM114" s="47"/>
      <c r="LN114" s="47"/>
      <c r="LO114" s="47"/>
      <c r="LP114" s="47"/>
      <c r="LQ114" s="47"/>
      <c r="LR114" s="47"/>
      <c r="LS114" s="47"/>
      <c r="LT114" s="47"/>
      <c r="LU114" s="47"/>
      <c r="LV114" s="47"/>
      <c r="LW114" s="47"/>
      <c r="LX114" s="47"/>
      <c r="LY114" s="47"/>
      <c r="LZ114" s="47"/>
      <c r="MA114" s="47"/>
      <c r="MB114" s="47"/>
      <c r="MC114" s="47"/>
      <c r="MD114" s="47"/>
      <c r="ME114" s="47"/>
      <c r="MF114" s="47"/>
      <c r="MG114" s="47"/>
      <c r="MH114" s="47"/>
      <c r="MI114" s="47"/>
      <c r="MJ114" s="47"/>
      <c r="MK114" s="47"/>
      <c r="ML114" s="47"/>
      <c r="MM114" s="47"/>
      <c r="MN114" s="47"/>
      <c r="MO114" s="47"/>
      <c r="MP114" s="47"/>
      <c r="MQ114" s="47"/>
      <c r="MR114" s="47"/>
      <c r="MS114" s="47"/>
      <c r="MT114" s="47"/>
      <c r="MU114" s="47"/>
      <c r="MV114" s="47"/>
      <c r="MW114" s="47"/>
      <c r="MX114" s="47"/>
      <c r="MY114" s="47"/>
      <c r="MZ114" s="47"/>
      <c r="NA114" s="47"/>
      <c r="NB114" s="47"/>
      <c r="NC114" s="47"/>
      <c r="ND114" s="47"/>
      <c r="NE114" s="47"/>
      <c r="NF114" s="47"/>
      <c r="NG114" s="47"/>
      <c r="NH114" s="47"/>
      <c r="NI114" s="47"/>
      <c r="NJ114" s="47"/>
      <c r="NK114" s="47"/>
      <c r="NL114" s="47"/>
      <c r="NM114" s="47"/>
      <c r="NN114" s="47"/>
      <c r="NO114" s="47"/>
      <c r="NP114" s="47"/>
      <c r="NQ114" s="47"/>
      <c r="NR114" s="47"/>
      <c r="NS114" s="47"/>
      <c r="NT114" s="47"/>
      <c r="NU114" s="47"/>
      <c r="NV114" s="47"/>
      <c r="NW114" s="47"/>
      <c r="NX114" s="47"/>
      <c r="NY114" s="47"/>
      <c r="NZ114" s="47"/>
      <c r="OA114" s="47"/>
      <c r="OB114" s="47"/>
      <c r="OC114" s="47"/>
      <c r="OD114" s="47"/>
      <c r="OE114" s="47"/>
      <c r="OF114" s="47"/>
      <c r="OG114" s="47"/>
      <c r="OH114" s="47"/>
      <c r="OI114" s="47"/>
      <c r="OJ114" s="47"/>
      <c r="OK114" s="47"/>
      <c r="OL114" s="47"/>
      <c r="OM114" s="47"/>
      <c r="ON114" s="47"/>
      <c r="OO114" s="47"/>
      <c r="OP114" s="47"/>
      <c r="OQ114" s="47"/>
      <c r="OR114" s="47"/>
      <c r="OS114" s="47"/>
      <c r="OT114" s="47"/>
      <c r="OU114" s="47"/>
      <c r="OV114" s="47"/>
      <c r="OW114" s="47"/>
      <c r="OX114" s="47"/>
      <c r="OY114" s="47"/>
      <c r="OZ114" s="47"/>
      <c r="PA114" s="47"/>
      <c r="PB114" s="47"/>
      <c r="PC114" s="47"/>
      <c r="PD114" s="47"/>
      <c r="PE114" s="47"/>
      <c r="PF114" s="47"/>
      <c r="PG114" s="47"/>
      <c r="PH114" s="47"/>
      <c r="PI114" s="47"/>
      <c r="PJ114" s="47"/>
      <c r="PK114" s="47"/>
      <c r="PL114" s="47"/>
      <c r="PM114" s="47"/>
      <c r="PN114" s="47"/>
      <c r="PO114" s="47"/>
      <c r="PP114" s="47"/>
      <c r="PQ114" s="47"/>
      <c r="PR114" s="47"/>
      <c r="PS114" s="47"/>
      <c r="PT114" s="47"/>
      <c r="PU114" s="47"/>
      <c r="PV114" s="47"/>
      <c r="PW114" s="47"/>
      <c r="PX114" s="47"/>
      <c r="PY114" s="47"/>
      <c r="PZ114" s="47"/>
      <c r="QA114" s="47"/>
      <c r="QB114" s="47"/>
      <c r="QC114" s="47"/>
      <c r="QD114" s="47"/>
      <c r="QE114" s="47"/>
      <c r="QF114" s="47"/>
      <c r="QG114" s="47"/>
      <c r="QH114" s="47"/>
      <c r="QI114" s="47"/>
      <c r="QJ114" s="47"/>
      <c r="QK114" s="47"/>
      <c r="QL114" s="47"/>
      <c r="QM114" s="47"/>
      <c r="QN114" s="47"/>
      <c r="QO114" s="47"/>
      <c r="QP114" s="47"/>
      <c r="QQ114" s="47"/>
      <c r="QR114" s="47"/>
      <c r="QS114" s="47"/>
      <c r="QT114" s="47"/>
      <c r="QU114" s="47"/>
      <c r="QV114" s="47"/>
      <c r="QW114" s="47"/>
      <c r="QX114" s="47"/>
      <c r="QY114" s="47"/>
      <c r="QZ114" s="47"/>
      <c r="RA114" s="47"/>
      <c r="RB114" s="47"/>
      <c r="RC114" s="47"/>
      <c r="RD114" s="47"/>
      <c r="RE114" s="47"/>
      <c r="RF114" s="47"/>
      <c r="RG114" s="47"/>
      <c r="RH114" s="47"/>
      <c r="RI114" s="47"/>
      <c r="RJ114" s="47"/>
      <c r="RK114" s="47"/>
      <c r="RL114" s="47"/>
      <c r="RM114" s="47"/>
      <c r="RN114" s="47"/>
      <c r="RO114" s="47"/>
      <c r="RP114" s="47"/>
      <c r="RQ114" s="47"/>
      <c r="RR114" s="47"/>
      <c r="RS114" s="47"/>
      <c r="RT114" s="47"/>
      <c r="RU114" s="47"/>
      <c r="RV114" s="47"/>
      <c r="RW114" s="47"/>
      <c r="RX114" s="47"/>
      <c r="RY114" s="47"/>
      <c r="RZ114" s="47"/>
      <c r="SA114" s="47"/>
      <c r="SB114" s="47"/>
      <c r="SC114" s="47"/>
      <c r="SD114" s="47"/>
      <c r="SE114" s="47"/>
      <c r="SF114" s="47"/>
      <c r="SG114" s="47"/>
      <c r="SH114" s="47"/>
      <c r="SI114" s="47"/>
      <c r="SJ114" s="47"/>
      <c r="SK114" s="47"/>
      <c r="SL114" s="47"/>
      <c r="SM114" s="47"/>
      <c r="SN114" s="47"/>
      <c r="SO114" s="47"/>
      <c r="SP114" s="47"/>
      <c r="SQ114" s="47"/>
      <c r="SR114" s="47"/>
      <c r="SS114" s="47"/>
      <c r="ST114" s="47"/>
      <c r="SU114" s="47"/>
      <c r="SV114" s="47"/>
      <c r="SW114" s="47"/>
      <c r="SX114" s="47"/>
      <c r="SY114" s="47"/>
      <c r="SZ114" s="47"/>
      <c r="TA114" s="47"/>
      <c r="TB114" s="47"/>
      <c r="TC114" s="47"/>
      <c r="TD114" s="47"/>
      <c r="TE114" s="47"/>
      <c r="TF114" s="47"/>
      <c r="TG114" s="47"/>
      <c r="TH114" s="47"/>
      <c r="TI114" s="47"/>
      <c r="TJ114" s="47"/>
      <c r="TK114" s="47"/>
      <c r="TL114" s="47"/>
      <c r="TM114" s="47"/>
      <c r="TN114" s="47"/>
      <c r="TO114" s="47"/>
      <c r="TP114" s="47"/>
      <c r="TQ114" s="47"/>
      <c r="TR114" s="47"/>
      <c r="TS114" s="47"/>
      <c r="TT114" s="47"/>
      <c r="TU114" s="47"/>
      <c r="TV114" s="47"/>
      <c r="TW114" s="47"/>
      <c r="TX114" s="47"/>
      <c r="TY114" s="47"/>
      <c r="TZ114" s="47"/>
      <c r="UA114" s="47"/>
      <c r="UB114" s="47"/>
      <c r="UC114" s="47"/>
      <c r="UD114" s="47"/>
      <c r="UE114" s="47"/>
      <c r="UF114" s="47"/>
      <c r="UG114" s="47"/>
      <c r="UH114" s="47"/>
      <c r="UI114" s="47"/>
      <c r="UJ114" s="47"/>
      <c r="UK114" s="47"/>
      <c r="UL114" s="47"/>
      <c r="UM114" s="47"/>
      <c r="UN114" s="47"/>
      <c r="UO114" s="47"/>
      <c r="UP114" s="47"/>
      <c r="UQ114" s="47"/>
      <c r="UR114" s="47"/>
      <c r="US114" s="47"/>
      <c r="UT114" s="47"/>
      <c r="UU114" s="47"/>
      <c r="UV114" s="47"/>
      <c r="UW114" s="47"/>
      <c r="UX114" s="47"/>
      <c r="UY114" s="47"/>
      <c r="UZ114" s="47"/>
      <c r="VA114" s="47"/>
      <c r="VB114" s="47"/>
      <c r="VC114" s="47"/>
      <c r="VD114" s="47"/>
      <c r="VE114" s="47"/>
      <c r="VF114" s="47"/>
      <c r="VG114" s="47"/>
      <c r="VH114" s="47"/>
      <c r="VI114" s="47"/>
      <c r="VJ114" s="47"/>
      <c r="VK114" s="47"/>
      <c r="VL114" s="47"/>
      <c r="VM114" s="47"/>
      <c r="VN114" s="47"/>
      <c r="VO114" s="47"/>
      <c r="VP114" s="47"/>
      <c r="VQ114" s="47"/>
      <c r="VR114" s="47"/>
      <c r="VS114" s="47"/>
      <c r="VT114" s="47"/>
      <c r="VU114" s="47"/>
      <c r="VV114" s="47"/>
      <c r="VW114" s="47"/>
      <c r="VX114" s="47"/>
      <c r="VY114" s="47"/>
      <c r="VZ114" s="47"/>
      <c r="WA114" s="47"/>
      <c r="WB114" s="47"/>
      <c r="WC114" s="47"/>
      <c r="WD114" s="47"/>
      <c r="WE114" s="47"/>
      <c r="WF114" s="47"/>
      <c r="WG114" s="47"/>
      <c r="WH114" s="47"/>
      <c r="WI114" s="47"/>
      <c r="WJ114" s="47"/>
      <c r="WK114" s="47"/>
      <c r="WL114" s="47"/>
      <c r="WM114" s="47"/>
      <c r="WN114" s="47"/>
      <c r="WO114" s="47"/>
      <c r="WP114" s="47"/>
      <c r="WQ114" s="47"/>
      <c r="WR114" s="47"/>
      <c r="WS114" s="47"/>
      <c r="WT114" s="47"/>
      <c r="WU114" s="47"/>
      <c r="WV114" s="47"/>
      <c r="WW114" s="47"/>
      <c r="WX114" s="47"/>
      <c r="WY114" s="47"/>
      <c r="WZ114" s="47"/>
      <c r="XA114" s="47"/>
      <c r="XB114" s="47"/>
      <c r="XC114" s="47"/>
      <c r="XD114" s="47"/>
      <c r="XE114" s="47"/>
      <c r="XF114" s="47"/>
      <c r="XG114" s="47"/>
      <c r="XH114" s="47"/>
      <c r="XI114" s="47"/>
      <c r="XJ114" s="47"/>
      <c r="XK114" s="47"/>
      <c r="XL114" s="47"/>
      <c r="XM114" s="47"/>
      <c r="XN114" s="47"/>
      <c r="XO114" s="47"/>
      <c r="XP114" s="47"/>
      <c r="XQ114" s="47"/>
      <c r="XR114" s="47"/>
      <c r="XS114" s="47"/>
      <c r="XT114" s="47"/>
      <c r="XU114" s="47"/>
      <c r="XV114" s="47"/>
      <c r="XW114" s="47"/>
      <c r="XX114" s="47"/>
      <c r="XY114" s="47"/>
      <c r="XZ114" s="47"/>
      <c r="YA114" s="47"/>
      <c r="YB114" s="47"/>
      <c r="YC114" s="47"/>
      <c r="YD114" s="47"/>
      <c r="YE114" s="47"/>
      <c r="YF114" s="47"/>
      <c r="YG114" s="47"/>
      <c r="YH114" s="47"/>
      <c r="YI114" s="47"/>
      <c r="YJ114" s="47"/>
      <c r="YK114" s="47"/>
      <c r="YL114" s="47"/>
      <c r="YM114" s="47"/>
      <c r="YN114" s="47"/>
      <c r="YO114" s="47"/>
      <c r="YP114" s="47"/>
      <c r="YQ114" s="47"/>
      <c r="YR114" s="47"/>
      <c r="YS114" s="47"/>
      <c r="YT114" s="47"/>
      <c r="YU114" s="47"/>
      <c r="YV114" s="47"/>
      <c r="YW114" s="47"/>
      <c r="YX114" s="47"/>
      <c r="YY114" s="47"/>
      <c r="YZ114" s="47"/>
      <c r="ZA114" s="47"/>
      <c r="ZB114" s="47"/>
      <c r="ZC114" s="47"/>
      <c r="ZD114" s="47"/>
      <c r="ZE114" s="47"/>
      <c r="ZF114" s="47"/>
      <c r="ZG114" s="47"/>
      <c r="ZH114" s="47"/>
      <c r="ZI114" s="47"/>
      <c r="ZJ114" s="47"/>
      <c r="ZK114" s="47"/>
      <c r="ZL114" s="47"/>
      <c r="ZM114" s="47"/>
      <c r="ZN114" s="47"/>
      <c r="ZO114" s="47"/>
      <c r="ZP114" s="47"/>
      <c r="ZQ114" s="47"/>
      <c r="ZR114" s="47"/>
      <c r="ZS114" s="47"/>
      <c r="ZT114" s="47"/>
      <c r="ZU114" s="47"/>
      <c r="ZV114" s="47"/>
      <c r="ZW114" s="47"/>
      <c r="ZX114" s="47"/>
      <c r="ZY114" s="47"/>
      <c r="ZZ114" s="47"/>
      <c r="AAA114" s="47"/>
      <c r="AAB114" s="47"/>
      <c r="AAC114" s="47"/>
      <c r="AAD114" s="47"/>
      <c r="AAE114" s="47"/>
      <c r="AAF114" s="47"/>
      <c r="AAG114" s="47"/>
      <c r="AAH114" s="47"/>
      <c r="AAI114" s="47"/>
      <c r="AAJ114" s="47"/>
      <c r="AAK114" s="47"/>
      <c r="AAL114" s="47"/>
      <c r="AAM114" s="47"/>
      <c r="AAN114" s="47"/>
      <c r="AAO114" s="47"/>
      <c r="AAP114" s="47"/>
      <c r="AAQ114" s="47"/>
      <c r="AAR114" s="47"/>
      <c r="AAS114" s="47"/>
      <c r="AAT114" s="47"/>
      <c r="AAU114" s="47"/>
      <c r="AAV114" s="47"/>
      <c r="AAW114" s="47"/>
      <c r="AAX114" s="47"/>
      <c r="AAY114" s="47"/>
      <c r="AAZ114" s="47"/>
      <c r="ABA114" s="47"/>
      <c r="ABB114" s="47"/>
      <c r="ABC114" s="47"/>
      <c r="ABD114" s="47"/>
      <c r="ABE114" s="47"/>
      <c r="ABF114" s="47"/>
      <c r="ABG114" s="47"/>
      <c r="ABH114" s="47"/>
      <c r="ABI114" s="47"/>
      <c r="ABJ114" s="47"/>
      <c r="ABK114" s="47"/>
      <c r="ABL114" s="47"/>
      <c r="ABM114" s="47"/>
      <c r="ABN114" s="47"/>
      <c r="ABO114" s="47"/>
      <c r="ABP114" s="47"/>
      <c r="ABQ114" s="47"/>
      <c r="ABR114" s="47"/>
      <c r="ABS114" s="47"/>
      <c r="ABT114" s="47"/>
      <c r="ABU114" s="47"/>
      <c r="ABV114" s="47"/>
      <c r="ABW114" s="47"/>
      <c r="ABX114" s="47"/>
      <c r="ABY114" s="47"/>
      <c r="ABZ114" s="47"/>
      <c r="ACA114" s="47"/>
      <c r="ACB114" s="47"/>
      <c r="ACC114" s="47"/>
      <c r="ACD114" s="47"/>
      <c r="ACE114" s="47"/>
      <c r="ACF114" s="47"/>
      <c r="ACG114" s="47"/>
      <c r="ACH114" s="47"/>
      <c r="ACI114" s="47"/>
      <c r="ACJ114" s="47"/>
      <c r="ACK114" s="47"/>
      <c r="ACL114" s="47"/>
      <c r="ACM114" s="47"/>
      <c r="ACN114" s="47"/>
      <c r="ACO114" s="47"/>
      <c r="ACP114" s="47"/>
      <c r="ACQ114" s="47"/>
      <c r="ACR114" s="47"/>
      <c r="ACS114" s="47"/>
      <c r="ACT114" s="47"/>
      <c r="ACU114" s="47"/>
      <c r="ACV114" s="47"/>
      <c r="ACW114" s="47"/>
      <c r="ACX114" s="47"/>
      <c r="ACY114" s="47"/>
      <c r="ACZ114" s="47"/>
      <c r="ADA114" s="47"/>
      <c r="ADB114" s="47"/>
      <c r="ADC114" s="47"/>
      <c r="ADD114" s="47"/>
      <c r="ADE114" s="47"/>
      <c r="ADF114" s="47"/>
      <c r="ADG114" s="47"/>
      <c r="ADH114" s="47"/>
      <c r="ADI114" s="47"/>
      <c r="ADJ114" s="47"/>
      <c r="ADK114" s="47"/>
      <c r="ADL114" s="47"/>
      <c r="ADM114" s="47"/>
      <c r="ADN114" s="47"/>
      <c r="ADO114" s="47"/>
      <c r="ADP114" s="47"/>
      <c r="ADQ114" s="47"/>
      <c r="ADR114" s="47"/>
      <c r="ADS114" s="47"/>
      <c r="ADT114" s="47"/>
      <c r="ADU114" s="47"/>
      <c r="ADV114" s="47"/>
      <c r="ADW114" s="47"/>
      <c r="ADX114" s="47"/>
      <c r="ADY114" s="47"/>
      <c r="ADZ114" s="47"/>
      <c r="AEA114" s="47"/>
      <c r="AEB114" s="47"/>
      <c r="AEC114" s="47"/>
      <c r="AED114" s="47"/>
      <c r="AEE114" s="47"/>
      <c r="AEF114" s="47"/>
      <c r="AEG114" s="47"/>
      <c r="AEH114" s="47"/>
      <c r="AEI114" s="47"/>
      <c r="AEJ114" s="47"/>
      <c r="AEK114" s="47"/>
      <c r="AEL114" s="47"/>
      <c r="AEM114" s="47"/>
      <c r="AEN114" s="47"/>
      <c r="AEO114" s="47"/>
      <c r="AEP114" s="47"/>
      <c r="AEQ114" s="47"/>
      <c r="AER114" s="47"/>
      <c r="AES114" s="47"/>
      <c r="AET114" s="47"/>
      <c r="AEU114" s="47"/>
      <c r="AEV114" s="47"/>
      <c r="AEW114" s="47"/>
      <c r="AEX114" s="47"/>
      <c r="AEY114" s="47"/>
      <c r="AEZ114" s="47"/>
      <c r="AFA114" s="47"/>
      <c r="AFB114" s="47"/>
      <c r="AFC114" s="47"/>
      <c r="AFD114" s="47"/>
      <c r="AFE114" s="47"/>
      <c r="AFF114" s="47"/>
      <c r="AFG114" s="47"/>
      <c r="AFH114" s="47"/>
      <c r="AFI114" s="47"/>
      <c r="AFJ114" s="47"/>
      <c r="AFK114" s="47"/>
      <c r="AFL114" s="47"/>
      <c r="AFM114" s="47"/>
      <c r="AFN114" s="47"/>
      <c r="AFO114" s="47"/>
      <c r="AFP114" s="47"/>
      <c r="AFQ114" s="47"/>
      <c r="AFR114" s="47"/>
      <c r="AFS114" s="47"/>
      <c r="AFT114" s="47"/>
      <c r="AFU114" s="47"/>
      <c r="AFV114" s="47"/>
      <c r="AFW114" s="47"/>
      <c r="AFX114" s="47"/>
      <c r="AFY114" s="47"/>
      <c r="AFZ114" s="47"/>
      <c r="AGA114" s="47"/>
      <c r="AGB114" s="47"/>
      <c r="AGC114" s="47"/>
      <c r="AGD114" s="47"/>
      <c r="AGE114" s="47"/>
      <c r="AGF114" s="47"/>
      <c r="AGG114" s="47"/>
      <c r="AGH114" s="47"/>
      <c r="AGI114" s="47"/>
      <c r="AGJ114" s="47"/>
      <c r="AGK114" s="47"/>
      <c r="AGL114" s="47"/>
      <c r="AGM114" s="47"/>
      <c r="AGN114" s="47"/>
      <c r="AGO114" s="47"/>
      <c r="AGP114" s="47"/>
      <c r="AGQ114" s="47"/>
      <c r="AGR114" s="47"/>
      <c r="AGS114" s="47"/>
      <c r="AGT114" s="47"/>
      <c r="AGU114" s="47"/>
      <c r="AGV114" s="47"/>
      <c r="AGW114" s="47"/>
      <c r="AGX114" s="47"/>
      <c r="AGY114" s="47"/>
      <c r="AGZ114" s="47"/>
      <c r="AHA114" s="47"/>
      <c r="AHB114" s="47"/>
      <c r="AHC114" s="47"/>
      <c r="AHD114" s="47"/>
      <c r="AHE114" s="47"/>
      <c r="AHF114" s="47"/>
      <c r="AHG114" s="47"/>
      <c r="AHH114" s="47"/>
      <c r="AHI114" s="47"/>
      <c r="AHJ114" s="47"/>
      <c r="AHK114" s="47"/>
      <c r="AHL114" s="47"/>
      <c r="AHM114" s="47"/>
      <c r="AHN114" s="47"/>
      <c r="AHO114" s="47"/>
      <c r="AHP114" s="47"/>
      <c r="AHQ114" s="47"/>
      <c r="AHR114" s="47"/>
      <c r="AHS114" s="47"/>
      <c r="AHT114" s="47"/>
      <c r="AHU114" s="47"/>
      <c r="AHV114" s="47"/>
      <c r="AHW114" s="47"/>
      <c r="AHX114" s="47"/>
      <c r="AHY114" s="47"/>
      <c r="AHZ114" s="47"/>
      <c r="AIA114" s="47"/>
      <c r="AIB114" s="47"/>
      <c r="AIC114" s="47"/>
      <c r="AID114" s="47"/>
      <c r="AIE114" s="47"/>
      <c r="AIF114" s="47"/>
      <c r="AIG114" s="47"/>
      <c r="AIH114" s="47"/>
      <c r="AII114" s="47"/>
      <c r="AIJ114" s="47"/>
      <c r="AIK114" s="47"/>
      <c r="AIL114" s="47"/>
      <c r="AIM114" s="47"/>
      <c r="AIN114" s="47"/>
      <c r="AIO114" s="47"/>
      <c r="AIP114" s="47"/>
      <c r="AIQ114" s="47"/>
      <c r="AIR114" s="47"/>
      <c r="AIS114" s="47"/>
      <c r="AIT114" s="47"/>
      <c r="AIU114" s="47"/>
      <c r="AIV114" s="47"/>
      <c r="AIW114" s="47"/>
      <c r="AIX114" s="47"/>
      <c r="AIY114" s="47"/>
      <c r="AIZ114" s="47"/>
      <c r="AJA114" s="47"/>
      <c r="AJB114" s="47"/>
      <c r="AJC114" s="47"/>
      <c r="AJD114" s="47"/>
      <c r="AJE114" s="47"/>
      <c r="AJF114" s="47"/>
      <c r="AJG114" s="47"/>
      <c r="AJH114" s="47"/>
      <c r="AJI114" s="47"/>
      <c r="AJJ114" s="47"/>
      <c r="AJK114" s="47"/>
      <c r="AJL114" s="47"/>
      <c r="AJM114" s="47"/>
      <c r="AJN114" s="47"/>
      <c r="AJO114" s="47"/>
      <c r="AJP114" s="47"/>
      <c r="AJQ114" s="47"/>
      <c r="AJR114" s="47"/>
      <c r="AJS114" s="47"/>
      <c r="AJT114" s="47"/>
      <c r="AJU114" s="47"/>
      <c r="AJV114" s="47"/>
      <c r="AJW114" s="47"/>
      <c r="AJX114" s="47"/>
      <c r="AJY114" s="47"/>
      <c r="AJZ114" s="47"/>
      <c r="AKA114" s="47"/>
      <c r="AKB114" s="47"/>
      <c r="AKC114" s="47"/>
      <c r="AKD114" s="47"/>
      <c r="AKE114" s="47"/>
      <c r="AKF114" s="47"/>
      <c r="AKG114" s="47"/>
      <c r="AKH114" s="47"/>
      <c r="AKI114" s="47"/>
      <c r="AKJ114" s="47"/>
      <c r="AKK114" s="47"/>
      <c r="AKL114" s="47"/>
      <c r="AKM114" s="47"/>
      <c r="AKN114" s="47"/>
      <c r="AKO114" s="47"/>
      <c r="AKP114" s="47"/>
      <c r="AKQ114" s="47"/>
      <c r="AKR114" s="47"/>
      <c r="AKS114" s="47"/>
      <c r="AKT114" s="47"/>
      <c r="AKU114" s="47"/>
      <c r="AKV114" s="47"/>
      <c r="AKW114" s="47"/>
      <c r="AKX114" s="47"/>
      <c r="AKY114" s="47"/>
      <c r="AKZ114" s="47"/>
      <c r="ALA114" s="47"/>
      <c r="ALB114" s="47"/>
      <c r="ALC114" s="47"/>
      <c r="ALD114" s="47"/>
      <c r="ALE114" s="47"/>
      <c r="ALF114" s="47"/>
      <c r="ALG114" s="47"/>
      <c r="ALH114" s="47"/>
      <c r="ALI114" s="47"/>
      <c r="ALJ114" s="47"/>
      <c r="ALK114" s="47"/>
      <c r="ALL114" s="47"/>
      <c r="ALM114" s="47"/>
      <c r="ALN114" s="47"/>
      <c r="ALO114" s="47"/>
      <c r="ALP114" s="47"/>
      <c r="ALQ114" s="47"/>
      <c r="ALR114" s="47"/>
      <c r="ALS114" s="47"/>
      <c r="ALT114" s="47"/>
      <c r="ALU114" s="47"/>
      <c r="ALV114" s="47"/>
      <c r="ALW114" s="47"/>
      <c r="ALX114" s="47"/>
      <c r="ALY114" s="47"/>
      <c r="ALZ114" s="47"/>
      <c r="AMA114" s="47"/>
      <c r="AMB114" s="47"/>
      <c r="AMC114" s="47"/>
      <c r="AMD114" s="47"/>
      <c r="AME114" s="47"/>
      <c r="AMF114" s="47"/>
      <c r="AMG114" s="47"/>
      <c r="AMH114" s="47"/>
      <c r="AMI114" s="47"/>
      <c r="AMJ114" s="47"/>
      <c r="AMK114" s="47"/>
      <c r="AML114" s="47"/>
      <c r="AMM114" s="47"/>
      <c r="AMN114" s="47"/>
      <c r="AMO114" s="47"/>
      <c r="AMP114" s="47"/>
      <c r="AMQ114" s="47"/>
      <c r="AMR114" s="47"/>
      <c r="AMS114" s="47"/>
      <c r="AMT114" s="47"/>
      <c r="AMU114" s="47"/>
      <c r="AMV114" s="47"/>
      <c r="AMW114" s="47"/>
      <c r="AMX114" s="47"/>
      <c r="AMY114" s="47"/>
      <c r="AMZ114" s="47"/>
      <c r="ANA114" s="47"/>
      <c r="ANB114" s="47"/>
      <c r="ANC114" s="47"/>
      <c r="AND114" s="47"/>
      <c r="ANE114" s="47"/>
      <c r="ANF114" s="47"/>
      <c r="ANG114" s="47"/>
      <c r="ANH114" s="47"/>
      <c r="ANI114" s="47"/>
      <c r="ANJ114" s="47"/>
      <c r="ANK114" s="47"/>
      <c r="ANL114" s="47"/>
      <c r="ANM114" s="47"/>
      <c r="ANN114" s="47"/>
      <c r="ANO114" s="47"/>
      <c r="ANP114" s="47"/>
      <c r="ANQ114" s="47"/>
      <c r="ANR114" s="47"/>
      <c r="ANS114" s="47"/>
      <c r="ANT114" s="47"/>
      <c r="ANU114" s="47"/>
      <c r="ANV114" s="47"/>
      <c r="ANW114" s="47"/>
      <c r="ANX114" s="47"/>
      <c r="ANY114" s="47"/>
      <c r="ANZ114" s="47"/>
      <c r="AOA114" s="47"/>
      <c r="AOB114" s="47"/>
      <c r="AOC114" s="47"/>
      <c r="AOD114" s="47"/>
      <c r="AOE114" s="47"/>
      <c r="AOF114" s="47"/>
      <c r="AOG114" s="47"/>
      <c r="AOH114" s="47"/>
      <c r="AOI114" s="47"/>
      <c r="AOJ114" s="47"/>
      <c r="AOK114" s="47"/>
      <c r="AOL114" s="47"/>
      <c r="AOM114" s="47"/>
      <c r="AON114" s="47"/>
      <c r="AOO114" s="47"/>
      <c r="AOP114" s="47"/>
      <c r="AOQ114" s="47"/>
      <c r="AOR114" s="47"/>
      <c r="AOS114" s="47"/>
      <c r="AOT114" s="47"/>
      <c r="AOU114" s="47"/>
      <c r="AOV114" s="47"/>
      <c r="AOW114" s="47"/>
      <c r="AOX114" s="47"/>
      <c r="AOY114" s="47"/>
      <c r="AOZ114" s="47"/>
      <c r="APA114" s="47"/>
      <c r="APB114" s="47"/>
      <c r="APC114" s="47"/>
      <c r="APD114" s="47"/>
      <c r="APE114" s="47"/>
      <c r="APF114" s="47"/>
      <c r="APG114" s="47"/>
      <c r="APH114" s="47"/>
      <c r="API114" s="47"/>
      <c r="APJ114" s="47"/>
      <c r="APK114" s="47"/>
      <c r="APL114" s="47"/>
      <c r="APM114" s="47"/>
      <c r="APN114" s="47"/>
      <c r="APO114" s="47"/>
      <c r="APP114" s="47"/>
      <c r="APQ114" s="47"/>
      <c r="APR114" s="47"/>
      <c r="APS114" s="47"/>
      <c r="APT114" s="47"/>
      <c r="APU114" s="47"/>
      <c r="APV114" s="47"/>
      <c r="APW114" s="47"/>
      <c r="APX114" s="47"/>
      <c r="APY114" s="47"/>
      <c r="APZ114" s="47"/>
      <c r="AQA114" s="47"/>
      <c r="AQB114" s="47"/>
      <c r="AQC114" s="47"/>
      <c r="AQD114" s="47"/>
      <c r="AQE114" s="47"/>
      <c r="AQF114" s="47"/>
      <c r="AQG114" s="47"/>
      <c r="AQH114" s="47"/>
      <c r="AQI114" s="47"/>
      <c r="AQJ114" s="47"/>
      <c r="AQK114" s="47"/>
      <c r="AQL114" s="47"/>
      <c r="AQM114" s="47"/>
      <c r="AQN114" s="47"/>
      <c r="AQO114" s="47"/>
      <c r="AQP114" s="47"/>
      <c r="AQQ114" s="47"/>
      <c r="AQR114" s="47"/>
      <c r="AQS114" s="47"/>
      <c r="AQT114" s="47"/>
      <c r="AQU114" s="47"/>
      <c r="AQV114" s="47"/>
      <c r="AQW114" s="47"/>
      <c r="AQX114" s="47"/>
      <c r="AQY114" s="47"/>
      <c r="AQZ114" s="47"/>
      <c r="ARA114" s="47"/>
      <c r="ARB114" s="47"/>
      <c r="ARC114" s="47"/>
      <c r="ARD114" s="47"/>
      <c r="ARE114" s="47"/>
      <c r="ARF114" s="47"/>
      <c r="ARG114" s="47"/>
      <c r="ARH114" s="47"/>
      <c r="ARI114" s="47"/>
      <c r="ARJ114" s="47"/>
      <c r="ARK114" s="47"/>
      <c r="ARL114" s="47"/>
      <c r="ARM114" s="47"/>
      <c r="ARN114" s="47"/>
      <c r="ARO114" s="47"/>
      <c r="ARP114" s="47"/>
      <c r="ARQ114" s="47"/>
      <c r="ARR114" s="47"/>
      <c r="ARS114" s="47"/>
      <c r="ART114" s="47"/>
      <c r="ARU114" s="47"/>
      <c r="ARV114" s="47"/>
      <c r="ARW114" s="47"/>
      <c r="ARX114" s="47"/>
      <c r="ARY114" s="47"/>
      <c r="ARZ114" s="47"/>
      <c r="ASA114" s="47"/>
      <c r="ASB114" s="47"/>
      <c r="ASC114" s="47"/>
      <c r="ASD114" s="47"/>
      <c r="ASE114" s="47"/>
      <c r="ASF114" s="47"/>
      <c r="ASG114" s="47"/>
      <c r="ASH114" s="47"/>
      <c r="ASI114" s="47"/>
      <c r="ASJ114" s="47"/>
      <c r="ASK114" s="47"/>
      <c r="ASL114" s="47"/>
      <c r="ASM114" s="47"/>
      <c r="ASN114" s="47"/>
      <c r="ASO114" s="47"/>
      <c r="ASP114" s="47"/>
      <c r="ASQ114" s="47"/>
      <c r="ASR114" s="47"/>
      <c r="ASS114" s="47"/>
      <c r="AST114" s="47"/>
      <c r="ASU114" s="47"/>
      <c r="ASV114" s="47"/>
      <c r="ASW114" s="47"/>
      <c r="ASX114" s="47"/>
      <c r="ASY114" s="47"/>
      <c r="ASZ114" s="47"/>
      <c r="ATA114" s="47"/>
      <c r="ATB114" s="47"/>
      <c r="ATC114" s="47"/>
      <c r="ATD114" s="47"/>
      <c r="ATE114" s="47"/>
      <c r="ATF114" s="47"/>
      <c r="ATG114" s="47"/>
      <c r="ATH114" s="47"/>
      <c r="ATI114" s="47"/>
      <c r="ATJ114" s="47"/>
      <c r="ATK114" s="47"/>
      <c r="ATL114" s="47"/>
      <c r="ATM114" s="47"/>
      <c r="ATN114" s="47"/>
      <c r="ATO114" s="47"/>
      <c r="ATP114" s="47"/>
      <c r="ATQ114" s="47"/>
      <c r="ATR114" s="47"/>
      <c r="ATS114" s="47"/>
      <c r="ATT114" s="47"/>
      <c r="ATU114" s="47"/>
      <c r="ATV114" s="47"/>
      <c r="ATW114" s="47"/>
      <c r="ATX114" s="47"/>
      <c r="ATY114" s="47"/>
      <c r="ATZ114" s="47"/>
      <c r="AUA114" s="47"/>
      <c r="AUB114" s="47"/>
      <c r="AUC114" s="47"/>
      <c r="AUD114" s="47"/>
      <c r="AUE114" s="47"/>
      <c r="AUF114" s="47"/>
      <c r="AUG114" s="47"/>
      <c r="AUH114" s="47"/>
      <c r="AUI114" s="47"/>
      <c r="AUJ114" s="47"/>
      <c r="AUK114" s="47"/>
      <c r="AUL114" s="47"/>
      <c r="AUM114" s="47"/>
      <c r="AUN114" s="47"/>
      <c r="AUO114" s="47"/>
      <c r="AUP114" s="47"/>
      <c r="AUQ114" s="47"/>
      <c r="AUR114" s="47"/>
      <c r="AUS114" s="47"/>
      <c r="AUT114" s="47"/>
      <c r="AUU114" s="47"/>
      <c r="AUV114" s="47"/>
      <c r="AUW114" s="47"/>
      <c r="AUX114" s="47"/>
      <c r="AUY114" s="47"/>
      <c r="AUZ114" s="47"/>
      <c r="AVA114" s="47"/>
      <c r="AVB114" s="47"/>
      <c r="AVC114" s="47"/>
      <c r="AVD114" s="47"/>
      <c r="AVE114" s="47"/>
      <c r="AVF114" s="47"/>
      <c r="AVG114" s="47"/>
      <c r="AVH114" s="47"/>
      <c r="AVI114" s="47"/>
      <c r="AVJ114" s="47"/>
      <c r="AVK114" s="47"/>
      <c r="AVL114" s="47"/>
      <c r="AVM114" s="47"/>
      <c r="AVN114" s="47"/>
      <c r="AVO114" s="47"/>
      <c r="AVP114" s="47"/>
      <c r="AVQ114" s="47"/>
      <c r="AVR114" s="47"/>
      <c r="AVS114" s="47"/>
      <c r="AVT114" s="47"/>
      <c r="AVU114" s="47"/>
      <c r="AVV114" s="47"/>
      <c r="AVW114" s="47"/>
      <c r="AVX114" s="47"/>
      <c r="AVY114" s="47"/>
      <c r="AVZ114" s="47"/>
      <c r="AWA114" s="47"/>
      <c r="AWB114" s="47"/>
      <c r="AWC114" s="47"/>
      <c r="AWD114" s="47"/>
      <c r="AWE114" s="47"/>
      <c r="AWF114" s="47"/>
      <c r="AWG114" s="47"/>
      <c r="AWH114" s="47"/>
      <c r="AWI114" s="47"/>
      <c r="AWJ114" s="47"/>
      <c r="AWK114" s="47"/>
      <c r="AWL114" s="47"/>
      <c r="AWM114" s="47"/>
      <c r="AWN114" s="47"/>
      <c r="AWO114" s="47"/>
      <c r="AWP114" s="47"/>
      <c r="AWQ114" s="47"/>
      <c r="AWR114" s="47"/>
      <c r="AWS114" s="47"/>
      <c r="AWT114" s="47"/>
      <c r="AWU114" s="47"/>
      <c r="AWV114" s="47"/>
      <c r="AWW114" s="47"/>
      <c r="AWX114" s="47"/>
      <c r="AWY114" s="47"/>
      <c r="AWZ114" s="47"/>
      <c r="AXA114" s="47"/>
      <c r="AXB114" s="47"/>
      <c r="AXC114" s="47"/>
      <c r="AXD114" s="47"/>
      <c r="AXE114" s="47"/>
      <c r="AXF114" s="47"/>
      <c r="AXG114" s="47"/>
      <c r="AXH114" s="47"/>
      <c r="AXI114" s="47"/>
      <c r="AXJ114" s="47"/>
      <c r="AXK114" s="47"/>
      <c r="AXL114" s="47"/>
      <c r="AXM114" s="47"/>
      <c r="AXN114" s="47"/>
      <c r="AXO114" s="47"/>
      <c r="AXP114" s="47"/>
      <c r="AXQ114" s="47"/>
      <c r="AXR114" s="47"/>
      <c r="AXS114" s="47"/>
      <c r="AXT114" s="47"/>
      <c r="AXU114" s="47"/>
      <c r="AXV114" s="47"/>
      <c r="AXW114" s="47"/>
      <c r="AXX114" s="47"/>
      <c r="AXY114" s="47"/>
      <c r="AXZ114" s="47"/>
      <c r="AYA114" s="47"/>
      <c r="AYB114" s="47"/>
      <c r="AYC114" s="47"/>
      <c r="AYD114" s="47"/>
      <c r="AYE114" s="47"/>
      <c r="AYF114" s="47"/>
      <c r="AYG114" s="47"/>
      <c r="AYH114" s="47"/>
      <c r="AYI114" s="47"/>
      <c r="AYJ114" s="47"/>
      <c r="AYK114" s="47"/>
      <c r="AYL114" s="47"/>
      <c r="AYM114" s="47"/>
      <c r="AYN114" s="47"/>
      <c r="AYO114" s="47"/>
      <c r="AYP114" s="47"/>
      <c r="AYQ114" s="47"/>
      <c r="AYR114" s="47"/>
      <c r="AYS114" s="47"/>
      <c r="AYT114" s="47"/>
      <c r="AYU114" s="47"/>
      <c r="AYV114" s="47"/>
      <c r="AYW114" s="47"/>
      <c r="AYX114" s="47"/>
      <c r="AYY114" s="47"/>
      <c r="AYZ114" s="47"/>
      <c r="AZA114" s="47"/>
      <c r="AZB114" s="47"/>
      <c r="AZC114" s="47"/>
      <c r="AZD114" s="47"/>
      <c r="AZE114" s="47"/>
      <c r="AZF114" s="47"/>
      <c r="AZG114" s="47"/>
      <c r="AZH114" s="47"/>
      <c r="AZI114" s="47"/>
      <c r="AZJ114" s="47"/>
      <c r="AZK114" s="47"/>
      <c r="AZL114" s="47"/>
      <c r="AZM114" s="47"/>
      <c r="AZN114" s="47"/>
      <c r="AZO114" s="47"/>
      <c r="AZP114" s="47"/>
      <c r="AZQ114" s="47"/>
      <c r="AZR114" s="47"/>
      <c r="AZS114" s="47"/>
      <c r="AZT114" s="47"/>
      <c r="AZU114" s="47"/>
      <c r="AZV114" s="47"/>
      <c r="AZW114" s="47"/>
      <c r="AZX114" s="47"/>
      <c r="AZY114" s="47"/>
      <c r="AZZ114" s="47"/>
      <c r="BAA114" s="47"/>
      <c r="BAB114" s="47"/>
      <c r="BAC114" s="47"/>
      <c r="BAD114" s="47"/>
      <c r="BAE114" s="47"/>
      <c r="BAF114" s="47"/>
      <c r="BAG114" s="47"/>
      <c r="BAH114" s="47"/>
      <c r="BAI114" s="47"/>
      <c r="BAJ114" s="47"/>
      <c r="BAK114" s="47"/>
      <c r="BAL114" s="47"/>
      <c r="BAM114" s="47"/>
      <c r="BAN114" s="47"/>
      <c r="BAO114" s="47"/>
      <c r="BAP114" s="47"/>
      <c r="BAQ114" s="47"/>
      <c r="BAR114" s="47"/>
      <c r="BAS114" s="47"/>
      <c r="BAT114" s="47"/>
      <c r="BAU114" s="47"/>
      <c r="BAV114" s="47"/>
      <c r="BAW114" s="47"/>
      <c r="BAX114" s="47"/>
      <c r="BAY114" s="47"/>
      <c r="BAZ114" s="47"/>
      <c r="BBA114" s="47"/>
      <c r="BBB114" s="47"/>
      <c r="BBC114" s="47"/>
      <c r="BBD114" s="47"/>
      <c r="BBE114" s="47"/>
      <c r="BBF114" s="47"/>
      <c r="BBG114" s="47"/>
      <c r="BBH114" s="47"/>
      <c r="BBI114" s="47"/>
      <c r="BBJ114" s="47"/>
      <c r="BBK114" s="47"/>
      <c r="BBL114" s="47"/>
      <c r="BBM114" s="47"/>
      <c r="BBN114" s="47"/>
      <c r="BBO114" s="47"/>
      <c r="BBP114" s="47"/>
      <c r="BBQ114" s="47"/>
      <c r="BBR114" s="47"/>
      <c r="BBS114" s="47"/>
      <c r="BBT114" s="47"/>
      <c r="BBU114" s="47"/>
      <c r="BBV114" s="47"/>
      <c r="BBW114" s="47"/>
      <c r="BBX114" s="47"/>
      <c r="BBY114" s="47"/>
      <c r="BBZ114" s="47"/>
      <c r="BCA114" s="47"/>
      <c r="BCB114" s="47"/>
      <c r="BCC114" s="47"/>
      <c r="BCD114" s="47"/>
      <c r="BCE114" s="47"/>
      <c r="BCF114" s="47"/>
      <c r="BCG114" s="47"/>
      <c r="BCH114" s="47"/>
      <c r="BCI114" s="47"/>
      <c r="BCJ114" s="47"/>
      <c r="BCK114" s="47"/>
      <c r="BCL114" s="47"/>
      <c r="BCM114" s="47"/>
      <c r="BCN114" s="47"/>
      <c r="BCO114" s="47"/>
      <c r="BCP114" s="47"/>
      <c r="BCQ114" s="47"/>
      <c r="BCR114" s="47"/>
      <c r="BCS114" s="47"/>
      <c r="BCT114" s="47"/>
      <c r="BCU114" s="47"/>
      <c r="BCV114" s="47"/>
      <c r="BCW114" s="47"/>
      <c r="BCX114" s="47"/>
      <c r="BCY114" s="47"/>
      <c r="BCZ114" s="47"/>
      <c r="BDA114" s="47"/>
      <c r="BDB114" s="47"/>
      <c r="BDC114" s="47"/>
      <c r="BDD114" s="47"/>
      <c r="BDE114" s="47"/>
      <c r="BDF114" s="47"/>
      <c r="BDG114" s="47"/>
      <c r="BDH114" s="47"/>
      <c r="BDI114" s="47"/>
      <c r="BDJ114" s="47"/>
      <c r="BDK114" s="47"/>
      <c r="BDL114" s="47"/>
      <c r="BDM114" s="47"/>
      <c r="BDN114" s="47"/>
      <c r="BDO114" s="47"/>
      <c r="BDP114" s="47"/>
      <c r="BDQ114" s="47"/>
      <c r="BDR114" s="47"/>
      <c r="BDS114" s="47"/>
      <c r="BDT114" s="47"/>
      <c r="BDU114" s="47"/>
      <c r="BDV114" s="47"/>
      <c r="BDW114" s="47"/>
      <c r="BDX114" s="47"/>
      <c r="BDY114" s="47"/>
      <c r="BDZ114" s="47"/>
      <c r="BEA114" s="47"/>
      <c r="BEB114" s="47"/>
      <c r="BEC114" s="47"/>
      <c r="BED114" s="47"/>
      <c r="BEE114" s="47"/>
      <c r="BEF114" s="47"/>
      <c r="BEG114" s="47"/>
      <c r="BEH114" s="47"/>
      <c r="BEI114" s="47"/>
      <c r="BEJ114" s="47"/>
      <c r="BEK114" s="47"/>
      <c r="BEL114" s="47"/>
      <c r="BEM114" s="47"/>
      <c r="BEN114" s="47"/>
      <c r="BEO114" s="47"/>
      <c r="BEP114" s="47"/>
      <c r="BEQ114" s="47"/>
      <c r="BER114" s="47"/>
      <c r="BES114" s="47"/>
      <c r="BET114" s="47"/>
      <c r="BEU114" s="47"/>
      <c r="BEV114" s="47"/>
      <c r="BEW114" s="47"/>
      <c r="BEX114" s="47"/>
      <c r="BEY114" s="47"/>
      <c r="BEZ114" s="47"/>
      <c r="BFA114" s="47"/>
      <c r="BFB114" s="47"/>
      <c r="BFC114" s="47"/>
      <c r="BFD114" s="47"/>
      <c r="BFE114" s="47"/>
      <c r="BFF114" s="47"/>
      <c r="BFG114" s="47"/>
      <c r="BFH114" s="47"/>
      <c r="BFI114" s="47"/>
      <c r="BFJ114" s="47"/>
      <c r="BFK114" s="47"/>
      <c r="BFL114" s="47"/>
      <c r="BFM114" s="47"/>
      <c r="BFN114" s="47"/>
      <c r="BFO114" s="47"/>
      <c r="BFP114" s="47"/>
      <c r="BFQ114" s="47"/>
      <c r="BFR114" s="47"/>
      <c r="BFS114" s="47"/>
      <c r="BFT114" s="47"/>
      <c r="BFU114" s="47"/>
      <c r="BFV114" s="47"/>
      <c r="BFW114" s="47"/>
      <c r="BFX114" s="47"/>
      <c r="BFY114" s="47"/>
      <c r="BFZ114" s="47"/>
      <c r="BGA114" s="47"/>
      <c r="BGB114" s="47"/>
      <c r="BGC114" s="47"/>
      <c r="BGD114" s="47"/>
      <c r="BGE114" s="47"/>
      <c r="BGF114" s="47"/>
      <c r="BGG114" s="47"/>
      <c r="BGH114" s="47"/>
      <c r="BGI114" s="47"/>
      <c r="BGJ114" s="47"/>
      <c r="BGK114" s="47"/>
      <c r="BGL114" s="47"/>
      <c r="BGM114" s="47"/>
      <c r="BGN114" s="47"/>
      <c r="BGO114" s="47"/>
      <c r="BGP114" s="47"/>
      <c r="BGQ114" s="47"/>
      <c r="BGR114" s="47"/>
      <c r="BGS114" s="47"/>
      <c r="BGT114" s="47"/>
      <c r="BGU114" s="47"/>
      <c r="BGV114" s="47"/>
      <c r="BGW114" s="47"/>
      <c r="BGX114" s="47"/>
      <c r="BGY114" s="47"/>
      <c r="BGZ114" s="47"/>
      <c r="BHA114" s="47"/>
      <c r="BHB114" s="47"/>
      <c r="BHC114" s="47"/>
      <c r="BHD114" s="47"/>
      <c r="BHE114" s="47"/>
      <c r="BHF114" s="47"/>
      <c r="BHG114" s="47"/>
      <c r="BHH114" s="47"/>
      <c r="BHI114" s="47"/>
      <c r="BHJ114" s="47"/>
      <c r="BHK114" s="47"/>
      <c r="BHL114" s="47"/>
      <c r="BHM114" s="47"/>
      <c r="BHN114" s="47"/>
      <c r="BHO114" s="47"/>
      <c r="BHP114" s="47"/>
      <c r="BHQ114" s="47"/>
      <c r="BHR114" s="47"/>
      <c r="BHS114" s="47"/>
      <c r="BHT114" s="47"/>
      <c r="BHU114" s="47"/>
      <c r="BHV114" s="47"/>
      <c r="BHW114" s="47"/>
      <c r="BHX114" s="47"/>
      <c r="BHY114" s="47"/>
      <c r="BHZ114" s="47"/>
      <c r="BIA114" s="47"/>
      <c r="BIB114" s="47"/>
      <c r="BIC114" s="47"/>
      <c r="BID114" s="47"/>
      <c r="BIE114" s="47"/>
      <c r="BIF114" s="47"/>
      <c r="BIG114" s="47"/>
      <c r="BIH114" s="47"/>
      <c r="BII114" s="47"/>
      <c r="BIJ114" s="47"/>
      <c r="BIK114" s="47"/>
      <c r="BIL114" s="47"/>
      <c r="BIM114" s="47"/>
      <c r="BIN114" s="47"/>
      <c r="BIO114" s="47"/>
      <c r="BIP114" s="47"/>
      <c r="BIQ114" s="47"/>
      <c r="BIR114" s="47"/>
      <c r="BIS114" s="47"/>
      <c r="BIT114" s="47"/>
      <c r="BIU114" s="47"/>
      <c r="BIV114" s="47"/>
      <c r="BIW114" s="47"/>
      <c r="BIX114" s="47"/>
      <c r="BIY114" s="47"/>
      <c r="BIZ114" s="47"/>
      <c r="BJA114" s="47"/>
      <c r="BJB114" s="47"/>
      <c r="BJC114" s="47"/>
      <c r="BJD114" s="47"/>
      <c r="BJE114" s="47"/>
      <c r="BJF114" s="47"/>
      <c r="BJG114" s="47"/>
      <c r="BJH114" s="47"/>
      <c r="BJI114" s="47"/>
      <c r="BJJ114" s="47"/>
      <c r="BJK114" s="47"/>
      <c r="BJL114" s="47"/>
      <c r="BJM114" s="47"/>
      <c r="BJN114" s="47"/>
      <c r="BJO114" s="47"/>
      <c r="BJP114" s="47"/>
      <c r="BJQ114" s="47"/>
      <c r="BJR114" s="47"/>
      <c r="BJS114" s="47"/>
      <c r="BJT114" s="47"/>
      <c r="BJU114" s="47"/>
      <c r="BJV114" s="47"/>
      <c r="BJW114" s="47"/>
      <c r="BJX114" s="47"/>
      <c r="BJY114" s="47"/>
      <c r="BJZ114" s="47"/>
      <c r="BKA114" s="47"/>
      <c r="BKB114" s="47"/>
      <c r="BKC114" s="47"/>
      <c r="BKD114" s="47"/>
      <c r="BKE114" s="47"/>
      <c r="BKF114" s="47"/>
      <c r="BKG114" s="47"/>
      <c r="BKH114" s="47"/>
      <c r="BKI114" s="47"/>
      <c r="BKJ114" s="47"/>
      <c r="BKK114" s="47"/>
      <c r="BKL114" s="47"/>
      <c r="BKM114" s="47"/>
      <c r="BKN114" s="47"/>
      <c r="BKO114" s="47"/>
      <c r="BKP114" s="47"/>
      <c r="BKQ114" s="47"/>
      <c r="BKR114" s="47"/>
      <c r="BKS114" s="47"/>
      <c r="BKT114" s="47"/>
      <c r="BKU114" s="47"/>
      <c r="BKV114" s="47"/>
      <c r="BKW114" s="47"/>
      <c r="BKX114" s="47"/>
      <c r="BKY114" s="47"/>
      <c r="BKZ114" s="47"/>
      <c r="BLA114" s="47"/>
      <c r="BLB114" s="47"/>
      <c r="BLC114" s="47"/>
      <c r="BLD114" s="47"/>
      <c r="BLE114" s="47"/>
      <c r="BLF114" s="47"/>
      <c r="BLG114" s="47"/>
      <c r="BLH114" s="47"/>
      <c r="BLI114" s="47"/>
      <c r="BLJ114" s="47"/>
      <c r="BLK114" s="47"/>
      <c r="BLL114" s="47"/>
      <c r="BLM114" s="47"/>
      <c r="BLN114" s="47"/>
      <c r="BLO114" s="47"/>
      <c r="BLP114" s="47"/>
      <c r="BLQ114" s="47"/>
      <c r="BLR114" s="47"/>
      <c r="BLS114" s="47"/>
      <c r="BLT114" s="47"/>
      <c r="BLU114" s="47"/>
      <c r="BLV114" s="47"/>
      <c r="BLW114" s="47"/>
      <c r="BLX114" s="47"/>
      <c r="BLY114" s="47"/>
      <c r="BLZ114" s="47"/>
      <c r="BMA114" s="47"/>
      <c r="BMB114" s="47"/>
      <c r="BMC114" s="47"/>
      <c r="BMD114" s="47"/>
      <c r="BME114" s="47"/>
      <c r="BMF114" s="47"/>
      <c r="BMG114" s="47"/>
      <c r="BMH114" s="47"/>
      <c r="BMI114" s="47"/>
      <c r="BMJ114" s="47"/>
      <c r="BMK114" s="47"/>
      <c r="BML114" s="47"/>
      <c r="BMM114" s="47"/>
      <c r="BMN114" s="47"/>
      <c r="BMO114" s="47"/>
      <c r="BMP114" s="47"/>
      <c r="BMQ114" s="47"/>
      <c r="BMR114" s="47"/>
      <c r="BMS114" s="47"/>
      <c r="BMT114" s="47"/>
      <c r="BMU114" s="47"/>
      <c r="BMV114" s="47"/>
      <c r="BMW114" s="47"/>
      <c r="BMX114" s="47"/>
      <c r="BMY114" s="47"/>
      <c r="BMZ114" s="47"/>
      <c r="BNA114" s="47"/>
      <c r="BNB114" s="47"/>
      <c r="BNC114" s="47"/>
      <c r="BND114" s="47"/>
      <c r="BNE114" s="47"/>
      <c r="BNF114" s="47"/>
      <c r="BNG114" s="47"/>
      <c r="BNH114" s="47"/>
      <c r="BNI114" s="47"/>
      <c r="BNJ114" s="47"/>
      <c r="BNK114" s="47"/>
      <c r="BNL114" s="47"/>
      <c r="BNM114" s="47"/>
      <c r="BNN114" s="47"/>
      <c r="BNO114" s="47"/>
      <c r="BNP114" s="47"/>
      <c r="BNQ114" s="47"/>
      <c r="BNR114" s="47"/>
      <c r="BNS114" s="47"/>
      <c r="BNT114" s="47"/>
      <c r="BNU114" s="47"/>
      <c r="BNV114" s="47"/>
      <c r="BNW114" s="47"/>
      <c r="BNX114" s="47"/>
      <c r="BNY114" s="47"/>
      <c r="BNZ114" s="47"/>
      <c r="BOA114" s="47"/>
      <c r="BOB114" s="47"/>
      <c r="BOC114" s="47"/>
      <c r="BOD114" s="47"/>
      <c r="BOE114" s="47"/>
      <c r="BOF114" s="47"/>
      <c r="BOG114" s="47"/>
      <c r="BOH114" s="47"/>
      <c r="BOI114" s="47"/>
      <c r="BOJ114" s="47"/>
      <c r="BOK114" s="47"/>
      <c r="BOL114" s="47"/>
      <c r="BOM114" s="47"/>
      <c r="BON114" s="47"/>
      <c r="BOO114" s="47"/>
      <c r="BOP114" s="47"/>
      <c r="BOQ114" s="47"/>
      <c r="BOR114" s="47"/>
      <c r="BOS114" s="47"/>
      <c r="BOT114" s="47"/>
      <c r="BOU114" s="47"/>
      <c r="BOV114" s="47"/>
      <c r="BOW114" s="47"/>
      <c r="BOX114" s="47"/>
      <c r="BOY114" s="47"/>
      <c r="BOZ114" s="47"/>
      <c r="BPA114" s="47"/>
      <c r="BPB114" s="47"/>
      <c r="BPC114" s="47"/>
      <c r="BPD114" s="47"/>
      <c r="BPE114" s="47"/>
      <c r="BPF114" s="47"/>
      <c r="BPG114" s="47"/>
      <c r="BPH114" s="47"/>
      <c r="BPI114" s="47"/>
      <c r="BPJ114" s="47"/>
      <c r="BPK114" s="47"/>
      <c r="BPL114" s="47"/>
      <c r="BPM114" s="47"/>
      <c r="BPN114" s="47"/>
      <c r="BPO114" s="47"/>
      <c r="BPP114" s="47"/>
      <c r="BPQ114" s="47"/>
      <c r="BPR114" s="47"/>
      <c r="BPS114" s="47"/>
      <c r="BPT114" s="47"/>
      <c r="BPU114" s="47"/>
      <c r="BPV114" s="47"/>
      <c r="BPW114" s="47"/>
      <c r="BPX114" s="47"/>
      <c r="BPY114" s="47"/>
      <c r="BPZ114" s="47"/>
      <c r="BQA114" s="47"/>
      <c r="BQB114" s="47"/>
      <c r="BQC114" s="47"/>
      <c r="BQD114" s="47"/>
      <c r="BQE114" s="47"/>
      <c r="BQF114" s="47"/>
      <c r="BQG114" s="47"/>
      <c r="BQH114" s="47"/>
      <c r="BQI114" s="47"/>
      <c r="BQJ114" s="47"/>
      <c r="BQK114" s="47"/>
      <c r="BQL114" s="47"/>
      <c r="BQM114" s="47"/>
      <c r="BQN114" s="47"/>
      <c r="BQO114" s="47"/>
      <c r="BQP114" s="47"/>
      <c r="BQQ114" s="47"/>
      <c r="BQR114" s="47"/>
      <c r="BQS114" s="47"/>
      <c r="BQT114" s="47"/>
      <c r="BQU114" s="47"/>
      <c r="BQV114" s="47"/>
      <c r="BQW114" s="47"/>
      <c r="BQX114" s="47"/>
      <c r="BQY114" s="47"/>
      <c r="BQZ114" s="47"/>
      <c r="BRA114" s="47"/>
      <c r="BRB114" s="47"/>
      <c r="BRC114" s="47"/>
      <c r="BRD114" s="47"/>
      <c r="BRE114" s="47"/>
      <c r="BRF114" s="47"/>
      <c r="BRG114" s="47"/>
      <c r="BRH114" s="47"/>
      <c r="BRI114" s="47"/>
      <c r="BRJ114" s="47"/>
      <c r="BRK114" s="47"/>
      <c r="BRL114" s="47"/>
      <c r="BRM114" s="47"/>
      <c r="BRN114" s="47"/>
      <c r="BRO114" s="47"/>
      <c r="BRP114" s="47"/>
      <c r="BRQ114" s="47"/>
      <c r="BRR114" s="47"/>
      <c r="BRS114" s="47"/>
      <c r="BRT114" s="47"/>
      <c r="BRU114" s="47"/>
      <c r="BRV114" s="47"/>
      <c r="BRW114" s="47"/>
      <c r="BRX114" s="47"/>
      <c r="BRY114" s="47"/>
      <c r="BRZ114" s="47"/>
      <c r="BSA114" s="47"/>
      <c r="BSB114" s="47"/>
      <c r="BSC114" s="47"/>
      <c r="BSD114" s="47"/>
      <c r="BSE114" s="47"/>
      <c r="BSF114" s="47"/>
      <c r="BSG114" s="47"/>
      <c r="BSH114" s="47"/>
      <c r="BSI114" s="47"/>
      <c r="BSJ114" s="47"/>
      <c r="BSK114" s="47"/>
      <c r="BSL114" s="47"/>
      <c r="BSM114" s="47"/>
      <c r="BSN114" s="47"/>
      <c r="BSO114" s="47"/>
      <c r="BSP114" s="47"/>
      <c r="BSQ114" s="47"/>
      <c r="BSR114" s="47"/>
      <c r="BSS114" s="47"/>
      <c r="BST114" s="47"/>
      <c r="BSU114" s="47"/>
      <c r="BSV114" s="47"/>
      <c r="BSW114" s="47"/>
      <c r="BSX114" s="47"/>
      <c r="BSY114" s="47"/>
      <c r="BSZ114" s="47"/>
      <c r="BTA114" s="47"/>
      <c r="BTB114" s="47"/>
      <c r="BTC114" s="47"/>
      <c r="BTD114" s="47"/>
      <c r="BTE114" s="47"/>
      <c r="BTF114" s="47"/>
      <c r="BTG114" s="47"/>
      <c r="BTH114" s="47"/>
      <c r="BTI114" s="47"/>
      <c r="BTJ114" s="47"/>
      <c r="BTK114" s="47"/>
      <c r="BTL114" s="47"/>
      <c r="BTM114" s="47"/>
      <c r="BTN114" s="47"/>
      <c r="BTO114" s="47"/>
      <c r="BTP114" s="47"/>
      <c r="BTQ114" s="47"/>
      <c r="BTR114" s="47"/>
      <c r="BTS114" s="47"/>
      <c r="BTT114" s="47"/>
      <c r="BTU114" s="47"/>
      <c r="BTV114" s="47"/>
      <c r="BTW114" s="47"/>
      <c r="BTX114" s="47"/>
      <c r="BTY114" s="47"/>
      <c r="BTZ114" s="47"/>
      <c r="BUA114" s="47"/>
      <c r="BUB114" s="47"/>
      <c r="BUC114" s="47"/>
      <c r="BUD114" s="47"/>
      <c r="BUE114" s="47"/>
      <c r="BUF114" s="47"/>
      <c r="BUG114" s="47"/>
      <c r="BUH114" s="47"/>
      <c r="BUI114" s="47"/>
      <c r="BUJ114" s="47"/>
      <c r="BUK114" s="47"/>
      <c r="BUL114" s="47"/>
      <c r="BUM114" s="47"/>
      <c r="BUN114" s="47"/>
      <c r="BUO114" s="47"/>
      <c r="BUP114" s="47"/>
      <c r="BUQ114" s="47"/>
      <c r="BUR114" s="47"/>
      <c r="BUS114" s="47"/>
      <c r="BUT114" s="47"/>
      <c r="BUU114" s="47"/>
      <c r="BUV114" s="47"/>
      <c r="BUW114" s="47"/>
      <c r="BUX114" s="47"/>
      <c r="BUY114" s="47"/>
      <c r="BUZ114" s="47"/>
      <c r="BVA114" s="47"/>
      <c r="BVB114" s="47"/>
      <c r="BVC114" s="47"/>
      <c r="BVD114" s="47"/>
      <c r="BVE114" s="47"/>
      <c r="BVF114" s="47"/>
      <c r="BVG114" s="47"/>
      <c r="BVH114" s="47"/>
      <c r="BVI114" s="47"/>
      <c r="BVJ114" s="47"/>
      <c r="BVK114" s="47"/>
      <c r="BVL114" s="47"/>
      <c r="BVM114" s="47"/>
      <c r="BVN114" s="47"/>
      <c r="BVO114" s="47"/>
      <c r="BVP114" s="47"/>
      <c r="BVQ114" s="47"/>
      <c r="BVR114" s="47"/>
      <c r="BVS114" s="47"/>
      <c r="BVT114" s="47"/>
      <c r="BVU114" s="47"/>
      <c r="BVV114" s="47"/>
      <c r="BVW114" s="47"/>
      <c r="BVX114" s="47"/>
      <c r="BVY114" s="47"/>
      <c r="BVZ114" s="47"/>
      <c r="BWA114" s="47"/>
      <c r="BWB114" s="47"/>
      <c r="BWC114" s="47"/>
      <c r="BWD114" s="47"/>
      <c r="BWE114" s="47"/>
      <c r="BWF114" s="47"/>
      <c r="BWG114" s="47"/>
      <c r="BWH114" s="47"/>
      <c r="BWI114" s="47"/>
      <c r="BWJ114" s="47"/>
      <c r="BWK114" s="47"/>
      <c r="BWL114" s="47"/>
      <c r="BWM114" s="47"/>
      <c r="BWN114" s="47"/>
      <c r="BWO114" s="47"/>
      <c r="BWP114" s="47"/>
      <c r="BWQ114" s="47"/>
      <c r="BWR114" s="47"/>
      <c r="BWS114" s="47"/>
      <c r="BWT114" s="47"/>
      <c r="BWU114" s="47"/>
      <c r="BWV114" s="47"/>
      <c r="BWW114" s="47"/>
      <c r="BWX114" s="47"/>
      <c r="BWY114" s="47"/>
      <c r="BWZ114" s="47"/>
      <c r="BXA114" s="47"/>
      <c r="BXB114" s="47"/>
      <c r="BXC114" s="47"/>
      <c r="BXD114" s="47"/>
      <c r="BXE114" s="47"/>
      <c r="BXF114" s="47"/>
      <c r="BXG114" s="47"/>
      <c r="BXH114" s="47"/>
      <c r="BXI114" s="47"/>
      <c r="BXJ114" s="47"/>
      <c r="BXK114" s="47"/>
      <c r="BXL114" s="47"/>
      <c r="BXM114" s="47"/>
      <c r="BXN114" s="47"/>
      <c r="BXO114" s="47"/>
      <c r="BXP114" s="47"/>
      <c r="BXQ114" s="47"/>
      <c r="BXR114" s="47"/>
      <c r="BXS114" s="47"/>
      <c r="BXT114" s="47"/>
      <c r="BXU114" s="47"/>
      <c r="BXV114" s="47"/>
      <c r="BXW114" s="47"/>
      <c r="BXX114" s="47"/>
      <c r="BXY114" s="47"/>
      <c r="BXZ114" s="47"/>
      <c r="BYA114" s="47"/>
      <c r="BYB114" s="47"/>
      <c r="BYC114" s="47"/>
      <c r="BYD114" s="47"/>
      <c r="BYE114" s="47"/>
      <c r="BYF114" s="47"/>
      <c r="BYG114" s="47"/>
      <c r="BYH114" s="47"/>
      <c r="BYI114" s="47"/>
      <c r="BYJ114" s="47"/>
      <c r="BYK114" s="47"/>
      <c r="BYL114" s="47"/>
      <c r="BYM114" s="47"/>
      <c r="BYN114" s="47"/>
      <c r="BYO114" s="47"/>
      <c r="BYP114" s="47"/>
      <c r="BYQ114" s="47"/>
      <c r="BYR114" s="47"/>
      <c r="BYS114" s="47"/>
      <c r="BYT114" s="47"/>
      <c r="BYU114" s="47"/>
      <c r="BYV114" s="47"/>
      <c r="BYW114" s="47"/>
      <c r="BYX114" s="47"/>
      <c r="BYY114" s="47"/>
      <c r="BYZ114" s="47"/>
      <c r="BZA114" s="47"/>
      <c r="BZB114" s="47"/>
      <c r="BZC114" s="47"/>
      <c r="BZD114" s="47"/>
      <c r="BZE114" s="47"/>
      <c r="BZF114" s="47"/>
      <c r="BZG114" s="47"/>
      <c r="BZH114" s="47"/>
      <c r="BZI114" s="47"/>
      <c r="BZJ114" s="47"/>
      <c r="BZK114" s="47"/>
      <c r="BZL114" s="47"/>
      <c r="BZM114" s="47"/>
      <c r="BZN114" s="47"/>
      <c r="BZO114" s="47"/>
      <c r="BZP114" s="47"/>
      <c r="BZQ114" s="47"/>
      <c r="BZR114" s="47"/>
      <c r="BZS114" s="47"/>
      <c r="BZT114" s="47"/>
      <c r="BZU114" s="47"/>
      <c r="BZV114" s="47"/>
      <c r="BZW114" s="47"/>
      <c r="BZX114" s="47"/>
      <c r="BZY114" s="47"/>
      <c r="BZZ114" s="47"/>
      <c r="CAA114" s="47"/>
      <c r="CAB114" s="47"/>
      <c r="CAC114" s="47"/>
      <c r="CAD114" s="47"/>
      <c r="CAE114" s="47"/>
      <c r="CAF114" s="47"/>
      <c r="CAG114" s="47"/>
      <c r="CAH114" s="47"/>
      <c r="CAI114" s="47"/>
      <c r="CAJ114" s="47"/>
      <c r="CAK114" s="47"/>
      <c r="CAL114" s="47"/>
      <c r="CAM114" s="47"/>
      <c r="CAN114" s="47"/>
      <c r="CAO114" s="47"/>
      <c r="CAP114" s="47"/>
      <c r="CAQ114" s="47"/>
      <c r="CAR114" s="47"/>
      <c r="CAS114" s="47"/>
      <c r="CAT114" s="47"/>
      <c r="CAU114" s="47"/>
      <c r="CAV114" s="47"/>
      <c r="CAW114" s="47"/>
      <c r="CAX114" s="47"/>
      <c r="CAY114" s="47"/>
      <c r="CAZ114" s="47"/>
      <c r="CBA114" s="47"/>
      <c r="CBB114" s="47"/>
      <c r="CBC114" s="47"/>
      <c r="CBD114" s="47"/>
      <c r="CBE114" s="47"/>
      <c r="CBF114" s="47"/>
      <c r="CBG114" s="47"/>
      <c r="CBH114" s="47"/>
    </row>
    <row r="115" spans="1:2088" x14ac:dyDescent="0.2">
      <c r="A115" s="13" t="s">
        <v>122</v>
      </c>
      <c r="B115" s="59" t="str">
        <f t="shared" ref="B115" si="17">IF(B22&gt;=70, "yes", "no")</f>
        <v>no</v>
      </c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  <c r="DS115" s="47"/>
      <c r="DT115" s="47"/>
      <c r="DU115" s="47"/>
      <c r="DV115" s="47"/>
      <c r="DW115" s="47"/>
      <c r="DX115" s="47"/>
      <c r="DY115" s="47"/>
      <c r="DZ115" s="47"/>
      <c r="EA115" s="47"/>
      <c r="EB115" s="47"/>
      <c r="EC115" s="47"/>
      <c r="ED115" s="47"/>
      <c r="EE115" s="47"/>
      <c r="EF115" s="47"/>
      <c r="EG115" s="47"/>
      <c r="EH115" s="47"/>
      <c r="EI115" s="47"/>
      <c r="EJ115" s="47"/>
      <c r="EK115" s="47"/>
      <c r="EL115" s="47"/>
      <c r="EM115" s="47"/>
      <c r="EN115" s="47"/>
      <c r="EO115" s="47"/>
      <c r="EP115" s="47"/>
      <c r="EQ115" s="47"/>
      <c r="ER115" s="47"/>
      <c r="ES115" s="47"/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47"/>
      <c r="FO115" s="47"/>
      <c r="FP115" s="47"/>
      <c r="FQ115" s="47"/>
      <c r="FR115" s="47"/>
      <c r="FS115" s="47"/>
      <c r="FT115" s="47"/>
      <c r="FU115" s="47"/>
      <c r="FV115" s="47"/>
      <c r="FW115" s="47"/>
      <c r="FX115" s="47"/>
      <c r="FY115" s="47"/>
      <c r="FZ115" s="47"/>
      <c r="GA115" s="47"/>
      <c r="GB115" s="47"/>
      <c r="GC115" s="47"/>
      <c r="GD115" s="47"/>
      <c r="GE115" s="47"/>
      <c r="GF115" s="47"/>
      <c r="GG115" s="47"/>
      <c r="GH115" s="47"/>
      <c r="GI115" s="47"/>
      <c r="GJ115" s="47"/>
      <c r="GK115" s="47"/>
      <c r="GL115" s="47"/>
      <c r="GM115" s="47"/>
      <c r="GN115" s="47"/>
      <c r="GO115" s="47"/>
      <c r="GP115" s="47"/>
      <c r="GQ115" s="47"/>
      <c r="GR115" s="47"/>
      <c r="GS115" s="47"/>
      <c r="GT115" s="47"/>
      <c r="GU115" s="47"/>
      <c r="GV115" s="47"/>
      <c r="GW115" s="47"/>
      <c r="GX115" s="47"/>
      <c r="GY115" s="47"/>
      <c r="GZ115" s="47"/>
      <c r="HA115" s="47"/>
      <c r="HB115" s="47"/>
      <c r="HC115" s="47"/>
      <c r="HD115" s="47"/>
      <c r="HE115" s="47"/>
      <c r="HF115" s="47"/>
      <c r="HG115" s="47"/>
      <c r="HH115" s="47"/>
      <c r="HI115" s="47"/>
      <c r="HJ115" s="47"/>
      <c r="HK115" s="47"/>
      <c r="HL115" s="47"/>
      <c r="HM115" s="47"/>
      <c r="HN115" s="47"/>
      <c r="HO115" s="47"/>
      <c r="HP115" s="47"/>
      <c r="HQ115" s="47"/>
      <c r="HR115" s="47"/>
      <c r="HS115" s="47"/>
      <c r="HT115" s="47"/>
      <c r="HU115" s="47"/>
      <c r="HV115" s="47"/>
      <c r="HW115" s="47"/>
      <c r="HX115" s="47"/>
      <c r="HY115" s="47"/>
      <c r="HZ115" s="47"/>
      <c r="IA115" s="47"/>
      <c r="IB115" s="47"/>
      <c r="IC115" s="47"/>
      <c r="ID115" s="47"/>
      <c r="IE115" s="47"/>
      <c r="IF115" s="47"/>
      <c r="IG115" s="47"/>
      <c r="IH115" s="47"/>
      <c r="II115" s="47"/>
      <c r="IJ115" s="47"/>
      <c r="IK115" s="47"/>
      <c r="IL115" s="47"/>
      <c r="IM115" s="47"/>
      <c r="IN115" s="47"/>
      <c r="IO115" s="47"/>
      <c r="IP115" s="47"/>
      <c r="IQ115" s="47"/>
      <c r="IR115" s="47"/>
      <c r="IS115" s="47"/>
      <c r="IT115" s="47"/>
      <c r="IU115" s="47"/>
      <c r="IV115" s="47"/>
      <c r="IW115" s="47"/>
      <c r="IX115" s="47"/>
      <c r="IY115" s="47"/>
      <c r="IZ115" s="47"/>
      <c r="JA115" s="47"/>
      <c r="JB115" s="47"/>
      <c r="JC115" s="47"/>
      <c r="JD115" s="47"/>
      <c r="JE115" s="47"/>
      <c r="JF115" s="47"/>
      <c r="JG115" s="47"/>
      <c r="JH115" s="47"/>
      <c r="JI115" s="47"/>
      <c r="JJ115" s="47"/>
      <c r="JK115" s="47"/>
      <c r="JL115" s="47"/>
      <c r="JM115" s="47"/>
      <c r="JN115" s="47"/>
      <c r="JO115" s="47"/>
      <c r="JP115" s="47"/>
      <c r="JQ115" s="47"/>
      <c r="JR115" s="47"/>
      <c r="JS115" s="47"/>
      <c r="JT115" s="47"/>
      <c r="JU115" s="47"/>
      <c r="JV115" s="47"/>
      <c r="JW115" s="47"/>
      <c r="JX115" s="47"/>
      <c r="JY115" s="47"/>
      <c r="JZ115" s="47"/>
      <c r="KA115" s="47"/>
      <c r="KB115" s="47"/>
      <c r="KC115" s="47"/>
      <c r="KD115" s="47"/>
      <c r="KE115" s="47"/>
      <c r="KF115" s="47"/>
      <c r="KG115" s="47"/>
      <c r="KH115" s="47"/>
      <c r="KI115" s="47"/>
      <c r="KJ115" s="47"/>
      <c r="KK115" s="47"/>
      <c r="KL115" s="47"/>
      <c r="KM115" s="47"/>
      <c r="KN115" s="47"/>
      <c r="KO115" s="47"/>
      <c r="KP115" s="47"/>
      <c r="KQ115" s="47"/>
      <c r="KR115" s="47"/>
      <c r="KS115" s="47"/>
      <c r="KT115" s="47"/>
      <c r="KU115" s="47"/>
      <c r="KV115" s="47"/>
      <c r="KW115" s="47"/>
      <c r="KX115" s="47"/>
      <c r="KY115" s="47"/>
      <c r="KZ115" s="47"/>
      <c r="LA115" s="47"/>
      <c r="LB115" s="47"/>
      <c r="LC115" s="47"/>
      <c r="LD115" s="47"/>
      <c r="LE115" s="47"/>
      <c r="LF115" s="47"/>
      <c r="LG115" s="47"/>
      <c r="LH115" s="47"/>
      <c r="LI115" s="47"/>
      <c r="LJ115" s="47"/>
      <c r="LK115" s="47"/>
      <c r="LL115" s="47"/>
      <c r="LM115" s="47"/>
      <c r="LN115" s="47"/>
      <c r="LO115" s="47"/>
      <c r="LP115" s="47"/>
      <c r="LQ115" s="47"/>
      <c r="LR115" s="47"/>
      <c r="LS115" s="47"/>
      <c r="LT115" s="47"/>
      <c r="LU115" s="47"/>
      <c r="LV115" s="47"/>
      <c r="LW115" s="47"/>
      <c r="LX115" s="47"/>
      <c r="LY115" s="47"/>
      <c r="LZ115" s="47"/>
      <c r="MA115" s="47"/>
      <c r="MB115" s="47"/>
      <c r="MC115" s="47"/>
      <c r="MD115" s="47"/>
      <c r="ME115" s="47"/>
      <c r="MF115" s="47"/>
      <c r="MG115" s="47"/>
      <c r="MH115" s="47"/>
      <c r="MI115" s="47"/>
      <c r="MJ115" s="47"/>
      <c r="MK115" s="47"/>
      <c r="ML115" s="47"/>
      <c r="MM115" s="47"/>
      <c r="MN115" s="47"/>
      <c r="MO115" s="47"/>
      <c r="MP115" s="47"/>
      <c r="MQ115" s="47"/>
      <c r="MR115" s="47"/>
      <c r="MS115" s="47"/>
      <c r="MT115" s="47"/>
      <c r="MU115" s="47"/>
      <c r="MV115" s="47"/>
      <c r="MW115" s="47"/>
      <c r="MX115" s="47"/>
      <c r="MY115" s="47"/>
      <c r="MZ115" s="47"/>
      <c r="NA115" s="47"/>
      <c r="NB115" s="47"/>
      <c r="NC115" s="47"/>
      <c r="ND115" s="47"/>
      <c r="NE115" s="47"/>
      <c r="NF115" s="47"/>
      <c r="NG115" s="47"/>
      <c r="NH115" s="47"/>
      <c r="NI115" s="47"/>
      <c r="NJ115" s="47"/>
      <c r="NK115" s="47"/>
      <c r="NL115" s="47"/>
      <c r="NM115" s="47"/>
      <c r="NN115" s="47"/>
      <c r="NO115" s="47"/>
      <c r="NP115" s="47"/>
      <c r="NQ115" s="47"/>
      <c r="NR115" s="47"/>
      <c r="NS115" s="47"/>
      <c r="NT115" s="47"/>
      <c r="NU115" s="47"/>
      <c r="NV115" s="47"/>
      <c r="NW115" s="47"/>
      <c r="NX115" s="47"/>
      <c r="NY115" s="47"/>
      <c r="NZ115" s="47"/>
      <c r="OA115" s="47"/>
      <c r="OB115" s="47"/>
      <c r="OC115" s="47"/>
      <c r="OD115" s="47"/>
      <c r="OE115" s="47"/>
      <c r="OF115" s="47"/>
      <c r="OG115" s="47"/>
      <c r="OH115" s="47"/>
      <c r="OI115" s="47"/>
      <c r="OJ115" s="47"/>
      <c r="OK115" s="47"/>
      <c r="OL115" s="47"/>
      <c r="OM115" s="47"/>
      <c r="ON115" s="47"/>
      <c r="OO115" s="47"/>
      <c r="OP115" s="47"/>
      <c r="OQ115" s="47"/>
      <c r="OR115" s="47"/>
      <c r="OS115" s="47"/>
      <c r="OT115" s="47"/>
      <c r="OU115" s="47"/>
      <c r="OV115" s="47"/>
      <c r="OW115" s="47"/>
      <c r="OX115" s="47"/>
      <c r="OY115" s="47"/>
      <c r="OZ115" s="47"/>
      <c r="PA115" s="47"/>
      <c r="PB115" s="47"/>
      <c r="PC115" s="47"/>
      <c r="PD115" s="47"/>
      <c r="PE115" s="47"/>
      <c r="PF115" s="47"/>
      <c r="PG115" s="47"/>
      <c r="PH115" s="47"/>
      <c r="PI115" s="47"/>
      <c r="PJ115" s="47"/>
      <c r="PK115" s="47"/>
      <c r="PL115" s="47"/>
      <c r="PM115" s="47"/>
      <c r="PN115" s="47"/>
      <c r="PO115" s="47"/>
      <c r="PP115" s="47"/>
      <c r="PQ115" s="47"/>
      <c r="PR115" s="47"/>
      <c r="PS115" s="47"/>
      <c r="PT115" s="47"/>
      <c r="PU115" s="47"/>
      <c r="PV115" s="47"/>
      <c r="PW115" s="47"/>
      <c r="PX115" s="47"/>
      <c r="PY115" s="47"/>
      <c r="PZ115" s="47"/>
      <c r="QA115" s="47"/>
      <c r="QB115" s="47"/>
      <c r="QC115" s="47"/>
      <c r="QD115" s="47"/>
      <c r="QE115" s="47"/>
      <c r="QF115" s="47"/>
      <c r="QG115" s="47"/>
      <c r="QH115" s="47"/>
      <c r="QI115" s="47"/>
      <c r="QJ115" s="47"/>
      <c r="QK115" s="47"/>
      <c r="QL115" s="47"/>
      <c r="QM115" s="47"/>
      <c r="QN115" s="47"/>
      <c r="QO115" s="47"/>
      <c r="QP115" s="47"/>
      <c r="QQ115" s="47"/>
      <c r="QR115" s="47"/>
      <c r="QS115" s="47"/>
      <c r="QT115" s="47"/>
      <c r="QU115" s="47"/>
      <c r="QV115" s="47"/>
      <c r="QW115" s="47"/>
      <c r="QX115" s="47"/>
      <c r="QY115" s="47"/>
      <c r="QZ115" s="47"/>
      <c r="RA115" s="47"/>
      <c r="RB115" s="47"/>
      <c r="RC115" s="47"/>
      <c r="RD115" s="47"/>
      <c r="RE115" s="47"/>
      <c r="RF115" s="47"/>
      <c r="RG115" s="47"/>
      <c r="RH115" s="47"/>
      <c r="RI115" s="47"/>
      <c r="RJ115" s="47"/>
      <c r="RK115" s="47"/>
      <c r="RL115" s="47"/>
      <c r="RM115" s="47"/>
      <c r="RN115" s="47"/>
      <c r="RO115" s="47"/>
      <c r="RP115" s="47"/>
      <c r="RQ115" s="47"/>
      <c r="RR115" s="47"/>
      <c r="RS115" s="47"/>
      <c r="RT115" s="47"/>
      <c r="RU115" s="47"/>
      <c r="RV115" s="47"/>
      <c r="RW115" s="47"/>
      <c r="RX115" s="47"/>
      <c r="RY115" s="47"/>
      <c r="RZ115" s="47"/>
      <c r="SA115" s="47"/>
      <c r="SB115" s="47"/>
      <c r="SC115" s="47"/>
      <c r="SD115" s="47"/>
      <c r="SE115" s="47"/>
      <c r="SF115" s="47"/>
      <c r="SG115" s="47"/>
      <c r="SH115" s="47"/>
      <c r="SI115" s="47"/>
      <c r="SJ115" s="47"/>
      <c r="SK115" s="47"/>
      <c r="SL115" s="47"/>
      <c r="SM115" s="47"/>
      <c r="SN115" s="47"/>
      <c r="SO115" s="47"/>
      <c r="SP115" s="47"/>
      <c r="SQ115" s="47"/>
      <c r="SR115" s="47"/>
      <c r="SS115" s="47"/>
      <c r="ST115" s="47"/>
      <c r="SU115" s="47"/>
      <c r="SV115" s="47"/>
      <c r="SW115" s="47"/>
      <c r="SX115" s="47"/>
      <c r="SY115" s="47"/>
      <c r="SZ115" s="47"/>
      <c r="TA115" s="47"/>
      <c r="TB115" s="47"/>
      <c r="TC115" s="47"/>
      <c r="TD115" s="47"/>
      <c r="TE115" s="47"/>
      <c r="TF115" s="47"/>
      <c r="TG115" s="47"/>
      <c r="TH115" s="47"/>
      <c r="TI115" s="47"/>
      <c r="TJ115" s="47"/>
      <c r="TK115" s="47"/>
      <c r="TL115" s="47"/>
      <c r="TM115" s="47"/>
      <c r="TN115" s="47"/>
      <c r="TO115" s="47"/>
      <c r="TP115" s="47"/>
      <c r="TQ115" s="47"/>
      <c r="TR115" s="47"/>
      <c r="TS115" s="47"/>
      <c r="TT115" s="47"/>
      <c r="TU115" s="47"/>
      <c r="TV115" s="47"/>
      <c r="TW115" s="47"/>
      <c r="TX115" s="47"/>
      <c r="TY115" s="47"/>
      <c r="TZ115" s="47"/>
      <c r="UA115" s="47"/>
      <c r="UB115" s="47"/>
      <c r="UC115" s="47"/>
      <c r="UD115" s="47"/>
      <c r="UE115" s="47"/>
      <c r="UF115" s="47"/>
      <c r="UG115" s="47"/>
      <c r="UH115" s="47"/>
      <c r="UI115" s="47"/>
      <c r="UJ115" s="47"/>
      <c r="UK115" s="47"/>
      <c r="UL115" s="47"/>
      <c r="UM115" s="47"/>
      <c r="UN115" s="47"/>
      <c r="UO115" s="47"/>
      <c r="UP115" s="47"/>
      <c r="UQ115" s="47"/>
      <c r="UR115" s="47"/>
      <c r="US115" s="47"/>
      <c r="UT115" s="47"/>
      <c r="UU115" s="47"/>
      <c r="UV115" s="47"/>
      <c r="UW115" s="47"/>
      <c r="UX115" s="47"/>
      <c r="UY115" s="47"/>
      <c r="UZ115" s="47"/>
      <c r="VA115" s="47"/>
      <c r="VB115" s="47"/>
      <c r="VC115" s="47"/>
      <c r="VD115" s="47"/>
      <c r="VE115" s="47"/>
      <c r="VF115" s="47"/>
      <c r="VG115" s="47"/>
      <c r="VH115" s="47"/>
      <c r="VI115" s="47"/>
      <c r="VJ115" s="47"/>
      <c r="VK115" s="47"/>
      <c r="VL115" s="47"/>
      <c r="VM115" s="47"/>
      <c r="VN115" s="47"/>
      <c r="VO115" s="47"/>
      <c r="VP115" s="47"/>
      <c r="VQ115" s="47"/>
      <c r="VR115" s="47"/>
      <c r="VS115" s="47"/>
      <c r="VT115" s="47"/>
      <c r="VU115" s="47"/>
      <c r="VV115" s="47"/>
      <c r="VW115" s="47"/>
      <c r="VX115" s="47"/>
      <c r="VY115" s="47"/>
      <c r="VZ115" s="47"/>
      <c r="WA115" s="47"/>
      <c r="WB115" s="47"/>
      <c r="WC115" s="47"/>
      <c r="WD115" s="47"/>
      <c r="WE115" s="47"/>
      <c r="WF115" s="47"/>
      <c r="WG115" s="47"/>
      <c r="WH115" s="47"/>
      <c r="WI115" s="47"/>
      <c r="WJ115" s="47"/>
      <c r="WK115" s="47"/>
      <c r="WL115" s="47"/>
      <c r="WM115" s="47"/>
      <c r="WN115" s="47"/>
      <c r="WO115" s="47"/>
      <c r="WP115" s="47"/>
      <c r="WQ115" s="47"/>
      <c r="WR115" s="47"/>
      <c r="WS115" s="47"/>
      <c r="WT115" s="47"/>
      <c r="WU115" s="47"/>
      <c r="WV115" s="47"/>
      <c r="WW115" s="47"/>
      <c r="WX115" s="47"/>
      <c r="WY115" s="47"/>
      <c r="WZ115" s="47"/>
      <c r="XA115" s="47"/>
      <c r="XB115" s="47"/>
      <c r="XC115" s="47"/>
      <c r="XD115" s="47"/>
      <c r="XE115" s="47"/>
      <c r="XF115" s="47"/>
      <c r="XG115" s="47"/>
      <c r="XH115" s="47"/>
      <c r="XI115" s="47"/>
      <c r="XJ115" s="47"/>
      <c r="XK115" s="47"/>
      <c r="XL115" s="47"/>
      <c r="XM115" s="47"/>
      <c r="XN115" s="47"/>
      <c r="XO115" s="47"/>
      <c r="XP115" s="47"/>
      <c r="XQ115" s="47"/>
      <c r="XR115" s="47"/>
      <c r="XS115" s="47"/>
      <c r="XT115" s="47"/>
      <c r="XU115" s="47"/>
      <c r="XV115" s="47"/>
      <c r="XW115" s="47"/>
      <c r="XX115" s="47"/>
      <c r="XY115" s="47"/>
      <c r="XZ115" s="47"/>
      <c r="YA115" s="47"/>
      <c r="YB115" s="47"/>
      <c r="YC115" s="47"/>
      <c r="YD115" s="47"/>
      <c r="YE115" s="47"/>
      <c r="YF115" s="47"/>
      <c r="YG115" s="47"/>
      <c r="YH115" s="47"/>
      <c r="YI115" s="47"/>
      <c r="YJ115" s="47"/>
      <c r="YK115" s="47"/>
      <c r="YL115" s="47"/>
      <c r="YM115" s="47"/>
      <c r="YN115" s="47"/>
      <c r="YO115" s="47"/>
      <c r="YP115" s="47"/>
      <c r="YQ115" s="47"/>
      <c r="YR115" s="47"/>
      <c r="YS115" s="47"/>
      <c r="YT115" s="47"/>
      <c r="YU115" s="47"/>
      <c r="YV115" s="47"/>
      <c r="YW115" s="47"/>
      <c r="YX115" s="47"/>
      <c r="YY115" s="47"/>
      <c r="YZ115" s="47"/>
      <c r="ZA115" s="47"/>
      <c r="ZB115" s="47"/>
      <c r="ZC115" s="47"/>
      <c r="ZD115" s="47"/>
      <c r="ZE115" s="47"/>
      <c r="ZF115" s="47"/>
      <c r="ZG115" s="47"/>
      <c r="ZH115" s="47"/>
      <c r="ZI115" s="47"/>
      <c r="ZJ115" s="47"/>
      <c r="ZK115" s="47"/>
      <c r="ZL115" s="47"/>
      <c r="ZM115" s="47"/>
      <c r="ZN115" s="47"/>
      <c r="ZO115" s="47"/>
      <c r="ZP115" s="47"/>
      <c r="ZQ115" s="47"/>
      <c r="ZR115" s="47"/>
      <c r="ZS115" s="47"/>
      <c r="ZT115" s="47"/>
      <c r="ZU115" s="47"/>
      <c r="ZV115" s="47"/>
      <c r="ZW115" s="47"/>
      <c r="ZX115" s="47"/>
      <c r="ZY115" s="47"/>
      <c r="ZZ115" s="47"/>
      <c r="AAA115" s="47"/>
      <c r="AAB115" s="47"/>
      <c r="AAC115" s="47"/>
      <c r="AAD115" s="47"/>
      <c r="AAE115" s="47"/>
      <c r="AAF115" s="47"/>
      <c r="AAG115" s="47"/>
      <c r="AAH115" s="47"/>
      <c r="AAI115" s="47"/>
      <c r="AAJ115" s="47"/>
      <c r="AAK115" s="47"/>
      <c r="AAL115" s="47"/>
      <c r="AAM115" s="47"/>
      <c r="AAN115" s="47"/>
      <c r="AAO115" s="47"/>
      <c r="AAP115" s="47"/>
      <c r="AAQ115" s="47"/>
      <c r="AAR115" s="47"/>
      <c r="AAS115" s="47"/>
      <c r="AAT115" s="47"/>
      <c r="AAU115" s="47"/>
      <c r="AAV115" s="47"/>
      <c r="AAW115" s="47"/>
      <c r="AAX115" s="47"/>
      <c r="AAY115" s="47"/>
      <c r="AAZ115" s="47"/>
      <c r="ABA115" s="47"/>
      <c r="ABB115" s="47"/>
      <c r="ABC115" s="47"/>
      <c r="ABD115" s="47"/>
      <c r="ABE115" s="47"/>
      <c r="ABF115" s="47"/>
      <c r="ABG115" s="47"/>
      <c r="ABH115" s="47"/>
      <c r="ABI115" s="47"/>
      <c r="ABJ115" s="47"/>
      <c r="ABK115" s="47"/>
      <c r="ABL115" s="47"/>
      <c r="ABM115" s="47"/>
      <c r="ABN115" s="47"/>
      <c r="ABO115" s="47"/>
      <c r="ABP115" s="47"/>
      <c r="ABQ115" s="47"/>
      <c r="ABR115" s="47"/>
      <c r="ABS115" s="47"/>
      <c r="ABT115" s="47"/>
      <c r="ABU115" s="47"/>
      <c r="ABV115" s="47"/>
      <c r="ABW115" s="47"/>
      <c r="ABX115" s="47"/>
      <c r="ABY115" s="47"/>
      <c r="ABZ115" s="47"/>
      <c r="ACA115" s="47"/>
      <c r="ACB115" s="47"/>
      <c r="ACC115" s="47"/>
      <c r="ACD115" s="47"/>
      <c r="ACE115" s="47"/>
      <c r="ACF115" s="47"/>
      <c r="ACG115" s="47"/>
      <c r="ACH115" s="47"/>
      <c r="ACI115" s="47"/>
      <c r="ACJ115" s="47"/>
      <c r="ACK115" s="47"/>
      <c r="ACL115" s="47"/>
      <c r="ACM115" s="47"/>
      <c r="ACN115" s="47"/>
      <c r="ACO115" s="47"/>
      <c r="ACP115" s="47"/>
      <c r="ACQ115" s="47"/>
      <c r="ACR115" s="47"/>
      <c r="ACS115" s="47"/>
      <c r="ACT115" s="47"/>
      <c r="ACU115" s="47"/>
      <c r="ACV115" s="47"/>
      <c r="ACW115" s="47"/>
      <c r="ACX115" s="47"/>
      <c r="ACY115" s="47"/>
      <c r="ACZ115" s="47"/>
      <c r="ADA115" s="47"/>
      <c r="ADB115" s="47"/>
      <c r="ADC115" s="47"/>
      <c r="ADD115" s="47"/>
      <c r="ADE115" s="47"/>
      <c r="ADF115" s="47"/>
      <c r="ADG115" s="47"/>
      <c r="ADH115" s="47"/>
      <c r="ADI115" s="47"/>
      <c r="ADJ115" s="47"/>
      <c r="ADK115" s="47"/>
      <c r="ADL115" s="47"/>
      <c r="ADM115" s="47"/>
      <c r="ADN115" s="47"/>
      <c r="ADO115" s="47"/>
      <c r="ADP115" s="47"/>
      <c r="ADQ115" s="47"/>
      <c r="ADR115" s="47"/>
      <c r="ADS115" s="47"/>
      <c r="ADT115" s="47"/>
      <c r="ADU115" s="47"/>
      <c r="ADV115" s="47"/>
      <c r="ADW115" s="47"/>
      <c r="ADX115" s="47"/>
      <c r="ADY115" s="47"/>
      <c r="ADZ115" s="47"/>
      <c r="AEA115" s="47"/>
      <c r="AEB115" s="47"/>
      <c r="AEC115" s="47"/>
      <c r="AED115" s="47"/>
      <c r="AEE115" s="47"/>
      <c r="AEF115" s="47"/>
      <c r="AEG115" s="47"/>
      <c r="AEH115" s="47"/>
      <c r="AEI115" s="47"/>
      <c r="AEJ115" s="47"/>
      <c r="AEK115" s="47"/>
      <c r="AEL115" s="47"/>
      <c r="AEM115" s="47"/>
      <c r="AEN115" s="47"/>
      <c r="AEO115" s="47"/>
      <c r="AEP115" s="47"/>
      <c r="AEQ115" s="47"/>
      <c r="AER115" s="47"/>
      <c r="AES115" s="47"/>
      <c r="AET115" s="47"/>
      <c r="AEU115" s="47"/>
      <c r="AEV115" s="47"/>
      <c r="AEW115" s="47"/>
      <c r="AEX115" s="47"/>
      <c r="AEY115" s="47"/>
      <c r="AEZ115" s="47"/>
      <c r="AFA115" s="47"/>
      <c r="AFB115" s="47"/>
      <c r="AFC115" s="47"/>
      <c r="AFD115" s="47"/>
      <c r="AFE115" s="47"/>
      <c r="AFF115" s="47"/>
      <c r="AFG115" s="47"/>
      <c r="AFH115" s="47"/>
      <c r="AFI115" s="47"/>
      <c r="AFJ115" s="47"/>
      <c r="AFK115" s="47"/>
      <c r="AFL115" s="47"/>
      <c r="AFM115" s="47"/>
      <c r="AFN115" s="47"/>
      <c r="AFO115" s="47"/>
      <c r="AFP115" s="47"/>
      <c r="AFQ115" s="47"/>
      <c r="AFR115" s="47"/>
      <c r="AFS115" s="47"/>
      <c r="AFT115" s="47"/>
      <c r="AFU115" s="47"/>
      <c r="AFV115" s="47"/>
      <c r="AFW115" s="47"/>
      <c r="AFX115" s="47"/>
      <c r="AFY115" s="47"/>
      <c r="AFZ115" s="47"/>
      <c r="AGA115" s="47"/>
      <c r="AGB115" s="47"/>
      <c r="AGC115" s="47"/>
      <c r="AGD115" s="47"/>
      <c r="AGE115" s="47"/>
      <c r="AGF115" s="47"/>
      <c r="AGG115" s="47"/>
      <c r="AGH115" s="47"/>
      <c r="AGI115" s="47"/>
      <c r="AGJ115" s="47"/>
      <c r="AGK115" s="47"/>
      <c r="AGL115" s="47"/>
      <c r="AGM115" s="47"/>
      <c r="AGN115" s="47"/>
      <c r="AGO115" s="47"/>
      <c r="AGP115" s="47"/>
      <c r="AGQ115" s="47"/>
      <c r="AGR115" s="47"/>
      <c r="AGS115" s="47"/>
      <c r="AGT115" s="47"/>
      <c r="AGU115" s="47"/>
      <c r="AGV115" s="47"/>
      <c r="AGW115" s="47"/>
      <c r="AGX115" s="47"/>
      <c r="AGY115" s="47"/>
      <c r="AGZ115" s="47"/>
      <c r="AHA115" s="47"/>
      <c r="AHB115" s="47"/>
      <c r="AHC115" s="47"/>
      <c r="AHD115" s="47"/>
      <c r="AHE115" s="47"/>
      <c r="AHF115" s="47"/>
      <c r="AHG115" s="47"/>
      <c r="AHH115" s="47"/>
      <c r="AHI115" s="47"/>
      <c r="AHJ115" s="47"/>
      <c r="AHK115" s="47"/>
      <c r="AHL115" s="47"/>
      <c r="AHM115" s="47"/>
      <c r="AHN115" s="47"/>
      <c r="AHO115" s="47"/>
      <c r="AHP115" s="47"/>
      <c r="AHQ115" s="47"/>
      <c r="AHR115" s="47"/>
      <c r="AHS115" s="47"/>
      <c r="AHT115" s="47"/>
      <c r="AHU115" s="47"/>
      <c r="AHV115" s="47"/>
      <c r="AHW115" s="47"/>
      <c r="AHX115" s="47"/>
      <c r="AHY115" s="47"/>
      <c r="AHZ115" s="47"/>
      <c r="AIA115" s="47"/>
      <c r="AIB115" s="47"/>
      <c r="AIC115" s="47"/>
      <c r="AID115" s="47"/>
      <c r="AIE115" s="47"/>
      <c r="AIF115" s="47"/>
      <c r="AIG115" s="47"/>
      <c r="AIH115" s="47"/>
      <c r="AII115" s="47"/>
      <c r="AIJ115" s="47"/>
      <c r="AIK115" s="47"/>
      <c r="AIL115" s="47"/>
      <c r="AIM115" s="47"/>
      <c r="AIN115" s="47"/>
      <c r="AIO115" s="47"/>
      <c r="AIP115" s="47"/>
      <c r="AIQ115" s="47"/>
      <c r="AIR115" s="47"/>
      <c r="AIS115" s="47"/>
      <c r="AIT115" s="47"/>
      <c r="AIU115" s="47"/>
      <c r="AIV115" s="47"/>
      <c r="AIW115" s="47"/>
      <c r="AIX115" s="47"/>
      <c r="AIY115" s="47"/>
      <c r="AIZ115" s="47"/>
      <c r="AJA115" s="47"/>
      <c r="AJB115" s="47"/>
      <c r="AJC115" s="47"/>
      <c r="AJD115" s="47"/>
      <c r="AJE115" s="47"/>
      <c r="AJF115" s="47"/>
      <c r="AJG115" s="47"/>
      <c r="AJH115" s="47"/>
      <c r="AJI115" s="47"/>
      <c r="AJJ115" s="47"/>
      <c r="AJK115" s="47"/>
      <c r="AJL115" s="47"/>
      <c r="AJM115" s="47"/>
      <c r="AJN115" s="47"/>
      <c r="AJO115" s="47"/>
      <c r="AJP115" s="47"/>
      <c r="AJQ115" s="47"/>
      <c r="AJR115" s="47"/>
      <c r="AJS115" s="47"/>
      <c r="AJT115" s="47"/>
      <c r="AJU115" s="47"/>
      <c r="AJV115" s="47"/>
      <c r="AJW115" s="47"/>
      <c r="AJX115" s="47"/>
      <c r="AJY115" s="47"/>
      <c r="AJZ115" s="47"/>
      <c r="AKA115" s="47"/>
      <c r="AKB115" s="47"/>
      <c r="AKC115" s="47"/>
      <c r="AKD115" s="47"/>
      <c r="AKE115" s="47"/>
      <c r="AKF115" s="47"/>
      <c r="AKG115" s="47"/>
      <c r="AKH115" s="47"/>
      <c r="AKI115" s="47"/>
      <c r="AKJ115" s="47"/>
      <c r="AKK115" s="47"/>
      <c r="AKL115" s="47"/>
      <c r="AKM115" s="47"/>
      <c r="AKN115" s="47"/>
      <c r="AKO115" s="47"/>
      <c r="AKP115" s="47"/>
      <c r="AKQ115" s="47"/>
      <c r="AKR115" s="47"/>
      <c r="AKS115" s="47"/>
      <c r="AKT115" s="47"/>
      <c r="AKU115" s="47"/>
      <c r="AKV115" s="47"/>
      <c r="AKW115" s="47"/>
      <c r="AKX115" s="47"/>
      <c r="AKY115" s="47"/>
      <c r="AKZ115" s="47"/>
      <c r="ALA115" s="47"/>
      <c r="ALB115" s="47"/>
      <c r="ALC115" s="47"/>
      <c r="ALD115" s="47"/>
      <c r="ALE115" s="47"/>
      <c r="ALF115" s="47"/>
      <c r="ALG115" s="47"/>
      <c r="ALH115" s="47"/>
      <c r="ALI115" s="47"/>
      <c r="ALJ115" s="47"/>
      <c r="ALK115" s="47"/>
      <c r="ALL115" s="47"/>
      <c r="ALM115" s="47"/>
      <c r="ALN115" s="47"/>
      <c r="ALO115" s="47"/>
      <c r="ALP115" s="47"/>
      <c r="ALQ115" s="47"/>
      <c r="ALR115" s="47"/>
      <c r="ALS115" s="47"/>
      <c r="ALT115" s="47"/>
      <c r="ALU115" s="47"/>
      <c r="ALV115" s="47"/>
      <c r="ALW115" s="47"/>
      <c r="ALX115" s="47"/>
      <c r="ALY115" s="47"/>
      <c r="ALZ115" s="47"/>
      <c r="AMA115" s="47"/>
      <c r="AMB115" s="47"/>
      <c r="AMC115" s="47"/>
      <c r="AMD115" s="47"/>
      <c r="AME115" s="47"/>
      <c r="AMF115" s="47"/>
      <c r="AMG115" s="47"/>
      <c r="AMH115" s="47"/>
      <c r="AMI115" s="47"/>
      <c r="AMJ115" s="47"/>
      <c r="AMK115" s="47"/>
      <c r="AML115" s="47"/>
      <c r="AMM115" s="47"/>
      <c r="AMN115" s="47"/>
      <c r="AMO115" s="47"/>
      <c r="AMP115" s="47"/>
      <c r="AMQ115" s="47"/>
      <c r="AMR115" s="47"/>
      <c r="AMS115" s="47"/>
      <c r="AMT115" s="47"/>
      <c r="AMU115" s="47"/>
      <c r="AMV115" s="47"/>
      <c r="AMW115" s="47"/>
      <c r="AMX115" s="47"/>
      <c r="AMY115" s="47"/>
      <c r="AMZ115" s="47"/>
      <c r="ANA115" s="47"/>
      <c r="ANB115" s="47"/>
      <c r="ANC115" s="47"/>
      <c r="AND115" s="47"/>
      <c r="ANE115" s="47"/>
      <c r="ANF115" s="47"/>
      <c r="ANG115" s="47"/>
      <c r="ANH115" s="47"/>
      <c r="ANI115" s="47"/>
      <c r="ANJ115" s="47"/>
      <c r="ANK115" s="47"/>
      <c r="ANL115" s="47"/>
      <c r="ANM115" s="47"/>
      <c r="ANN115" s="47"/>
      <c r="ANO115" s="47"/>
      <c r="ANP115" s="47"/>
      <c r="ANQ115" s="47"/>
      <c r="ANR115" s="47"/>
      <c r="ANS115" s="47"/>
      <c r="ANT115" s="47"/>
      <c r="ANU115" s="47"/>
      <c r="ANV115" s="47"/>
      <c r="ANW115" s="47"/>
      <c r="ANX115" s="47"/>
      <c r="ANY115" s="47"/>
      <c r="ANZ115" s="47"/>
      <c r="AOA115" s="47"/>
      <c r="AOB115" s="47"/>
      <c r="AOC115" s="47"/>
      <c r="AOD115" s="47"/>
      <c r="AOE115" s="47"/>
      <c r="AOF115" s="47"/>
      <c r="AOG115" s="47"/>
      <c r="AOH115" s="47"/>
      <c r="AOI115" s="47"/>
      <c r="AOJ115" s="47"/>
      <c r="AOK115" s="47"/>
      <c r="AOL115" s="47"/>
      <c r="AOM115" s="47"/>
      <c r="AON115" s="47"/>
      <c r="AOO115" s="47"/>
      <c r="AOP115" s="47"/>
      <c r="AOQ115" s="47"/>
      <c r="AOR115" s="47"/>
      <c r="AOS115" s="47"/>
      <c r="AOT115" s="47"/>
      <c r="AOU115" s="47"/>
      <c r="AOV115" s="47"/>
      <c r="AOW115" s="47"/>
      <c r="AOX115" s="47"/>
      <c r="AOY115" s="47"/>
      <c r="AOZ115" s="47"/>
      <c r="APA115" s="47"/>
      <c r="APB115" s="47"/>
      <c r="APC115" s="47"/>
      <c r="APD115" s="47"/>
      <c r="APE115" s="47"/>
      <c r="APF115" s="47"/>
      <c r="APG115" s="47"/>
      <c r="APH115" s="47"/>
      <c r="API115" s="47"/>
      <c r="APJ115" s="47"/>
      <c r="APK115" s="47"/>
      <c r="APL115" s="47"/>
      <c r="APM115" s="47"/>
      <c r="APN115" s="47"/>
      <c r="APO115" s="47"/>
      <c r="APP115" s="47"/>
      <c r="APQ115" s="47"/>
      <c r="APR115" s="47"/>
      <c r="APS115" s="47"/>
      <c r="APT115" s="47"/>
      <c r="APU115" s="47"/>
      <c r="APV115" s="47"/>
      <c r="APW115" s="47"/>
      <c r="APX115" s="47"/>
      <c r="APY115" s="47"/>
      <c r="APZ115" s="47"/>
      <c r="AQA115" s="47"/>
      <c r="AQB115" s="47"/>
      <c r="AQC115" s="47"/>
      <c r="AQD115" s="47"/>
      <c r="AQE115" s="47"/>
      <c r="AQF115" s="47"/>
      <c r="AQG115" s="47"/>
      <c r="AQH115" s="47"/>
      <c r="AQI115" s="47"/>
      <c r="AQJ115" s="47"/>
      <c r="AQK115" s="47"/>
      <c r="AQL115" s="47"/>
      <c r="AQM115" s="47"/>
      <c r="AQN115" s="47"/>
      <c r="AQO115" s="47"/>
      <c r="AQP115" s="47"/>
      <c r="AQQ115" s="47"/>
      <c r="AQR115" s="47"/>
      <c r="AQS115" s="47"/>
      <c r="AQT115" s="47"/>
      <c r="AQU115" s="47"/>
      <c r="AQV115" s="47"/>
      <c r="AQW115" s="47"/>
      <c r="AQX115" s="47"/>
      <c r="AQY115" s="47"/>
      <c r="AQZ115" s="47"/>
      <c r="ARA115" s="47"/>
      <c r="ARB115" s="47"/>
      <c r="ARC115" s="47"/>
      <c r="ARD115" s="47"/>
      <c r="ARE115" s="47"/>
      <c r="ARF115" s="47"/>
      <c r="ARG115" s="47"/>
      <c r="ARH115" s="47"/>
      <c r="ARI115" s="47"/>
      <c r="ARJ115" s="47"/>
      <c r="ARK115" s="47"/>
      <c r="ARL115" s="47"/>
      <c r="ARM115" s="47"/>
      <c r="ARN115" s="47"/>
      <c r="ARO115" s="47"/>
      <c r="ARP115" s="47"/>
      <c r="ARQ115" s="47"/>
      <c r="ARR115" s="47"/>
      <c r="ARS115" s="47"/>
      <c r="ART115" s="47"/>
      <c r="ARU115" s="47"/>
      <c r="ARV115" s="47"/>
      <c r="ARW115" s="47"/>
      <c r="ARX115" s="47"/>
      <c r="ARY115" s="47"/>
      <c r="ARZ115" s="47"/>
      <c r="ASA115" s="47"/>
      <c r="ASB115" s="47"/>
      <c r="ASC115" s="47"/>
      <c r="ASD115" s="47"/>
      <c r="ASE115" s="47"/>
      <c r="ASF115" s="47"/>
      <c r="ASG115" s="47"/>
      <c r="ASH115" s="47"/>
      <c r="ASI115" s="47"/>
      <c r="ASJ115" s="47"/>
      <c r="ASK115" s="47"/>
      <c r="ASL115" s="47"/>
      <c r="ASM115" s="47"/>
      <c r="ASN115" s="47"/>
      <c r="ASO115" s="47"/>
      <c r="ASP115" s="47"/>
      <c r="ASQ115" s="47"/>
      <c r="ASR115" s="47"/>
      <c r="ASS115" s="47"/>
      <c r="AST115" s="47"/>
      <c r="ASU115" s="47"/>
      <c r="ASV115" s="47"/>
      <c r="ASW115" s="47"/>
      <c r="ASX115" s="47"/>
      <c r="ASY115" s="47"/>
      <c r="ASZ115" s="47"/>
      <c r="ATA115" s="47"/>
      <c r="ATB115" s="47"/>
      <c r="ATC115" s="47"/>
      <c r="ATD115" s="47"/>
      <c r="ATE115" s="47"/>
      <c r="ATF115" s="47"/>
      <c r="ATG115" s="47"/>
      <c r="ATH115" s="47"/>
      <c r="ATI115" s="47"/>
      <c r="ATJ115" s="47"/>
      <c r="ATK115" s="47"/>
      <c r="ATL115" s="47"/>
      <c r="ATM115" s="47"/>
      <c r="ATN115" s="47"/>
      <c r="ATO115" s="47"/>
      <c r="ATP115" s="47"/>
      <c r="ATQ115" s="47"/>
      <c r="ATR115" s="47"/>
      <c r="ATS115" s="47"/>
      <c r="ATT115" s="47"/>
      <c r="ATU115" s="47"/>
      <c r="ATV115" s="47"/>
      <c r="ATW115" s="47"/>
      <c r="ATX115" s="47"/>
      <c r="ATY115" s="47"/>
      <c r="ATZ115" s="47"/>
      <c r="AUA115" s="47"/>
      <c r="AUB115" s="47"/>
      <c r="AUC115" s="47"/>
      <c r="AUD115" s="47"/>
      <c r="AUE115" s="47"/>
      <c r="AUF115" s="47"/>
      <c r="AUG115" s="47"/>
      <c r="AUH115" s="47"/>
      <c r="AUI115" s="47"/>
      <c r="AUJ115" s="47"/>
      <c r="AUK115" s="47"/>
      <c r="AUL115" s="47"/>
      <c r="AUM115" s="47"/>
      <c r="AUN115" s="47"/>
      <c r="AUO115" s="47"/>
      <c r="AUP115" s="47"/>
      <c r="AUQ115" s="47"/>
      <c r="AUR115" s="47"/>
      <c r="AUS115" s="47"/>
      <c r="AUT115" s="47"/>
      <c r="AUU115" s="47"/>
      <c r="AUV115" s="47"/>
      <c r="AUW115" s="47"/>
      <c r="AUX115" s="47"/>
      <c r="AUY115" s="47"/>
      <c r="AUZ115" s="47"/>
      <c r="AVA115" s="47"/>
      <c r="AVB115" s="47"/>
      <c r="AVC115" s="47"/>
      <c r="AVD115" s="47"/>
      <c r="AVE115" s="47"/>
      <c r="AVF115" s="47"/>
      <c r="AVG115" s="47"/>
      <c r="AVH115" s="47"/>
      <c r="AVI115" s="47"/>
      <c r="AVJ115" s="47"/>
      <c r="AVK115" s="47"/>
      <c r="AVL115" s="47"/>
      <c r="AVM115" s="47"/>
      <c r="AVN115" s="47"/>
      <c r="AVO115" s="47"/>
      <c r="AVP115" s="47"/>
      <c r="AVQ115" s="47"/>
      <c r="AVR115" s="47"/>
      <c r="AVS115" s="47"/>
      <c r="AVT115" s="47"/>
      <c r="AVU115" s="47"/>
      <c r="AVV115" s="47"/>
      <c r="AVW115" s="47"/>
      <c r="AVX115" s="47"/>
      <c r="AVY115" s="47"/>
      <c r="AVZ115" s="47"/>
      <c r="AWA115" s="47"/>
      <c r="AWB115" s="47"/>
      <c r="AWC115" s="47"/>
      <c r="AWD115" s="47"/>
      <c r="AWE115" s="47"/>
      <c r="AWF115" s="47"/>
      <c r="AWG115" s="47"/>
      <c r="AWH115" s="47"/>
      <c r="AWI115" s="47"/>
      <c r="AWJ115" s="47"/>
      <c r="AWK115" s="47"/>
      <c r="AWL115" s="47"/>
      <c r="AWM115" s="47"/>
      <c r="AWN115" s="47"/>
      <c r="AWO115" s="47"/>
      <c r="AWP115" s="47"/>
      <c r="AWQ115" s="47"/>
      <c r="AWR115" s="47"/>
      <c r="AWS115" s="47"/>
      <c r="AWT115" s="47"/>
      <c r="AWU115" s="47"/>
      <c r="AWV115" s="47"/>
      <c r="AWW115" s="47"/>
      <c r="AWX115" s="47"/>
      <c r="AWY115" s="47"/>
      <c r="AWZ115" s="47"/>
      <c r="AXA115" s="47"/>
      <c r="AXB115" s="47"/>
      <c r="AXC115" s="47"/>
      <c r="AXD115" s="47"/>
      <c r="AXE115" s="47"/>
      <c r="AXF115" s="47"/>
      <c r="AXG115" s="47"/>
      <c r="AXH115" s="47"/>
      <c r="AXI115" s="47"/>
      <c r="AXJ115" s="47"/>
      <c r="AXK115" s="47"/>
      <c r="AXL115" s="47"/>
      <c r="AXM115" s="47"/>
      <c r="AXN115" s="47"/>
      <c r="AXO115" s="47"/>
      <c r="AXP115" s="47"/>
      <c r="AXQ115" s="47"/>
      <c r="AXR115" s="47"/>
      <c r="AXS115" s="47"/>
      <c r="AXT115" s="47"/>
      <c r="AXU115" s="47"/>
      <c r="AXV115" s="47"/>
      <c r="AXW115" s="47"/>
      <c r="AXX115" s="47"/>
      <c r="AXY115" s="47"/>
      <c r="AXZ115" s="47"/>
      <c r="AYA115" s="47"/>
      <c r="AYB115" s="47"/>
      <c r="AYC115" s="47"/>
      <c r="AYD115" s="47"/>
      <c r="AYE115" s="47"/>
      <c r="AYF115" s="47"/>
      <c r="AYG115" s="47"/>
      <c r="AYH115" s="47"/>
      <c r="AYI115" s="47"/>
      <c r="AYJ115" s="47"/>
      <c r="AYK115" s="47"/>
      <c r="AYL115" s="47"/>
      <c r="AYM115" s="47"/>
      <c r="AYN115" s="47"/>
      <c r="AYO115" s="47"/>
      <c r="AYP115" s="47"/>
      <c r="AYQ115" s="47"/>
      <c r="AYR115" s="47"/>
      <c r="AYS115" s="47"/>
      <c r="AYT115" s="47"/>
      <c r="AYU115" s="47"/>
      <c r="AYV115" s="47"/>
      <c r="AYW115" s="47"/>
      <c r="AYX115" s="47"/>
      <c r="AYY115" s="47"/>
      <c r="AYZ115" s="47"/>
      <c r="AZA115" s="47"/>
      <c r="AZB115" s="47"/>
      <c r="AZC115" s="47"/>
      <c r="AZD115" s="47"/>
      <c r="AZE115" s="47"/>
      <c r="AZF115" s="47"/>
      <c r="AZG115" s="47"/>
      <c r="AZH115" s="47"/>
      <c r="AZI115" s="47"/>
      <c r="AZJ115" s="47"/>
      <c r="AZK115" s="47"/>
      <c r="AZL115" s="47"/>
      <c r="AZM115" s="47"/>
      <c r="AZN115" s="47"/>
      <c r="AZO115" s="47"/>
      <c r="AZP115" s="47"/>
      <c r="AZQ115" s="47"/>
      <c r="AZR115" s="47"/>
      <c r="AZS115" s="47"/>
      <c r="AZT115" s="47"/>
      <c r="AZU115" s="47"/>
      <c r="AZV115" s="47"/>
      <c r="AZW115" s="47"/>
      <c r="AZX115" s="47"/>
      <c r="AZY115" s="47"/>
      <c r="AZZ115" s="47"/>
      <c r="BAA115" s="47"/>
      <c r="BAB115" s="47"/>
      <c r="BAC115" s="47"/>
      <c r="BAD115" s="47"/>
      <c r="BAE115" s="47"/>
      <c r="BAF115" s="47"/>
      <c r="BAG115" s="47"/>
      <c r="BAH115" s="47"/>
      <c r="BAI115" s="47"/>
      <c r="BAJ115" s="47"/>
      <c r="BAK115" s="47"/>
      <c r="BAL115" s="47"/>
      <c r="BAM115" s="47"/>
      <c r="BAN115" s="47"/>
      <c r="BAO115" s="47"/>
      <c r="BAP115" s="47"/>
      <c r="BAQ115" s="47"/>
      <c r="BAR115" s="47"/>
      <c r="BAS115" s="47"/>
      <c r="BAT115" s="47"/>
      <c r="BAU115" s="47"/>
      <c r="BAV115" s="47"/>
      <c r="BAW115" s="47"/>
      <c r="BAX115" s="47"/>
      <c r="BAY115" s="47"/>
      <c r="BAZ115" s="47"/>
      <c r="BBA115" s="47"/>
      <c r="BBB115" s="47"/>
      <c r="BBC115" s="47"/>
      <c r="BBD115" s="47"/>
      <c r="BBE115" s="47"/>
      <c r="BBF115" s="47"/>
      <c r="BBG115" s="47"/>
      <c r="BBH115" s="47"/>
      <c r="BBI115" s="47"/>
      <c r="BBJ115" s="47"/>
      <c r="BBK115" s="47"/>
      <c r="BBL115" s="47"/>
      <c r="BBM115" s="47"/>
      <c r="BBN115" s="47"/>
      <c r="BBO115" s="47"/>
      <c r="BBP115" s="47"/>
      <c r="BBQ115" s="47"/>
      <c r="BBR115" s="47"/>
      <c r="BBS115" s="47"/>
      <c r="BBT115" s="47"/>
      <c r="BBU115" s="47"/>
      <c r="BBV115" s="47"/>
      <c r="BBW115" s="47"/>
      <c r="BBX115" s="47"/>
      <c r="BBY115" s="47"/>
      <c r="BBZ115" s="47"/>
      <c r="BCA115" s="47"/>
      <c r="BCB115" s="47"/>
      <c r="BCC115" s="47"/>
      <c r="BCD115" s="47"/>
      <c r="BCE115" s="47"/>
      <c r="BCF115" s="47"/>
      <c r="BCG115" s="47"/>
      <c r="BCH115" s="47"/>
      <c r="BCI115" s="47"/>
      <c r="BCJ115" s="47"/>
      <c r="BCK115" s="47"/>
      <c r="BCL115" s="47"/>
      <c r="BCM115" s="47"/>
      <c r="BCN115" s="47"/>
      <c r="BCO115" s="47"/>
      <c r="BCP115" s="47"/>
      <c r="BCQ115" s="47"/>
      <c r="BCR115" s="47"/>
      <c r="BCS115" s="47"/>
      <c r="BCT115" s="47"/>
      <c r="BCU115" s="47"/>
      <c r="BCV115" s="47"/>
      <c r="BCW115" s="47"/>
      <c r="BCX115" s="47"/>
      <c r="BCY115" s="47"/>
      <c r="BCZ115" s="47"/>
      <c r="BDA115" s="47"/>
      <c r="BDB115" s="47"/>
      <c r="BDC115" s="47"/>
      <c r="BDD115" s="47"/>
      <c r="BDE115" s="47"/>
      <c r="BDF115" s="47"/>
      <c r="BDG115" s="47"/>
      <c r="BDH115" s="47"/>
      <c r="BDI115" s="47"/>
      <c r="BDJ115" s="47"/>
      <c r="BDK115" s="47"/>
      <c r="BDL115" s="47"/>
      <c r="BDM115" s="47"/>
      <c r="BDN115" s="47"/>
      <c r="BDO115" s="47"/>
      <c r="BDP115" s="47"/>
      <c r="BDQ115" s="47"/>
      <c r="BDR115" s="47"/>
      <c r="BDS115" s="47"/>
      <c r="BDT115" s="47"/>
      <c r="BDU115" s="47"/>
      <c r="BDV115" s="47"/>
      <c r="BDW115" s="47"/>
      <c r="BDX115" s="47"/>
      <c r="BDY115" s="47"/>
      <c r="BDZ115" s="47"/>
      <c r="BEA115" s="47"/>
      <c r="BEB115" s="47"/>
      <c r="BEC115" s="47"/>
      <c r="BED115" s="47"/>
      <c r="BEE115" s="47"/>
      <c r="BEF115" s="47"/>
      <c r="BEG115" s="47"/>
      <c r="BEH115" s="47"/>
      <c r="BEI115" s="47"/>
      <c r="BEJ115" s="47"/>
      <c r="BEK115" s="47"/>
      <c r="BEL115" s="47"/>
      <c r="BEM115" s="47"/>
      <c r="BEN115" s="47"/>
      <c r="BEO115" s="47"/>
      <c r="BEP115" s="47"/>
      <c r="BEQ115" s="47"/>
      <c r="BER115" s="47"/>
      <c r="BES115" s="47"/>
      <c r="BET115" s="47"/>
      <c r="BEU115" s="47"/>
      <c r="BEV115" s="47"/>
      <c r="BEW115" s="47"/>
      <c r="BEX115" s="47"/>
      <c r="BEY115" s="47"/>
      <c r="BEZ115" s="47"/>
      <c r="BFA115" s="47"/>
      <c r="BFB115" s="47"/>
      <c r="BFC115" s="47"/>
      <c r="BFD115" s="47"/>
      <c r="BFE115" s="47"/>
      <c r="BFF115" s="47"/>
      <c r="BFG115" s="47"/>
      <c r="BFH115" s="47"/>
      <c r="BFI115" s="47"/>
      <c r="BFJ115" s="47"/>
      <c r="BFK115" s="47"/>
      <c r="BFL115" s="47"/>
      <c r="BFM115" s="47"/>
      <c r="BFN115" s="47"/>
      <c r="BFO115" s="47"/>
      <c r="BFP115" s="47"/>
      <c r="BFQ115" s="47"/>
      <c r="BFR115" s="47"/>
      <c r="BFS115" s="47"/>
      <c r="BFT115" s="47"/>
      <c r="BFU115" s="47"/>
      <c r="BFV115" s="47"/>
      <c r="BFW115" s="47"/>
      <c r="BFX115" s="47"/>
      <c r="BFY115" s="47"/>
      <c r="BFZ115" s="47"/>
      <c r="BGA115" s="47"/>
      <c r="BGB115" s="47"/>
      <c r="BGC115" s="47"/>
      <c r="BGD115" s="47"/>
      <c r="BGE115" s="47"/>
      <c r="BGF115" s="47"/>
      <c r="BGG115" s="47"/>
      <c r="BGH115" s="47"/>
      <c r="BGI115" s="47"/>
      <c r="BGJ115" s="47"/>
      <c r="BGK115" s="47"/>
      <c r="BGL115" s="47"/>
      <c r="BGM115" s="47"/>
      <c r="BGN115" s="47"/>
      <c r="BGO115" s="47"/>
      <c r="BGP115" s="47"/>
      <c r="BGQ115" s="47"/>
      <c r="BGR115" s="47"/>
      <c r="BGS115" s="47"/>
      <c r="BGT115" s="47"/>
      <c r="BGU115" s="47"/>
      <c r="BGV115" s="47"/>
      <c r="BGW115" s="47"/>
      <c r="BGX115" s="47"/>
      <c r="BGY115" s="47"/>
      <c r="BGZ115" s="47"/>
      <c r="BHA115" s="47"/>
      <c r="BHB115" s="47"/>
      <c r="BHC115" s="47"/>
      <c r="BHD115" s="47"/>
      <c r="BHE115" s="47"/>
      <c r="BHF115" s="47"/>
      <c r="BHG115" s="47"/>
      <c r="BHH115" s="47"/>
      <c r="BHI115" s="47"/>
      <c r="BHJ115" s="47"/>
      <c r="BHK115" s="47"/>
      <c r="BHL115" s="47"/>
      <c r="BHM115" s="47"/>
      <c r="BHN115" s="47"/>
      <c r="BHO115" s="47"/>
      <c r="BHP115" s="47"/>
      <c r="BHQ115" s="47"/>
      <c r="BHR115" s="47"/>
      <c r="BHS115" s="47"/>
      <c r="BHT115" s="47"/>
      <c r="BHU115" s="47"/>
      <c r="BHV115" s="47"/>
      <c r="BHW115" s="47"/>
      <c r="BHX115" s="47"/>
      <c r="BHY115" s="47"/>
      <c r="BHZ115" s="47"/>
      <c r="BIA115" s="47"/>
      <c r="BIB115" s="47"/>
      <c r="BIC115" s="47"/>
      <c r="BID115" s="47"/>
      <c r="BIE115" s="47"/>
      <c r="BIF115" s="47"/>
      <c r="BIG115" s="47"/>
      <c r="BIH115" s="47"/>
      <c r="BII115" s="47"/>
      <c r="BIJ115" s="47"/>
      <c r="BIK115" s="47"/>
      <c r="BIL115" s="47"/>
      <c r="BIM115" s="47"/>
      <c r="BIN115" s="47"/>
      <c r="BIO115" s="47"/>
      <c r="BIP115" s="47"/>
      <c r="BIQ115" s="47"/>
      <c r="BIR115" s="47"/>
      <c r="BIS115" s="47"/>
      <c r="BIT115" s="47"/>
      <c r="BIU115" s="47"/>
      <c r="BIV115" s="47"/>
      <c r="BIW115" s="47"/>
      <c r="BIX115" s="47"/>
      <c r="BIY115" s="47"/>
      <c r="BIZ115" s="47"/>
      <c r="BJA115" s="47"/>
      <c r="BJB115" s="47"/>
      <c r="BJC115" s="47"/>
      <c r="BJD115" s="47"/>
      <c r="BJE115" s="47"/>
      <c r="BJF115" s="47"/>
      <c r="BJG115" s="47"/>
      <c r="BJH115" s="47"/>
      <c r="BJI115" s="47"/>
      <c r="BJJ115" s="47"/>
      <c r="BJK115" s="47"/>
      <c r="BJL115" s="47"/>
      <c r="BJM115" s="47"/>
      <c r="BJN115" s="47"/>
      <c r="BJO115" s="47"/>
      <c r="BJP115" s="47"/>
      <c r="BJQ115" s="47"/>
      <c r="BJR115" s="47"/>
      <c r="BJS115" s="47"/>
      <c r="BJT115" s="47"/>
      <c r="BJU115" s="47"/>
      <c r="BJV115" s="47"/>
      <c r="BJW115" s="47"/>
      <c r="BJX115" s="47"/>
      <c r="BJY115" s="47"/>
      <c r="BJZ115" s="47"/>
      <c r="BKA115" s="47"/>
      <c r="BKB115" s="47"/>
      <c r="BKC115" s="47"/>
      <c r="BKD115" s="47"/>
      <c r="BKE115" s="47"/>
      <c r="BKF115" s="47"/>
      <c r="BKG115" s="47"/>
      <c r="BKH115" s="47"/>
      <c r="BKI115" s="47"/>
      <c r="BKJ115" s="47"/>
      <c r="BKK115" s="47"/>
      <c r="BKL115" s="47"/>
      <c r="BKM115" s="47"/>
      <c r="BKN115" s="47"/>
      <c r="BKO115" s="47"/>
      <c r="BKP115" s="47"/>
      <c r="BKQ115" s="47"/>
      <c r="BKR115" s="47"/>
      <c r="BKS115" s="47"/>
      <c r="BKT115" s="47"/>
      <c r="BKU115" s="47"/>
      <c r="BKV115" s="47"/>
      <c r="BKW115" s="47"/>
      <c r="BKX115" s="47"/>
      <c r="BKY115" s="47"/>
      <c r="BKZ115" s="47"/>
      <c r="BLA115" s="47"/>
      <c r="BLB115" s="47"/>
      <c r="BLC115" s="47"/>
      <c r="BLD115" s="47"/>
      <c r="BLE115" s="47"/>
      <c r="BLF115" s="47"/>
      <c r="BLG115" s="47"/>
      <c r="BLH115" s="47"/>
      <c r="BLI115" s="47"/>
      <c r="BLJ115" s="47"/>
      <c r="BLK115" s="47"/>
      <c r="BLL115" s="47"/>
      <c r="BLM115" s="47"/>
      <c r="BLN115" s="47"/>
      <c r="BLO115" s="47"/>
      <c r="BLP115" s="47"/>
      <c r="BLQ115" s="47"/>
      <c r="BLR115" s="47"/>
      <c r="BLS115" s="47"/>
      <c r="BLT115" s="47"/>
      <c r="BLU115" s="47"/>
      <c r="BLV115" s="47"/>
      <c r="BLW115" s="47"/>
      <c r="BLX115" s="47"/>
      <c r="BLY115" s="47"/>
      <c r="BLZ115" s="47"/>
      <c r="BMA115" s="47"/>
      <c r="BMB115" s="47"/>
      <c r="BMC115" s="47"/>
      <c r="BMD115" s="47"/>
      <c r="BME115" s="47"/>
      <c r="BMF115" s="47"/>
      <c r="BMG115" s="47"/>
      <c r="BMH115" s="47"/>
      <c r="BMI115" s="47"/>
      <c r="BMJ115" s="47"/>
      <c r="BMK115" s="47"/>
      <c r="BML115" s="47"/>
      <c r="BMM115" s="47"/>
      <c r="BMN115" s="47"/>
      <c r="BMO115" s="47"/>
      <c r="BMP115" s="47"/>
      <c r="BMQ115" s="47"/>
      <c r="BMR115" s="47"/>
      <c r="BMS115" s="47"/>
      <c r="BMT115" s="47"/>
      <c r="BMU115" s="47"/>
      <c r="BMV115" s="47"/>
      <c r="BMW115" s="47"/>
      <c r="BMX115" s="47"/>
      <c r="BMY115" s="47"/>
      <c r="BMZ115" s="47"/>
      <c r="BNA115" s="47"/>
      <c r="BNB115" s="47"/>
      <c r="BNC115" s="47"/>
      <c r="BND115" s="47"/>
      <c r="BNE115" s="47"/>
      <c r="BNF115" s="47"/>
      <c r="BNG115" s="47"/>
      <c r="BNH115" s="47"/>
      <c r="BNI115" s="47"/>
      <c r="BNJ115" s="47"/>
      <c r="BNK115" s="47"/>
      <c r="BNL115" s="47"/>
      <c r="BNM115" s="47"/>
      <c r="BNN115" s="47"/>
      <c r="BNO115" s="47"/>
      <c r="BNP115" s="47"/>
      <c r="BNQ115" s="47"/>
      <c r="BNR115" s="47"/>
      <c r="BNS115" s="47"/>
      <c r="BNT115" s="47"/>
      <c r="BNU115" s="47"/>
      <c r="BNV115" s="47"/>
      <c r="BNW115" s="47"/>
      <c r="BNX115" s="47"/>
      <c r="BNY115" s="47"/>
      <c r="BNZ115" s="47"/>
      <c r="BOA115" s="47"/>
      <c r="BOB115" s="47"/>
      <c r="BOC115" s="47"/>
      <c r="BOD115" s="47"/>
      <c r="BOE115" s="47"/>
      <c r="BOF115" s="47"/>
      <c r="BOG115" s="47"/>
      <c r="BOH115" s="47"/>
      <c r="BOI115" s="47"/>
      <c r="BOJ115" s="47"/>
      <c r="BOK115" s="47"/>
      <c r="BOL115" s="47"/>
      <c r="BOM115" s="47"/>
      <c r="BON115" s="47"/>
      <c r="BOO115" s="47"/>
      <c r="BOP115" s="47"/>
      <c r="BOQ115" s="47"/>
      <c r="BOR115" s="47"/>
      <c r="BOS115" s="47"/>
      <c r="BOT115" s="47"/>
      <c r="BOU115" s="47"/>
      <c r="BOV115" s="47"/>
      <c r="BOW115" s="47"/>
      <c r="BOX115" s="47"/>
      <c r="BOY115" s="47"/>
      <c r="BOZ115" s="47"/>
      <c r="BPA115" s="47"/>
      <c r="BPB115" s="47"/>
      <c r="BPC115" s="47"/>
      <c r="BPD115" s="47"/>
      <c r="BPE115" s="47"/>
      <c r="BPF115" s="47"/>
      <c r="BPG115" s="47"/>
      <c r="BPH115" s="47"/>
      <c r="BPI115" s="47"/>
      <c r="BPJ115" s="47"/>
      <c r="BPK115" s="47"/>
      <c r="BPL115" s="47"/>
      <c r="BPM115" s="47"/>
      <c r="BPN115" s="47"/>
      <c r="BPO115" s="47"/>
      <c r="BPP115" s="47"/>
      <c r="BPQ115" s="47"/>
      <c r="BPR115" s="47"/>
      <c r="BPS115" s="47"/>
      <c r="BPT115" s="47"/>
      <c r="BPU115" s="47"/>
      <c r="BPV115" s="47"/>
      <c r="BPW115" s="47"/>
      <c r="BPX115" s="47"/>
      <c r="BPY115" s="47"/>
      <c r="BPZ115" s="47"/>
      <c r="BQA115" s="47"/>
      <c r="BQB115" s="47"/>
      <c r="BQC115" s="47"/>
      <c r="BQD115" s="47"/>
      <c r="BQE115" s="47"/>
      <c r="BQF115" s="47"/>
      <c r="BQG115" s="47"/>
      <c r="BQH115" s="47"/>
      <c r="BQI115" s="47"/>
      <c r="BQJ115" s="47"/>
      <c r="BQK115" s="47"/>
      <c r="BQL115" s="47"/>
      <c r="BQM115" s="47"/>
      <c r="BQN115" s="47"/>
      <c r="BQO115" s="47"/>
      <c r="BQP115" s="47"/>
      <c r="BQQ115" s="47"/>
      <c r="BQR115" s="47"/>
      <c r="BQS115" s="47"/>
      <c r="BQT115" s="47"/>
      <c r="BQU115" s="47"/>
      <c r="BQV115" s="47"/>
      <c r="BQW115" s="47"/>
      <c r="BQX115" s="47"/>
      <c r="BQY115" s="47"/>
      <c r="BQZ115" s="47"/>
      <c r="BRA115" s="47"/>
      <c r="BRB115" s="47"/>
      <c r="BRC115" s="47"/>
      <c r="BRD115" s="47"/>
      <c r="BRE115" s="47"/>
      <c r="BRF115" s="47"/>
      <c r="BRG115" s="47"/>
      <c r="BRH115" s="47"/>
      <c r="BRI115" s="47"/>
      <c r="BRJ115" s="47"/>
      <c r="BRK115" s="47"/>
      <c r="BRL115" s="47"/>
      <c r="BRM115" s="47"/>
      <c r="BRN115" s="47"/>
      <c r="BRO115" s="47"/>
      <c r="BRP115" s="47"/>
      <c r="BRQ115" s="47"/>
      <c r="BRR115" s="47"/>
      <c r="BRS115" s="47"/>
      <c r="BRT115" s="47"/>
      <c r="BRU115" s="47"/>
      <c r="BRV115" s="47"/>
      <c r="BRW115" s="47"/>
      <c r="BRX115" s="47"/>
      <c r="BRY115" s="47"/>
      <c r="BRZ115" s="47"/>
      <c r="BSA115" s="47"/>
      <c r="BSB115" s="47"/>
      <c r="BSC115" s="47"/>
      <c r="BSD115" s="47"/>
      <c r="BSE115" s="47"/>
      <c r="BSF115" s="47"/>
      <c r="BSG115" s="47"/>
      <c r="BSH115" s="47"/>
      <c r="BSI115" s="47"/>
      <c r="BSJ115" s="47"/>
      <c r="BSK115" s="47"/>
      <c r="BSL115" s="47"/>
      <c r="BSM115" s="47"/>
      <c r="BSN115" s="47"/>
      <c r="BSO115" s="47"/>
      <c r="BSP115" s="47"/>
      <c r="BSQ115" s="47"/>
      <c r="BSR115" s="47"/>
      <c r="BSS115" s="47"/>
      <c r="BST115" s="47"/>
      <c r="BSU115" s="47"/>
      <c r="BSV115" s="47"/>
      <c r="BSW115" s="47"/>
      <c r="BSX115" s="47"/>
      <c r="BSY115" s="47"/>
      <c r="BSZ115" s="47"/>
      <c r="BTA115" s="47"/>
      <c r="BTB115" s="47"/>
      <c r="BTC115" s="47"/>
      <c r="BTD115" s="47"/>
      <c r="BTE115" s="47"/>
      <c r="BTF115" s="47"/>
      <c r="BTG115" s="47"/>
      <c r="BTH115" s="47"/>
      <c r="BTI115" s="47"/>
      <c r="BTJ115" s="47"/>
      <c r="BTK115" s="47"/>
      <c r="BTL115" s="47"/>
      <c r="BTM115" s="47"/>
      <c r="BTN115" s="47"/>
      <c r="BTO115" s="47"/>
      <c r="BTP115" s="47"/>
      <c r="BTQ115" s="47"/>
      <c r="BTR115" s="47"/>
      <c r="BTS115" s="47"/>
      <c r="BTT115" s="47"/>
      <c r="BTU115" s="47"/>
      <c r="BTV115" s="47"/>
      <c r="BTW115" s="47"/>
      <c r="BTX115" s="47"/>
      <c r="BTY115" s="47"/>
      <c r="BTZ115" s="47"/>
      <c r="BUA115" s="47"/>
      <c r="BUB115" s="47"/>
      <c r="BUC115" s="47"/>
      <c r="BUD115" s="47"/>
      <c r="BUE115" s="47"/>
      <c r="BUF115" s="47"/>
      <c r="BUG115" s="47"/>
      <c r="BUH115" s="47"/>
      <c r="BUI115" s="47"/>
      <c r="BUJ115" s="47"/>
      <c r="BUK115" s="47"/>
      <c r="BUL115" s="47"/>
      <c r="BUM115" s="47"/>
      <c r="BUN115" s="47"/>
      <c r="BUO115" s="47"/>
      <c r="BUP115" s="47"/>
      <c r="BUQ115" s="47"/>
      <c r="BUR115" s="47"/>
      <c r="BUS115" s="47"/>
      <c r="BUT115" s="47"/>
      <c r="BUU115" s="47"/>
      <c r="BUV115" s="47"/>
      <c r="BUW115" s="47"/>
      <c r="BUX115" s="47"/>
      <c r="BUY115" s="47"/>
      <c r="BUZ115" s="47"/>
      <c r="BVA115" s="47"/>
      <c r="BVB115" s="47"/>
      <c r="BVC115" s="47"/>
      <c r="BVD115" s="47"/>
      <c r="BVE115" s="47"/>
      <c r="BVF115" s="47"/>
      <c r="BVG115" s="47"/>
      <c r="BVH115" s="47"/>
      <c r="BVI115" s="47"/>
      <c r="BVJ115" s="47"/>
      <c r="BVK115" s="47"/>
      <c r="BVL115" s="47"/>
      <c r="BVM115" s="47"/>
      <c r="BVN115" s="47"/>
      <c r="BVO115" s="47"/>
      <c r="BVP115" s="47"/>
      <c r="BVQ115" s="47"/>
      <c r="BVR115" s="47"/>
      <c r="BVS115" s="47"/>
      <c r="BVT115" s="47"/>
      <c r="BVU115" s="47"/>
      <c r="BVV115" s="47"/>
      <c r="BVW115" s="47"/>
      <c r="BVX115" s="47"/>
      <c r="BVY115" s="47"/>
      <c r="BVZ115" s="47"/>
      <c r="BWA115" s="47"/>
      <c r="BWB115" s="47"/>
      <c r="BWC115" s="47"/>
      <c r="BWD115" s="47"/>
      <c r="BWE115" s="47"/>
      <c r="BWF115" s="47"/>
      <c r="BWG115" s="47"/>
      <c r="BWH115" s="47"/>
      <c r="BWI115" s="47"/>
      <c r="BWJ115" s="47"/>
      <c r="BWK115" s="47"/>
      <c r="BWL115" s="47"/>
      <c r="BWM115" s="47"/>
      <c r="BWN115" s="47"/>
      <c r="BWO115" s="47"/>
      <c r="BWP115" s="47"/>
      <c r="BWQ115" s="47"/>
      <c r="BWR115" s="47"/>
      <c r="BWS115" s="47"/>
      <c r="BWT115" s="47"/>
      <c r="BWU115" s="47"/>
      <c r="BWV115" s="47"/>
      <c r="BWW115" s="47"/>
      <c r="BWX115" s="47"/>
      <c r="BWY115" s="47"/>
      <c r="BWZ115" s="47"/>
      <c r="BXA115" s="47"/>
      <c r="BXB115" s="47"/>
      <c r="BXC115" s="47"/>
      <c r="BXD115" s="47"/>
      <c r="BXE115" s="47"/>
      <c r="BXF115" s="47"/>
      <c r="BXG115" s="47"/>
      <c r="BXH115" s="47"/>
      <c r="BXI115" s="47"/>
      <c r="BXJ115" s="47"/>
      <c r="BXK115" s="47"/>
      <c r="BXL115" s="47"/>
      <c r="BXM115" s="47"/>
      <c r="BXN115" s="47"/>
      <c r="BXO115" s="47"/>
      <c r="BXP115" s="47"/>
      <c r="BXQ115" s="47"/>
      <c r="BXR115" s="47"/>
      <c r="BXS115" s="47"/>
      <c r="BXT115" s="47"/>
      <c r="BXU115" s="47"/>
      <c r="BXV115" s="47"/>
      <c r="BXW115" s="47"/>
      <c r="BXX115" s="47"/>
      <c r="BXY115" s="47"/>
      <c r="BXZ115" s="47"/>
      <c r="BYA115" s="47"/>
      <c r="BYB115" s="47"/>
      <c r="BYC115" s="47"/>
      <c r="BYD115" s="47"/>
      <c r="BYE115" s="47"/>
      <c r="BYF115" s="47"/>
      <c r="BYG115" s="47"/>
      <c r="BYH115" s="47"/>
      <c r="BYI115" s="47"/>
      <c r="BYJ115" s="47"/>
      <c r="BYK115" s="47"/>
      <c r="BYL115" s="47"/>
      <c r="BYM115" s="47"/>
      <c r="BYN115" s="47"/>
      <c r="BYO115" s="47"/>
      <c r="BYP115" s="47"/>
      <c r="BYQ115" s="47"/>
      <c r="BYR115" s="47"/>
      <c r="BYS115" s="47"/>
      <c r="BYT115" s="47"/>
      <c r="BYU115" s="47"/>
      <c r="BYV115" s="47"/>
      <c r="BYW115" s="47"/>
      <c r="BYX115" s="47"/>
      <c r="BYY115" s="47"/>
      <c r="BYZ115" s="47"/>
      <c r="BZA115" s="47"/>
      <c r="BZB115" s="47"/>
      <c r="BZC115" s="47"/>
      <c r="BZD115" s="47"/>
      <c r="BZE115" s="47"/>
      <c r="BZF115" s="47"/>
      <c r="BZG115" s="47"/>
      <c r="BZH115" s="47"/>
      <c r="BZI115" s="47"/>
      <c r="BZJ115" s="47"/>
      <c r="BZK115" s="47"/>
      <c r="BZL115" s="47"/>
      <c r="BZM115" s="47"/>
      <c r="BZN115" s="47"/>
      <c r="BZO115" s="47"/>
      <c r="BZP115" s="47"/>
      <c r="BZQ115" s="47"/>
      <c r="BZR115" s="47"/>
      <c r="BZS115" s="47"/>
      <c r="BZT115" s="47"/>
      <c r="BZU115" s="47"/>
      <c r="BZV115" s="47"/>
      <c r="BZW115" s="47"/>
      <c r="BZX115" s="47"/>
      <c r="BZY115" s="47"/>
      <c r="BZZ115" s="47"/>
      <c r="CAA115" s="47"/>
      <c r="CAB115" s="47"/>
      <c r="CAC115" s="47"/>
      <c r="CAD115" s="47"/>
      <c r="CAE115" s="47"/>
      <c r="CAF115" s="47"/>
      <c r="CAG115" s="47"/>
      <c r="CAH115" s="47"/>
      <c r="CAI115" s="47"/>
      <c r="CAJ115" s="47"/>
      <c r="CAK115" s="47"/>
      <c r="CAL115" s="47"/>
      <c r="CAM115" s="47"/>
      <c r="CAN115" s="47"/>
      <c r="CAO115" s="47"/>
      <c r="CAP115" s="47"/>
      <c r="CAQ115" s="47"/>
      <c r="CAR115" s="47"/>
      <c r="CAS115" s="47"/>
      <c r="CAT115" s="47"/>
      <c r="CAU115" s="47"/>
      <c r="CAV115" s="47"/>
      <c r="CAW115" s="47"/>
      <c r="CAX115" s="47"/>
      <c r="CAY115" s="47"/>
      <c r="CAZ115" s="47"/>
      <c r="CBA115" s="47"/>
      <c r="CBB115" s="47"/>
      <c r="CBC115" s="47"/>
      <c r="CBD115" s="47"/>
      <c r="CBE115" s="47"/>
      <c r="CBF115" s="47"/>
      <c r="CBG115" s="47"/>
      <c r="CBH115" s="47"/>
    </row>
    <row r="116" spans="1:2088" x14ac:dyDescent="0.2">
      <c r="A116" s="13" t="s">
        <v>123</v>
      </c>
      <c r="B116" s="59" t="str">
        <f t="shared" ref="B116" si="18">IF(B22&gt;=80, "yes", "no")</f>
        <v>no</v>
      </c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  <c r="DS116" s="47"/>
      <c r="DT116" s="47"/>
      <c r="DU116" s="47"/>
      <c r="DV116" s="47"/>
      <c r="DW116" s="47"/>
      <c r="DX116" s="47"/>
      <c r="DY116" s="47"/>
      <c r="DZ116" s="47"/>
      <c r="EA116" s="47"/>
      <c r="EB116" s="47"/>
      <c r="EC116" s="47"/>
      <c r="ED116" s="47"/>
      <c r="EE116" s="47"/>
      <c r="EF116" s="47"/>
      <c r="EG116" s="47"/>
      <c r="EH116" s="47"/>
      <c r="EI116" s="47"/>
      <c r="EJ116" s="47"/>
      <c r="EK116" s="47"/>
      <c r="EL116" s="47"/>
      <c r="EM116" s="47"/>
      <c r="EN116" s="47"/>
      <c r="EO116" s="47"/>
      <c r="EP116" s="47"/>
      <c r="EQ116" s="47"/>
      <c r="ER116" s="47"/>
      <c r="ES116" s="47"/>
      <c r="ET116" s="47"/>
      <c r="EU116" s="47"/>
      <c r="EV116" s="47"/>
      <c r="EW116" s="47"/>
      <c r="EX116" s="47"/>
      <c r="EY116" s="47"/>
      <c r="EZ116" s="47"/>
      <c r="FA116" s="47"/>
      <c r="FB116" s="47"/>
      <c r="FC116" s="47"/>
      <c r="FD116" s="47"/>
      <c r="FE116" s="47"/>
      <c r="FF116" s="47"/>
      <c r="FG116" s="47"/>
      <c r="FH116" s="47"/>
      <c r="FI116" s="47"/>
      <c r="FJ116" s="47"/>
      <c r="FK116" s="47"/>
      <c r="FL116" s="47"/>
      <c r="FM116" s="47"/>
      <c r="FN116" s="47"/>
      <c r="FO116" s="47"/>
      <c r="FP116" s="47"/>
      <c r="FQ116" s="47"/>
      <c r="FR116" s="47"/>
      <c r="FS116" s="47"/>
      <c r="FT116" s="47"/>
      <c r="FU116" s="47"/>
      <c r="FV116" s="47"/>
      <c r="FW116" s="47"/>
      <c r="FX116" s="47"/>
      <c r="FY116" s="47"/>
      <c r="FZ116" s="47"/>
      <c r="GA116" s="47"/>
      <c r="GB116" s="47"/>
      <c r="GC116" s="47"/>
      <c r="GD116" s="47"/>
      <c r="GE116" s="47"/>
      <c r="GF116" s="47"/>
      <c r="GG116" s="47"/>
      <c r="GH116" s="47"/>
      <c r="GI116" s="47"/>
      <c r="GJ116" s="47"/>
      <c r="GK116" s="47"/>
      <c r="GL116" s="47"/>
      <c r="GM116" s="47"/>
      <c r="GN116" s="47"/>
      <c r="GO116" s="47"/>
      <c r="GP116" s="47"/>
      <c r="GQ116" s="47"/>
      <c r="GR116" s="47"/>
      <c r="GS116" s="47"/>
      <c r="GT116" s="47"/>
      <c r="GU116" s="47"/>
      <c r="GV116" s="47"/>
      <c r="GW116" s="47"/>
      <c r="GX116" s="47"/>
      <c r="GY116" s="47"/>
      <c r="GZ116" s="47"/>
      <c r="HA116" s="47"/>
      <c r="HB116" s="47"/>
      <c r="HC116" s="47"/>
      <c r="HD116" s="47"/>
      <c r="HE116" s="47"/>
      <c r="HF116" s="47"/>
      <c r="HG116" s="47"/>
      <c r="HH116" s="47"/>
      <c r="HI116" s="47"/>
      <c r="HJ116" s="47"/>
      <c r="HK116" s="47"/>
      <c r="HL116" s="47"/>
      <c r="HM116" s="47"/>
      <c r="HN116" s="47"/>
      <c r="HO116" s="47"/>
      <c r="HP116" s="47"/>
      <c r="HQ116" s="47"/>
      <c r="HR116" s="47"/>
      <c r="HS116" s="47"/>
      <c r="HT116" s="47"/>
      <c r="HU116" s="47"/>
      <c r="HV116" s="47"/>
      <c r="HW116" s="47"/>
      <c r="HX116" s="47"/>
      <c r="HY116" s="47"/>
      <c r="HZ116" s="47"/>
      <c r="IA116" s="47"/>
      <c r="IB116" s="47"/>
      <c r="IC116" s="47"/>
      <c r="ID116" s="47"/>
      <c r="IE116" s="47"/>
      <c r="IF116" s="47"/>
      <c r="IG116" s="47"/>
      <c r="IH116" s="47"/>
      <c r="II116" s="47"/>
      <c r="IJ116" s="47"/>
      <c r="IK116" s="47"/>
      <c r="IL116" s="47"/>
      <c r="IM116" s="47"/>
      <c r="IN116" s="47"/>
      <c r="IO116" s="47"/>
      <c r="IP116" s="47"/>
      <c r="IQ116" s="47"/>
      <c r="IR116" s="47"/>
      <c r="IS116" s="47"/>
      <c r="IT116" s="47"/>
      <c r="IU116" s="47"/>
      <c r="IV116" s="47"/>
      <c r="IW116" s="47"/>
      <c r="IX116" s="47"/>
      <c r="IY116" s="47"/>
      <c r="IZ116" s="47"/>
      <c r="JA116" s="47"/>
      <c r="JB116" s="47"/>
      <c r="JC116" s="47"/>
      <c r="JD116" s="47"/>
      <c r="JE116" s="47"/>
      <c r="JF116" s="47"/>
      <c r="JG116" s="47"/>
      <c r="JH116" s="47"/>
      <c r="JI116" s="47"/>
      <c r="JJ116" s="47"/>
      <c r="JK116" s="47"/>
      <c r="JL116" s="47"/>
      <c r="JM116" s="47"/>
      <c r="JN116" s="47"/>
      <c r="JO116" s="47"/>
      <c r="JP116" s="47"/>
      <c r="JQ116" s="47"/>
      <c r="JR116" s="47"/>
      <c r="JS116" s="47"/>
      <c r="JT116" s="47"/>
      <c r="JU116" s="47"/>
      <c r="JV116" s="47"/>
      <c r="JW116" s="47"/>
      <c r="JX116" s="47"/>
      <c r="JY116" s="47"/>
      <c r="JZ116" s="47"/>
      <c r="KA116" s="47"/>
      <c r="KB116" s="47"/>
      <c r="KC116" s="47"/>
      <c r="KD116" s="47"/>
      <c r="KE116" s="47"/>
      <c r="KF116" s="47"/>
      <c r="KG116" s="47"/>
      <c r="KH116" s="47"/>
      <c r="KI116" s="47"/>
      <c r="KJ116" s="47"/>
      <c r="KK116" s="47"/>
      <c r="KL116" s="47"/>
      <c r="KM116" s="47"/>
      <c r="KN116" s="47"/>
      <c r="KO116" s="47"/>
      <c r="KP116" s="47"/>
      <c r="KQ116" s="47"/>
      <c r="KR116" s="47"/>
      <c r="KS116" s="47"/>
      <c r="KT116" s="47"/>
      <c r="KU116" s="47"/>
      <c r="KV116" s="47"/>
      <c r="KW116" s="47"/>
      <c r="KX116" s="47"/>
      <c r="KY116" s="47"/>
      <c r="KZ116" s="47"/>
      <c r="LA116" s="47"/>
      <c r="LB116" s="47"/>
      <c r="LC116" s="47"/>
      <c r="LD116" s="47"/>
      <c r="LE116" s="47"/>
      <c r="LF116" s="47"/>
      <c r="LG116" s="47"/>
      <c r="LH116" s="47"/>
      <c r="LI116" s="47"/>
      <c r="LJ116" s="47"/>
      <c r="LK116" s="47"/>
      <c r="LL116" s="47"/>
      <c r="LM116" s="47"/>
      <c r="LN116" s="47"/>
      <c r="LO116" s="47"/>
      <c r="LP116" s="47"/>
      <c r="LQ116" s="47"/>
      <c r="LR116" s="47"/>
      <c r="LS116" s="47"/>
      <c r="LT116" s="47"/>
      <c r="LU116" s="47"/>
      <c r="LV116" s="47"/>
      <c r="LW116" s="47"/>
      <c r="LX116" s="47"/>
      <c r="LY116" s="47"/>
      <c r="LZ116" s="47"/>
      <c r="MA116" s="47"/>
      <c r="MB116" s="47"/>
      <c r="MC116" s="47"/>
      <c r="MD116" s="47"/>
      <c r="ME116" s="47"/>
      <c r="MF116" s="47"/>
      <c r="MG116" s="47"/>
      <c r="MH116" s="47"/>
      <c r="MI116" s="47"/>
      <c r="MJ116" s="47"/>
      <c r="MK116" s="47"/>
      <c r="ML116" s="47"/>
      <c r="MM116" s="47"/>
      <c r="MN116" s="47"/>
      <c r="MO116" s="47"/>
      <c r="MP116" s="47"/>
      <c r="MQ116" s="47"/>
      <c r="MR116" s="47"/>
      <c r="MS116" s="47"/>
      <c r="MT116" s="47"/>
      <c r="MU116" s="47"/>
      <c r="MV116" s="47"/>
      <c r="MW116" s="47"/>
      <c r="MX116" s="47"/>
      <c r="MY116" s="47"/>
      <c r="MZ116" s="47"/>
      <c r="NA116" s="47"/>
      <c r="NB116" s="47"/>
      <c r="NC116" s="47"/>
      <c r="ND116" s="47"/>
      <c r="NE116" s="47"/>
      <c r="NF116" s="47"/>
      <c r="NG116" s="47"/>
      <c r="NH116" s="47"/>
      <c r="NI116" s="47"/>
      <c r="NJ116" s="47"/>
      <c r="NK116" s="47"/>
      <c r="NL116" s="47"/>
      <c r="NM116" s="47"/>
      <c r="NN116" s="47"/>
      <c r="NO116" s="47"/>
      <c r="NP116" s="47"/>
      <c r="NQ116" s="47"/>
      <c r="NR116" s="47"/>
      <c r="NS116" s="47"/>
      <c r="NT116" s="47"/>
      <c r="NU116" s="47"/>
      <c r="NV116" s="47"/>
      <c r="NW116" s="47"/>
      <c r="NX116" s="47"/>
      <c r="NY116" s="47"/>
      <c r="NZ116" s="47"/>
      <c r="OA116" s="47"/>
      <c r="OB116" s="47"/>
      <c r="OC116" s="47"/>
      <c r="OD116" s="47"/>
      <c r="OE116" s="47"/>
      <c r="OF116" s="47"/>
      <c r="OG116" s="47"/>
      <c r="OH116" s="47"/>
      <c r="OI116" s="47"/>
      <c r="OJ116" s="47"/>
      <c r="OK116" s="47"/>
      <c r="OL116" s="47"/>
      <c r="OM116" s="47"/>
      <c r="ON116" s="47"/>
      <c r="OO116" s="47"/>
      <c r="OP116" s="47"/>
      <c r="OQ116" s="47"/>
      <c r="OR116" s="47"/>
      <c r="OS116" s="47"/>
      <c r="OT116" s="47"/>
      <c r="OU116" s="47"/>
      <c r="OV116" s="47"/>
      <c r="OW116" s="47"/>
      <c r="OX116" s="47"/>
      <c r="OY116" s="47"/>
      <c r="OZ116" s="47"/>
      <c r="PA116" s="47"/>
      <c r="PB116" s="47"/>
      <c r="PC116" s="47"/>
      <c r="PD116" s="47"/>
      <c r="PE116" s="47"/>
      <c r="PF116" s="47"/>
      <c r="PG116" s="47"/>
      <c r="PH116" s="47"/>
      <c r="PI116" s="47"/>
      <c r="PJ116" s="47"/>
      <c r="PK116" s="47"/>
      <c r="PL116" s="47"/>
      <c r="PM116" s="47"/>
      <c r="PN116" s="47"/>
      <c r="PO116" s="47"/>
      <c r="PP116" s="47"/>
      <c r="PQ116" s="47"/>
      <c r="PR116" s="47"/>
      <c r="PS116" s="47"/>
      <c r="PT116" s="47"/>
      <c r="PU116" s="47"/>
      <c r="PV116" s="47"/>
      <c r="PW116" s="47"/>
      <c r="PX116" s="47"/>
      <c r="PY116" s="47"/>
      <c r="PZ116" s="47"/>
      <c r="QA116" s="47"/>
      <c r="QB116" s="47"/>
      <c r="QC116" s="47"/>
      <c r="QD116" s="47"/>
      <c r="QE116" s="47"/>
      <c r="QF116" s="47"/>
      <c r="QG116" s="47"/>
      <c r="QH116" s="47"/>
      <c r="QI116" s="47"/>
      <c r="QJ116" s="47"/>
      <c r="QK116" s="47"/>
      <c r="QL116" s="47"/>
      <c r="QM116" s="47"/>
      <c r="QN116" s="47"/>
      <c r="QO116" s="47"/>
      <c r="QP116" s="47"/>
      <c r="QQ116" s="47"/>
      <c r="QR116" s="47"/>
      <c r="QS116" s="47"/>
      <c r="QT116" s="47"/>
      <c r="QU116" s="47"/>
      <c r="QV116" s="47"/>
      <c r="QW116" s="47"/>
      <c r="QX116" s="47"/>
      <c r="QY116" s="47"/>
      <c r="QZ116" s="47"/>
      <c r="RA116" s="47"/>
      <c r="RB116" s="47"/>
      <c r="RC116" s="47"/>
      <c r="RD116" s="47"/>
      <c r="RE116" s="47"/>
      <c r="RF116" s="47"/>
      <c r="RG116" s="47"/>
      <c r="RH116" s="47"/>
      <c r="RI116" s="47"/>
      <c r="RJ116" s="47"/>
      <c r="RK116" s="47"/>
      <c r="RL116" s="47"/>
      <c r="RM116" s="47"/>
      <c r="RN116" s="47"/>
      <c r="RO116" s="47"/>
      <c r="RP116" s="47"/>
      <c r="RQ116" s="47"/>
      <c r="RR116" s="47"/>
      <c r="RS116" s="47"/>
      <c r="RT116" s="47"/>
      <c r="RU116" s="47"/>
      <c r="RV116" s="47"/>
      <c r="RW116" s="47"/>
      <c r="RX116" s="47"/>
      <c r="RY116" s="47"/>
      <c r="RZ116" s="47"/>
      <c r="SA116" s="47"/>
      <c r="SB116" s="47"/>
      <c r="SC116" s="47"/>
      <c r="SD116" s="47"/>
      <c r="SE116" s="47"/>
      <c r="SF116" s="47"/>
      <c r="SG116" s="47"/>
      <c r="SH116" s="47"/>
      <c r="SI116" s="47"/>
      <c r="SJ116" s="47"/>
      <c r="SK116" s="47"/>
      <c r="SL116" s="47"/>
      <c r="SM116" s="47"/>
      <c r="SN116" s="47"/>
      <c r="SO116" s="47"/>
      <c r="SP116" s="47"/>
      <c r="SQ116" s="47"/>
      <c r="SR116" s="47"/>
      <c r="SS116" s="47"/>
      <c r="ST116" s="47"/>
      <c r="SU116" s="47"/>
      <c r="SV116" s="47"/>
      <c r="SW116" s="47"/>
      <c r="SX116" s="47"/>
      <c r="SY116" s="47"/>
      <c r="SZ116" s="47"/>
      <c r="TA116" s="47"/>
      <c r="TB116" s="47"/>
      <c r="TC116" s="47"/>
      <c r="TD116" s="47"/>
      <c r="TE116" s="47"/>
      <c r="TF116" s="47"/>
      <c r="TG116" s="47"/>
      <c r="TH116" s="47"/>
      <c r="TI116" s="47"/>
      <c r="TJ116" s="47"/>
      <c r="TK116" s="47"/>
      <c r="TL116" s="47"/>
      <c r="TM116" s="47"/>
      <c r="TN116" s="47"/>
      <c r="TO116" s="47"/>
      <c r="TP116" s="47"/>
      <c r="TQ116" s="47"/>
      <c r="TR116" s="47"/>
      <c r="TS116" s="47"/>
      <c r="TT116" s="47"/>
      <c r="TU116" s="47"/>
      <c r="TV116" s="47"/>
      <c r="TW116" s="47"/>
      <c r="TX116" s="47"/>
      <c r="TY116" s="47"/>
      <c r="TZ116" s="47"/>
      <c r="UA116" s="47"/>
      <c r="UB116" s="47"/>
      <c r="UC116" s="47"/>
      <c r="UD116" s="47"/>
      <c r="UE116" s="47"/>
      <c r="UF116" s="47"/>
      <c r="UG116" s="47"/>
      <c r="UH116" s="47"/>
      <c r="UI116" s="47"/>
      <c r="UJ116" s="47"/>
      <c r="UK116" s="47"/>
      <c r="UL116" s="47"/>
      <c r="UM116" s="47"/>
      <c r="UN116" s="47"/>
      <c r="UO116" s="47"/>
      <c r="UP116" s="47"/>
      <c r="UQ116" s="47"/>
      <c r="UR116" s="47"/>
      <c r="US116" s="47"/>
      <c r="UT116" s="47"/>
      <c r="UU116" s="47"/>
      <c r="UV116" s="47"/>
      <c r="UW116" s="47"/>
      <c r="UX116" s="47"/>
      <c r="UY116" s="47"/>
      <c r="UZ116" s="47"/>
      <c r="VA116" s="47"/>
      <c r="VB116" s="47"/>
      <c r="VC116" s="47"/>
      <c r="VD116" s="47"/>
      <c r="VE116" s="47"/>
      <c r="VF116" s="47"/>
      <c r="VG116" s="47"/>
      <c r="VH116" s="47"/>
      <c r="VI116" s="47"/>
      <c r="VJ116" s="47"/>
      <c r="VK116" s="47"/>
      <c r="VL116" s="47"/>
      <c r="VM116" s="47"/>
      <c r="VN116" s="47"/>
      <c r="VO116" s="47"/>
      <c r="VP116" s="47"/>
      <c r="VQ116" s="47"/>
      <c r="VR116" s="47"/>
      <c r="VS116" s="47"/>
      <c r="VT116" s="47"/>
      <c r="VU116" s="47"/>
      <c r="VV116" s="47"/>
      <c r="VW116" s="47"/>
      <c r="VX116" s="47"/>
      <c r="VY116" s="47"/>
      <c r="VZ116" s="47"/>
      <c r="WA116" s="47"/>
      <c r="WB116" s="47"/>
      <c r="WC116" s="47"/>
      <c r="WD116" s="47"/>
      <c r="WE116" s="47"/>
      <c r="WF116" s="47"/>
      <c r="WG116" s="47"/>
      <c r="WH116" s="47"/>
      <c r="WI116" s="47"/>
      <c r="WJ116" s="47"/>
      <c r="WK116" s="47"/>
      <c r="WL116" s="47"/>
      <c r="WM116" s="47"/>
      <c r="WN116" s="47"/>
      <c r="WO116" s="47"/>
      <c r="WP116" s="47"/>
      <c r="WQ116" s="47"/>
      <c r="WR116" s="47"/>
      <c r="WS116" s="47"/>
      <c r="WT116" s="47"/>
      <c r="WU116" s="47"/>
      <c r="WV116" s="47"/>
      <c r="WW116" s="47"/>
      <c r="WX116" s="47"/>
      <c r="WY116" s="47"/>
      <c r="WZ116" s="47"/>
      <c r="XA116" s="47"/>
      <c r="XB116" s="47"/>
      <c r="XC116" s="47"/>
      <c r="XD116" s="47"/>
      <c r="XE116" s="47"/>
      <c r="XF116" s="47"/>
      <c r="XG116" s="47"/>
      <c r="XH116" s="47"/>
      <c r="XI116" s="47"/>
      <c r="XJ116" s="47"/>
      <c r="XK116" s="47"/>
      <c r="XL116" s="47"/>
      <c r="XM116" s="47"/>
      <c r="XN116" s="47"/>
      <c r="XO116" s="47"/>
      <c r="XP116" s="47"/>
      <c r="XQ116" s="47"/>
      <c r="XR116" s="47"/>
      <c r="XS116" s="47"/>
      <c r="XT116" s="47"/>
      <c r="XU116" s="47"/>
      <c r="XV116" s="47"/>
      <c r="XW116" s="47"/>
      <c r="XX116" s="47"/>
      <c r="XY116" s="47"/>
      <c r="XZ116" s="47"/>
      <c r="YA116" s="47"/>
      <c r="YB116" s="47"/>
      <c r="YC116" s="47"/>
      <c r="YD116" s="47"/>
      <c r="YE116" s="47"/>
      <c r="YF116" s="47"/>
      <c r="YG116" s="47"/>
      <c r="YH116" s="47"/>
      <c r="YI116" s="47"/>
      <c r="YJ116" s="47"/>
      <c r="YK116" s="47"/>
      <c r="YL116" s="47"/>
      <c r="YM116" s="47"/>
      <c r="YN116" s="47"/>
      <c r="YO116" s="47"/>
      <c r="YP116" s="47"/>
      <c r="YQ116" s="47"/>
      <c r="YR116" s="47"/>
      <c r="YS116" s="47"/>
      <c r="YT116" s="47"/>
      <c r="YU116" s="47"/>
      <c r="YV116" s="47"/>
      <c r="YW116" s="47"/>
      <c r="YX116" s="47"/>
      <c r="YY116" s="47"/>
      <c r="YZ116" s="47"/>
      <c r="ZA116" s="47"/>
      <c r="ZB116" s="47"/>
      <c r="ZC116" s="47"/>
      <c r="ZD116" s="47"/>
      <c r="ZE116" s="47"/>
      <c r="ZF116" s="47"/>
      <c r="ZG116" s="47"/>
      <c r="ZH116" s="47"/>
      <c r="ZI116" s="47"/>
      <c r="ZJ116" s="47"/>
      <c r="ZK116" s="47"/>
      <c r="ZL116" s="47"/>
      <c r="ZM116" s="47"/>
      <c r="ZN116" s="47"/>
      <c r="ZO116" s="47"/>
      <c r="ZP116" s="47"/>
      <c r="ZQ116" s="47"/>
      <c r="ZR116" s="47"/>
      <c r="ZS116" s="47"/>
      <c r="ZT116" s="47"/>
      <c r="ZU116" s="47"/>
      <c r="ZV116" s="47"/>
      <c r="ZW116" s="47"/>
      <c r="ZX116" s="47"/>
      <c r="ZY116" s="47"/>
      <c r="ZZ116" s="47"/>
      <c r="AAA116" s="47"/>
      <c r="AAB116" s="47"/>
      <c r="AAC116" s="47"/>
      <c r="AAD116" s="47"/>
      <c r="AAE116" s="47"/>
      <c r="AAF116" s="47"/>
      <c r="AAG116" s="47"/>
      <c r="AAH116" s="47"/>
      <c r="AAI116" s="47"/>
      <c r="AAJ116" s="47"/>
      <c r="AAK116" s="47"/>
      <c r="AAL116" s="47"/>
      <c r="AAM116" s="47"/>
      <c r="AAN116" s="47"/>
      <c r="AAO116" s="47"/>
      <c r="AAP116" s="47"/>
      <c r="AAQ116" s="47"/>
      <c r="AAR116" s="47"/>
      <c r="AAS116" s="47"/>
      <c r="AAT116" s="47"/>
      <c r="AAU116" s="47"/>
      <c r="AAV116" s="47"/>
      <c r="AAW116" s="47"/>
      <c r="AAX116" s="47"/>
      <c r="AAY116" s="47"/>
      <c r="AAZ116" s="47"/>
      <c r="ABA116" s="47"/>
      <c r="ABB116" s="47"/>
      <c r="ABC116" s="47"/>
      <c r="ABD116" s="47"/>
      <c r="ABE116" s="47"/>
      <c r="ABF116" s="47"/>
      <c r="ABG116" s="47"/>
      <c r="ABH116" s="47"/>
      <c r="ABI116" s="47"/>
      <c r="ABJ116" s="47"/>
      <c r="ABK116" s="47"/>
      <c r="ABL116" s="47"/>
      <c r="ABM116" s="47"/>
      <c r="ABN116" s="47"/>
      <c r="ABO116" s="47"/>
      <c r="ABP116" s="47"/>
      <c r="ABQ116" s="47"/>
      <c r="ABR116" s="47"/>
      <c r="ABS116" s="47"/>
      <c r="ABT116" s="47"/>
      <c r="ABU116" s="47"/>
      <c r="ABV116" s="47"/>
      <c r="ABW116" s="47"/>
      <c r="ABX116" s="47"/>
      <c r="ABY116" s="47"/>
      <c r="ABZ116" s="47"/>
      <c r="ACA116" s="47"/>
      <c r="ACB116" s="47"/>
      <c r="ACC116" s="47"/>
      <c r="ACD116" s="47"/>
      <c r="ACE116" s="47"/>
      <c r="ACF116" s="47"/>
      <c r="ACG116" s="47"/>
      <c r="ACH116" s="47"/>
      <c r="ACI116" s="47"/>
      <c r="ACJ116" s="47"/>
      <c r="ACK116" s="47"/>
      <c r="ACL116" s="47"/>
      <c r="ACM116" s="47"/>
      <c r="ACN116" s="47"/>
      <c r="ACO116" s="47"/>
      <c r="ACP116" s="47"/>
      <c r="ACQ116" s="47"/>
      <c r="ACR116" s="47"/>
      <c r="ACS116" s="47"/>
      <c r="ACT116" s="47"/>
      <c r="ACU116" s="47"/>
      <c r="ACV116" s="47"/>
      <c r="ACW116" s="47"/>
      <c r="ACX116" s="47"/>
      <c r="ACY116" s="47"/>
      <c r="ACZ116" s="47"/>
      <c r="ADA116" s="47"/>
      <c r="ADB116" s="47"/>
      <c r="ADC116" s="47"/>
      <c r="ADD116" s="47"/>
      <c r="ADE116" s="47"/>
      <c r="ADF116" s="47"/>
      <c r="ADG116" s="47"/>
      <c r="ADH116" s="47"/>
      <c r="ADI116" s="47"/>
      <c r="ADJ116" s="47"/>
      <c r="ADK116" s="47"/>
      <c r="ADL116" s="47"/>
      <c r="ADM116" s="47"/>
      <c r="ADN116" s="47"/>
      <c r="ADO116" s="47"/>
      <c r="ADP116" s="47"/>
      <c r="ADQ116" s="47"/>
      <c r="ADR116" s="47"/>
      <c r="ADS116" s="47"/>
      <c r="ADT116" s="47"/>
      <c r="ADU116" s="47"/>
      <c r="ADV116" s="47"/>
      <c r="ADW116" s="47"/>
      <c r="ADX116" s="47"/>
      <c r="ADY116" s="47"/>
      <c r="ADZ116" s="47"/>
      <c r="AEA116" s="47"/>
      <c r="AEB116" s="47"/>
      <c r="AEC116" s="47"/>
      <c r="AED116" s="47"/>
      <c r="AEE116" s="47"/>
      <c r="AEF116" s="47"/>
      <c r="AEG116" s="47"/>
      <c r="AEH116" s="47"/>
      <c r="AEI116" s="47"/>
      <c r="AEJ116" s="47"/>
      <c r="AEK116" s="47"/>
      <c r="AEL116" s="47"/>
      <c r="AEM116" s="47"/>
      <c r="AEN116" s="47"/>
      <c r="AEO116" s="47"/>
      <c r="AEP116" s="47"/>
      <c r="AEQ116" s="47"/>
      <c r="AER116" s="47"/>
      <c r="AES116" s="47"/>
      <c r="AET116" s="47"/>
      <c r="AEU116" s="47"/>
      <c r="AEV116" s="47"/>
      <c r="AEW116" s="47"/>
      <c r="AEX116" s="47"/>
      <c r="AEY116" s="47"/>
      <c r="AEZ116" s="47"/>
      <c r="AFA116" s="47"/>
      <c r="AFB116" s="47"/>
      <c r="AFC116" s="47"/>
      <c r="AFD116" s="47"/>
      <c r="AFE116" s="47"/>
      <c r="AFF116" s="47"/>
      <c r="AFG116" s="47"/>
      <c r="AFH116" s="47"/>
      <c r="AFI116" s="47"/>
      <c r="AFJ116" s="47"/>
      <c r="AFK116" s="47"/>
      <c r="AFL116" s="47"/>
      <c r="AFM116" s="47"/>
      <c r="AFN116" s="47"/>
      <c r="AFO116" s="47"/>
      <c r="AFP116" s="47"/>
      <c r="AFQ116" s="47"/>
      <c r="AFR116" s="47"/>
      <c r="AFS116" s="47"/>
      <c r="AFT116" s="47"/>
      <c r="AFU116" s="47"/>
      <c r="AFV116" s="47"/>
      <c r="AFW116" s="47"/>
      <c r="AFX116" s="47"/>
      <c r="AFY116" s="47"/>
      <c r="AFZ116" s="47"/>
      <c r="AGA116" s="47"/>
      <c r="AGB116" s="47"/>
      <c r="AGC116" s="47"/>
      <c r="AGD116" s="47"/>
      <c r="AGE116" s="47"/>
      <c r="AGF116" s="47"/>
      <c r="AGG116" s="47"/>
      <c r="AGH116" s="47"/>
      <c r="AGI116" s="47"/>
      <c r="AGJ116" s="47"/>
      <c r="AGK116" s="47"/>
      <c r="AGL116" s="47"/>
      <c r="AGM116" s="47"/>
      <c r="AGN116" s="47"/>
      <c r="AGO116" s="47"/>
      <c r="AGP116" s="47"/>
      <c r="AGQ116" s="47"/>
      <c r="AGR116" s="47"/>
      <c r="AGS116" s="47"/>
      <c r="AGT116" s="47"/>
      <c r="AGU116" s="47"/>
      <c r="AGV116" s="47"/>
      <c r="AGW116" s="47"/>
      <c r="AGX116" s="47"/>
      <c r="AGY116" s="47"/>
      <c r="AGZ116" s="47"/>
      <c r="AHA116" s="47"/>
      <c r="AHB116" s="47"/>
      <c r="AHC116" s="47"/>
      <c r="AHD116" s="47"/>
      <c r="AHE116" s="47"/>
      <c r="AHF116" s="47"/>
      <c r="AHG116" s="47"/>
      <c r="AHH116" s="47"/>
      <c r="AHI116" s="47"/>
      <c r="AHJ116" s="47"/>
      <c r="AHK116" s="47"/>
      <c r="AHL116" s="47"/>
      <c r="AHM116" s="47"/>
      <c r="AHN116" s="47"/>
      <c r="AHO116" s="47"/>
      <c r="AHP116" s="47"/>
      <c r="AHQ116" s="47"/>
      <c r="AHR116" s="47"/>
      <c r="AHS116" s="47"/>
      <c r="AHT116" s="47"/>
      <c r="AHU116" s="47"/>
      <c r="AHV116" s="47"/>
      <c r="AHW116" s="47"/>
      <c r="AHX116" s="47"/>
      <c r="AHY116" s="47"/>
      <c r="AHZ116" s="47"/>
      <c r="AIA116" s="47"/>
      <c r="AIB116" s="47"/>
      <c r="AIC116" s="47"/>
      <c r="AID116" s="47"/>
      <c r="AIE116" s="47"/>
      <c r="AIF116" s="47"/>
      <c r="AIG116" s="47"/>
      <c r="AIH116" s="47"/>
      <c r="AII116" s="47"/>
      <c r="AIJ116" s="47"/>
      <c r="AIK116" s="47"/>
      <c r="AIL116" s="47"/>
      <c r="AIM116" s="47"/>
      <c r="AIN116" s="47"/>
      <c r="AIO116" s="47"/>
      <c r="AIP116" s="47"/>
      <c r="AIQ116" s="47"/>
      <c r="AIR116" s="47"/>
      <c r="AIS116" s="47"/>
      <c r="AIT116" s="47"/>
      <c r="AIU116" s="47"/>
      <c r="AIV116" s="47"/>
      <c r="AIW116" s="47"/>
      <c r="AIX116" s="47"/>
      <c r="AIY116" s="47"/>
      <c r="AIZ116" s="47"/>
      <c r="AJA116" s="47"/>
      <c r="AJB116" s="47"/>
      <c r="AJC116" s="47"/>
      <c r="AJD116" s="47"/>
      <c r="AJE116" s="47"/>
      <c r="AJF116" s="47"/>
      <c r="AJG116" s="47"/>
      <c r="AJH116" s="47"/>
      <c r="AJI116" s="47"/>
      <c r="AJJ116" s="47"/>
      <c r="AJK116" s="47"/>
      <c r="AJL116" s="47"/>
      <c r="AJM116" s="47"/>
      <c r="AJN116" s="47"/>
      <c r="AJO116" s="47"/>
      <c r="AJP116" s="47"/>
      <c r="AJQ116" s="47"/>
      <c r="AJR116" s="47"/>
      <c r="AJS116" s="47"/>
      <c r="AJT116" s="47"/>
      <c r="AJU116" s="47"/>
      <c r="AJV116" s="47"/>
      <c r="AJW116" s="47"/>
      <c r="AJX116" s="47"/>
      <c r="AJY116" s="47"/>
      <c r="AJZ116" s="47"/>
      <c r="AKA116" s="47"/>
      <c r="AKB116" s="47"/>
      <c r="AKC116" s="47"/>
      <c r="AKD116" s="47"/>
      <c r="AKE116" s="47"/>
      <c r="AKF116" s="47"/>
      <c r="AKG116" s="47"/>
      <c r="AKH116" s="47"/>
      <c r="AKI116" s="47"/>
      <c r="AKJ116" s="47"/>
      <c r="AKK116" s="47"/>
      <c r="AKL116" s="47"/>
      <c r="AKM116" s="47"/>
      <c r="AKN116" s="47"/>
      <c r="AKO116" s="47"/>
      <c r="AKP116" s="47"/>
      <c r="AKQ116" s="47"/>
      <c r="AKR116" s="47"/>
      <c r="AKS116" s="47"/>
      <c r="AKT116" s="47"/>
      <c r="AKU116" s="47"/>
      <c r="AKV116" s="47"/>
      <c r="AKW116" s="47"/>
      <c r="AKX116" s="47"/>
      <c r="AKY116" s="47"/>
      <c r="AKZ116" s="47"/>
      <c r="ALA116" s="47"/>
      <c r="ALB116" s="47"/>
      <c r="ALC116" s="47"/>
      <c r="ALD116" s="47"/>
      <c r="ALE116" s="47"/>
      <c r="ALF116" s="47"/>
      <c r="ALG116" s="47"/>
      <c r="ALH116" s="47"/>
      <c r="ALI116" s="47"/>
      <c r="ALJ116" s="47"/>
      <c r="ALK116" s="47"/>
      <c r="ALL116" s="47"/>
      <c r="ALM116" s="47"/>
      <c r="ALN116" s="47"/>
      <c r="ALO116" s="47"/>
      <c r="ALP116" s="47"/>
      <c r="ALQ116" s="47"/>
      <c r="ALR116" s="47"/>
      <c r="ALS116" s="47"/>
      <c r="ALT116" s="47"/>
      <c r="ALU116" s="47"/>
      <c r="ALV116" s="47"/>
      <c r="ALW116" s="47"/>
      <c r="ALX116" s="47"/>
      <c r="ALY116" s="47"/>
      <c r="ALZ116" s="47"/>
      <c r="AMA116" s="47"/>
      <c r="AMB116" s="47"/>
      <c r="AMC116" s="47"/>
      <c r="AMD116" s="47"/>
      <c r="AME116" s="47"/>
      <c r="AMF116" s="47"/>
      <c r="AMG116" s="47"/>
      <c r="AMH116" s="47"/>
      <c r="AMI116" s="47"/>
      <c r="AMJ116" s="47"/>
      <c r="AMK116" s="47"/>
      <c r="AML116" s="47"/>
      <c r="AMM116" s="47"/>
      <c r="AMN116" s="47"/>
      <c r="AMO116" s="47"/>
      <c r="AMP116" s="47"/>
      <c r="AMQ116" s="47"/>
      <c r="AMR116" s="47"/>
      <c r="AMS116" s="47"/>
      <c r="AMT116" s="47"/>
      <c r="AMU116" s="47"/>
      <c r="AMV116" s="47"/>
      <c r="AMW116" s="47"/>
      <c r="AMX116" s="47"/>
      <c r="AMY116" s="47"/>
      <c r="AMZ116" s="47"/>
      <c r="ANA116" s="47"/>
      <c r="ANB116" s="47"/>
      <c r="ANC116" s="47"/>
      <c r="AND116" s="47"/>
      <c r="ANE116" s="47"/>
      <c r="ANF116" s="47"/>
      <c r="ANG116" s="47"/>
      <c r="ANH116" s="47"/>
      <c r="ANI116" s="47"/>
      <c r="ANJ116" s="47"/>
      <c r="ANK116" s="47"/>
      <c r="ANL116" s="47"/>
      <c r="ANM116" s="47"/>
      <c r="ANN116" s="47"/>
      <c r="ANO116" s="47"/>
      <c r="ANP116" s="47"/>
      <c r="ANQ116" s="47"/>
      <c r="ANR116" s="47"/>
      <c r="ANS116" s="47"/>
      <c r="ANT116" s="47"/>
      <c r="ANU116" s="47"/>
      <c r="ANV116" s="47"/>
      <c r="ANW116" s="47"/>
      <c r="ANX116" s="47"/>
      <c r="ANY116" s="47"/>
      <c r="ANZ116" s="47"/>
      <c r="AOA116" s="47"/>
      <c r="AOB116" s="47"/>
      <c r="AOC116" s="47"/>
      <c r="AOD116" s="47"/>
      <c r="AOE116" s="47"/>
      <c r="AOF116" s="47"/>
      <c r="AOG116" s="47"/>
      <c r="AOH116" s="47"/>
      <c r="AOI116" s="47"/>
      <c r="AOJ116" s="47"/>
      <c r="AOK116" s="47"/>
      <c r="AOL116" s="47"/>
      <c r="AOM116" s="47"/>
      <c r="AON116" s="47"/>
      <c r="AOO116" s="47"/>
      <c r="AOP116" s="47"/>
      <c r="AOQ116" s="47"/>
      <c r="AOR116" s="47"/>
      <c r="AOS116" s="47"/>
      <c r="AOT116" s="47"/>
      <c r="AOU116" s="47"/>
      <c r="AOV116" s="47"/>
      <c r="AOW116" s="47"/>
      <c r="AOX116" s="47"/>
      <c r="AOY116" s="47"/>
      <c r="AOZ116" s="47"/>
      <c r="APA116" s="47"/>
      <c r="APB116" s="47"/>
      <c r="APC116" s="47"/>
      <c r="APD116" s="47"/>
      <c r="APE116" s="47"/>
      <c r="APF116" s="47"/>
      <c r="APG116" s="47"/>
      <c r="APH116" s="47"/>
      <c r="API116" s="47"/>
      <c r="APJ116" s="47"/>
      <c r="APK116" s="47"/>
      <c r="APL116" s="47"/>
      <c r="APM116" s="47"/>
      <c r="APN116" s="47"/>
      <c r="APO116" s="47"/>
      <c r="APP116" s="47"/>
      <c r="APQ116" s="47"/>
      <c r="APR116" s="47"/>
      <c r="APS116" s="47"/>
      <c r="APT116" s="47"/>
      <c r="APU116" s="47"/>
      <c r="APV116" s="47"/>
      <c r="APW116" s="47"/>
      <c r="APX116" s="47"/>
      <c r="APY116" s="47"/>
      <c r="APZ116" s="47"/>
      <c r="AQA116" s="47"/>
      <c r="AQB116" s="47"/>
      <c r="AQC116" s="47"/>
      <c r="AQD116" s="47"/>
      <c r="AQE116" s="47"/>
      <c r="AQF116" s="47"/>
      <c r="AQG116" s="47"/>
      <c r="AQH116" s="47"/>
      <c r="AQI116" s="47"/>
      <c r="AQJ116" s="47"/>
      <c r="AQK116" s="47"/>
      <c r="AQL116" s="47"/>
      <c r="AQM116" s="47"/>
      <c r="AQN116" s="47"/>
      <c r="AQO116" s="47"/>
      <c r="AQP116" s="47"/>
      <c r="AQQ116" s="47"/>
      <c r="AQR116" s="47"/>
      <c r="AQS116" s="47"/>
      <c r="AQT116" s="47"/>
      <c r="AQU116" s="47"/>
      <c r="AQV116" s="47"/>
      <c r="AQW116" s="47"/>
      <c r="AQX116" s="47"/>
      <c r="AQY116" s="47"/>
      <c r="AQZ116" s="47"/>
      <c r="ARA116" s="47"/>
      <c r="ARB116" s="47"/>
      <c r="ARC116" s="47"/>
      <c r="ARD116" s="47"/>
      <c r="ARE116" s="47"/>
      <c r="ARF116" s="47"/>
      <c r="ARG116" s="47"/>
      <c r="ARH116" s="47"/>
      <c r="ARI116" s="47"/>
      <c r="ARJ116" s="47"/>
      <c r="ARK116" s="47"/>
      <c r="ARL116" s="47"/>
      <c r="ARM116" s="47"/>
      <c r="ARN116" s="47"/>
      <c r="ARO116" s="47"/>
      <c r="ARP116" s="47"/>
      <c r="ARQ116" s="47"/>
      <c r="ARR116" s="47"/>
      <c r="ARS116" s="47"/>
      <c r="ART116" s="47"/>
      <c r="ARU116" s="47"/>
      <c r="ARV116" s="47"/>
      <c r="ARW116" s="47"/>
      <c r="ARX116" s="47"/>
      <c r="ARY116" s="47"/>
      <c r="ARZ116" s="47"/>
      <c r="ASA116" s="47"/>
      <c r="ASB116" s="47"/>
      <c r="ASC116" s="47"/>
      <c r="ASD116" s="47"/>
      <c r="ASE116" s="47"/>
      <c r="ASF116" s="47"/>
      <c r="ASG116" s="47"/>
      <c r="ASH116" s="47"/>
      <c r="ASI116" s="47"/>
      <c r="ASJ116" s="47"/>
      <c r="ASK116" s="47"/>
      <c r="ASL116" s="47"/>
      <c r="ASM116" s="47"/>
      <c r="ASN116" s="47"/>
      <c r="ASO116" s="47"/>
      <c r="ASP116" s="47"/>
      <c r="ASQ116" s="47"/>
      <c r="ASR116" s="47"/>
      <c r="ASS116" s="47"/>
      <c r="AST116" s="47"/>
      <c r="ASU116" s="47"/>
      <c r="ASV116" s="47"/>
      <c r="ASW116" s="47"/>
      <c r="ASX116" s="47"/>
      <c r="ASY116" s="47"/>
      <c r="ASZ116" s="47"/>
      <c r="ATA116" s="47"/>
      <c r="ATB116" s="47"/>
      <c r="ATC116" s="47"/>
      <c r="ATD116" s="47"/>
      <c r="ATE116" s="47"/>
      <c r="ATF116" s="47"/>
      <c r="ATG116" s="47"/>
      <c r="ATH116" s="47"/>
      <c r="ATI116" s="47"/>
      <c r="ATJ116" s="47"/>
      <c r="ATK116" s="47"/>
      <c r="ATL116" s="47"/>
      <c r="ATM116" s="47"/>
      <c r="ATN116" s="47"/>
      <c r="ATO116" s="47"/>
      <c r="ATP116" s="47"/>
      <c r="ATQ116" s="47"/>
      <c r="ATR116" s="47"/>
      <c r="ATS116" s="47"/>
      <c r="ATT116" s="47"/>
      <c r="ATU116" s="47"/>
      <c r="ATV116" s="47"/>
      <c r="ATW116" s="47"/>
      <c r="ATX116" s="47"/>
      <c r="ATY116" s="47"/>
      <c r="ATZ116" s="47"/>
      <c r="AUA116" s="47"/>
      <c r="AUB116" s="47"/>
      <c r="AUC116" s="47"/>
      <c r="AUD116" s="47"/>
      <c r="AUE116" s="47"/>
      <c r="AUF116" s="47"/>
      <c r="AUG116" s="47"/>
      <c r="AUH116" s="47"/>
      <c r="AUI116" s="47"/>
      <c r="AUJ116" s="47"/>
      <c r="AUK116" s="47"/>
      <c r="AUL116" s="47"/>
      <c r="AUM116" s="47"/>
      <c r="AUN116" s="47"/>
      <c r="AUO116" s="47"/>
      <c r="AUP116" s="47"/>
      <c r="AUQ116" s="47"/>
      <c r="AUR116" s="47"/>
      <c r="AUS116" s="47"/>
      <c r="AUT116" s="47"/>
      <c r="AUU116" s="47"/>
      <c r="AUV116" s="47"/>
      <c r="AUW116" s="47"/>
      <c r="AUX116" s="47"/>
      <c r="AUY116" s="47"/>
      <c r="AUZ116" s="47"/>
      <c r="AVA116" s="47"/>
      <c r="AVB116" s="47"/>
      <c r="AVC116" s="47"/>
      <c r="AVD116" s="47"/>
      <c r="AVE116" s="47"/>
      <c r="AVF116" s="47"/>
      <c r="AVG116" s="47"/>
      <c r="AVH116" s="47"/>
      <c r="AVI116" s="47"/>
      <c r="AVJ116" s="47"/>
      <c r="AVK116" s="47"/>
      <c r="AVL116" s="47"/>
      <c r="AVM116" s="47"/>
      <c r="AVN116" s="47"/>
      <c r="AVO116" s="47"/>
      <c r="AVP116" s="47"/>
      <c r="AVQ116" s="47"/>
      <c r="AVR116" s="47"/>
      <c r="AVS116" s="47"/>
      <c r="AVT116" s="47"/>
      <c r="AVU116" s="47"/>
      <c r="AVV116" s="47"/>
      <c r="AVW116" s="47"/>
      <c r="AVX116" s="47"/>
      <c r="AVY116" s="47"/>
      <c r="AVZ116" s="47"/>
      <c r="AWA116" s="47"/>
      <c r="AWB116" s="47"/>
      <c r="AWC116" s="47"/>
      <c r="AWD116" s="47"/>
      <c r="AWE116" s="47"/>
      <c r="AWF116" s="47"/>
      <c r="AWG116" s="47"/>
      <c r="AWH116" s="47"/>
      <c r="AWI116" s="47"/>
      <c r="AWJ116" s="47"/>
      <c r="AWK116" s="47"/>
      <c r="AWL116" s="47"/>
      <c r="AWM116" s="47"/>
      <c r="AWN116" s="47"/>
      <c r="AWO116" s="47"/>
      <c r="AWP116" s="47"/>
      <c r="AWQ116" s="47"/>
      <c r="AWR116" s="47"/>
      <c r="AWS116" s="47"/>
      <c r="AWT116" s="47"/>
      <c r="AWU116" s="47"/>
      <c r="AWV116" s="47"/>
      <c r="AWW116" s="47"/>
      <c r="AWX116" s="47"/>
      <c r="AWY116" s="47"/>
      <c r="AWZ116" s="47"/>
      <c r="AXA116" s="47"/>
      <c r="AXB116" s="47"/>
      <c r="AXC116" s="47"/>
      <c r="AXD116" s="47"/>
      <c r="AXE116" s="47"/>
      <c r="AXF116" s="47"/>
      <c r="AXG116" s="47"/>
      <c r="AXH116" s="47"/>
      <c r="AXI116" s="47"/>
      <c r="AXJ116" s="47"/>
      <c r="AXK116" s="47"/>
      <c r="AXL116" s="47"/>
      <c r="AXM116" s="47"/>
      <c r="AXN116" s="47"/>
      <c r="AXO116" s="47"/>
      <c r="AXP116" s="47"/>
      <c r="AXQ116" s="47"/>
      <c r="AXR116" s="47"/>
      <c r="AXS116" s="47"/>
      <c r="AXT116" s="47"/>
      <c r="AXU116" s="47"/>
      <c r="AXV116" s="47"/>
      <c r="AXW116" s="47"/>
      <c r="AXX116" s="47"/>
      <c r="AXY116" s="47"/>
      <c r="AXZ116" s="47"/>
      <c r="AYA116" s="47"/>
      <c r="AYB116" s="47"/>
      <c r="AYC116" s="47"/>
      <c r="AYD116" s="47"/>
      <c r="AYE116" s="47"/>
      <c r="AYF116" s="47"/>
      <c r="AYG116" s="47"/>
      <c r="AYH116" s="47"/>
      <c r="AYI116" s="47"/>
      <c r="AYJ116" s="47"/>
      <c r="AYK116" s="47"/>
      <c r="AYL116" s="47"/>
      <c r="AYM116" s="47"/>
      <c r="AYN116" s="47"/>
      <c r="AYO116" s="47"/>
      <c r="AYP116" s="47"/>
      <c r="AYQ116" s="47"/>
      <c r="AYR116" s="47"/>
      <c r="AYS116" s="47"/>
      <c r="AYT116" s="47"/>
      <c r="AYU116" s="47"/>
      <c r="AYV116" s="47"/>
      <c r="AYW116" s="47"/>
      <c r="AYX116" s="47"/>
      <c r="AYY116" s="47"/>
      <c r="AYZ116" s="47"/>
      <c r="AZA116" s="47"/>
      <c r="AZB116" s="47"/>
      <c r="AZC116" s="47"/>
      <c r="AZD116" s="47"/>
      <c r="AZE116" s="47"/>
      <c r="AZF116" s="47"/>
      <c r="AZG116" s="47"/>
      <c r="AZH116" s="47"/>
      <c r="AZI116" s="47"/>
      <c r="AZJ116" s="47"/>
      <c r="AZK116" s="47"/>
      <c r="AZL116" s="47"/>
      <c r="AZM116" s="47"/>
      <c r="AZN116" s="47"/>
      <c r="AZO116" s="47"/>
      <c r="AZP116" s="47"/>
      <c r="AZQ116" s="47"/>
      <c r="AZR116" s="47"/>
      <c r="AZS116" s="47"/>
      <c r="AZT116" s="47"/>
      <c r="AZU116" s="47"/>
      <c r="AZV116" s="47"/>
      <c r="AZW116" s="47"/>
      <c r="AZX116" s="47"/>
      <c r="AZY116" s="47"/>
      <c r="AZZ116" s="47"/>
      <c r="BAA116" s="47"/>
      <c r="BAB116" s="47"/>
      <c r="BAC116" s="47"/>
      <c r="BAD116" s="47"/>
      <c r="BAE116" s="47"/>
      <c r="BAF116" s="47"/>
      <c r="BAG116" s="47"/>
      <c r="BAH116" s="47"/>
      <c r="BAI116" s="47"/>
      <c r="BAJ116" s="47"/>
      <c r="BAK116" s="47"/>
      <c r="BAL116" s="47"/>
      <c r="BAM116" s="47"/>
      <c r="BAN116" s="47"/>
      <c r="BAO116" s="47"/>
      <c r="BAP116" s="47"/>
      <c r="BAQ116" s="47"/>
      <c r="BAR116" s="47"/>
      <c r="BAS116" s="47"/>
      <c r="BAT116" s="47"/>
      <c r="BAU116" s="47"/>
      <c r="BAV116" s="47"/>
      <c r="BAW116" s="47"/>
      <c r="BAX116" s="47"/>
      <c r="BAY116" s="47"/>
      <c r="BAZ116" s="47"/>
      <c r="BBA116" s="47"/>
      <c r="BBB116" s="47"/>
      <c r="BBC116" s="47"/>
      <c r="BBD116" s="47"/>
      <c r="BBE116" s="47"/>
      <c r="BBF116" s="47"/>
      <c r="BBG116" s="47"/>
      <c r="BBH116" s="47"/>
      <c r="BBI116" s="47"/>
      <c r="BBJ116" s="47"/>
      <c r="BBK116" s="47"/>
      <c r="BBL116" s="47"/>
      <c r="BBM116" s="47"/>
      <c r="BBN116" s="47"/>
      <c r="BBO116" s="47"/>
      <c r="BBP116" s="47"/>
      <c r="BBQ116" s="47"/>
      <c r="BBR116" s="47"/>
      <c r="BBS116" s="47"/>
      <c r="BBT116" s="47"/>
      <c r="BBU116" s="47"/>
      <c r="BBV116" s="47"/>
      <c r="BBW116" s="47"/>
      <c r="BBX116" s="47"/>
      <c r="BBY116" s="47"/>
      <c r="BBZ116" s="47"/>
      <c r="BCA116" s="47"/>
      <c r="BCB116" s="47"/>
      <c r="BCC116" s="47"/>
      <c r="BCD116" s="47"/>
      <c r="BCE116" s="47"/>
      <c r="BCF116" s="47"/>
      <c r="BCG116" s="47"/>
      <c r="BCH116" s="47"/>
      <c r="BCI116" s="47"/>
      <c r="BCJ116" s="47"/>
      <c r="BCK116" s="47"/>
      <c r="BCL116" s="47"/>
      <c r="BCM116" s="47"/>
      <c r="BCN116" s="47"/>
      <c r="BCO116" s="47"/>
      <c r="BCP116" s="47"/>
      <c r="BCQ116" s="47"/>
      <c r="BCR116" s="47"/>
      <c r="BCS116" s="47"/>
      <c r="BCT116" s="47"/>
      <c r="BCU116" s="47"/>
      <c r="BCV116" s="47"/>
      <c r="BCW116" s="47"/>
      <c r="BCX116" s="47"/>
      <c r="BCY116" s="47"/>
      <c r="BCZ116" s="47"/>
      <c r="BDA116" s="47"/>
      <c r="BDB116" s="47"/>
      <c r="BDC116" s="47"/>
      <c r="BDD116" s="47"/>
      <c r="BDE116" s="47"/>
      <c r="BDF116" s="47"/>
      <c r="BDG116" s="47"/>
      <c r="BDH116" s="47"/>
      <c r="BDI116" s="47"/>
      <c r="BDJ116" s="47"/>
      <c r="BDK116" s="47"/>
      <c r="BDL116" s="47"/>
      <c r="BDM116" s="47"/>
      <c r="BDN116" s="47"/>
      <c r="BDO116" s="47"/>
      <c r="BDP116" s="47"/>
      <c r="BDQ116" s="47"/>
      <c r="BDR116" s="47"/>
      <c r="BDS116" s="47"/>
      <c r="BDT116" s="47"/>
      <c r="BDU116" s="47"/>
      <c r="BDV116" s="47"/>
      <c r="BDW116" s="47"/>
      <c r="BDX116" s="47"/>
      <c r="BDY116" s="47"/>
      <c r="BDZ116" s="47"/>
      <c r="BEA116" s="47"/>
      <c r="BEB116" s="47"/>
      <c r="BEC116" s="47"/>
      <c r="BED116" s="47"/>
      <c r="BEE116" s="47"/>
      <c r="BEF116" s="47"/>
      <c r="BEG116" s="47"/>
      <c r="BEH116" s="47"/>
      <c r="BEI116" s="47"/>
      <c r="BEJ116" s="47"/>
      <c r="BEK116" s="47"/>
      <c r="BEL116" s="47"/>
      <c r="BEM116" s="47"/>
      <c r="BEN116" s="47"/>
      <c r="BEO116" s="47"/>
      <c r="BEP116" s="47"/>
      <c r="BEQ116" s="47"/>
      <c r="BER116" s="47"/>
      <c r="BES116" s="47"/>
      <c r="BET116" s="47"/>
      <c r="BEU116" s="47"/>
      <c r="BEV116" s="47"/>
      <c r="BEW116" s="47"/>
      <c r="BEX116" s="47"/>
      <c r="BEY116" s="47"/>
      <c r="BEZ116" s="47"/>
      <c r="BFA116" s="47"/>
      <c r="BFB116" s="47"/>
      <c r="BFC116" s="47"/>
      <c r="BFD116" s="47"/>
      <c r="BFE116" s="47"/>
      <c r="BFF116" s="47"/>
      <c r="BFG116" s="47"/>
      <c r="BFH116" s="47"/>
      <c r="BFI116" s="47"/>
      <c r="BFJ116" s="47"/>
      <c r="BFK116" s="47"/>
      <c r="BFL116" s="47"/>
      <c r="BFM116" s="47"/>
      <c r="BFN116" s="47"/>
      <c r="BFO116" s="47"/>
      <c r="BFP116" s="47"/>
      <c r="BFQ116" s="47"/>
      <c r="BFR116" s="47"/>
      <c r="BFS116" s="47"/>
      <c r="BFT116" s="47"/>
      <c r="BFU116" s="47"/>
      <c r="BFV116" s="47"/>
      <c r="BFW116" s="47"/>
      <c r="BFX116" s="47"/>
      <c r="BFY116" s="47"/>
      <c r="BFZ116" s="47"/>
      <c r="BGA116" s="47"/>
      <c r="BGB116" s="47"/>
      <c r="BGC116" s="47"/>
      <c r="BGD116" s="47"/>
      <c r="BGE116" s="47"/>
      <c r="BGF116" s="47"/>
      <c r="BGG116" s="47"/>
      <c r="BGH116" s="47"/>
      <c r="BGI116" s="47"/>
      <c r="BGJ116" s="47"/>
      <c r="BGK116" s="47"/>
      <c r="BGL116" s="47"/>
      <c r="BGM116" s="47"/>
      <c r="BGN116" s="47"/>
      <c r="BGO116" s="47"/>
      <c r="BGP116" s="47"/>
      <c r="BGQ116" s="47"/>
      <c r="BGR116" s="47"/>
      <c r="BGS116" s="47"/>
      <c r="BGT116" s="47"/>
      <c r="BGU116" s="47"/>
      <c r="BGV116" s="47"/>
      <c r="BGW116" s="47"/>
      <c r="BGX116" s="47"/>
      <c r="BGY116" s="47"/>
      <c r="BGZ116" s="47"/>
      <c r="BHA116" s="47"/>
      <c r="BHB116" s="47"/>
      <c r="BHC116" s="47"/>
      <c r="BHD116" s="47"/>
      <c r="BHE116" s="47"/>
      <c r="BHF116" s="47"/>
      <c r="BHG116" s="47"/>
      <c r="BHH116" s="47"/>
      <c r="BHI116" s="47"/>
      <c r="BHJ116" s="47"/>
      <c r="BHK116" s="47"/>
      <c r="BHL116" s="47"/>
      <c r="BHM116" s="47"/>
      <c r="BHN116" s="47"/>
      <c r="BHO116" s="47"/>
      <c r="BHP116" s="47"/>
      <c r="BHQ116" s="47"/>
      <c r="BHR116" s="47"/>
      <c r="BHS116" s="47"/>
      <c r="BHT116" s="47"/>
      <c r="BHU116" s="47"/>
      <c r="BHV116" s="47"/>
      <c r="BHW116" s="47"/>
      <c r="BHX116" s="47"/>
      <c r="BHY116" s="47"/>
      <c r="BHZ116" s="47"/>
      <c r="BIA116" s="47"/>
      <c r="BIB116" s="47"/>
      <c r="BIC116" s="47"/>
      <c r="BID116" s="47"/>
      <c r="BIE116" s="47"/>
      <c r="BIF116" s="47"/>
      <c r="BIG116" s="47"/>
      <c r="BIH116" s="47"/>
      <c r="BII116" s="47"/>
      <c r="BIJ116" s="47"/>
      <c r="BIK116" s="47"/>
      <c r="BIL116" s="47"/>
      <c r="BIM116" s="47"/>
      <c r="BIN116" s="47"/>
      <c r="BIO116" s="47"/>
      <c r="BIP116" s="47"/>
      <c r="BIQ116" s="47"/>
      <c r="BIR116" s="47"/>
      <c r="BIS116" s="47"/>
      <c r="BIT116" s="47"/>
      <c r="BIU116" s="47"/>
      <c r="BIV116" s="47"/>
      <c r="BIW116" s="47"/>
      <c r="BIX116" s="47"/>
      <c r="BIY116" s="47"/>
      <c r="BIZ116" s="47"/>
      <c r="BJA116" s="47"/>
      <c r="BJB116" s="47"/>
      <c r="BJC116" s="47"/>
      <c r="BJD116" s="47"/>
      <c r="BJE116" s="47"/>
      <c r="BJF116" s="47"/>
      <c r="BJG116" s="47"/>
      <c r="BJH116" s="47"/>
      <c r="BJI116" s="47"/>
      <c r="BJJ116" s="47"/>
      <c r="BJK116" s="47"/>
      <c r="BJL116" s="47"/>
      <c r="BJM116" s="47"/>
      <c r="BJN116" s="47"/>
      <c r="BJO116" s="47"/>
      <c r="BJP116" s="47"/>
      <c r="BJQ116" s="47"/>
      <c r="BJR116" s="47"/>
      <c r="BJS116" s="47"/>
      <c r="BJT116" s="47"/>
      <c r="BJU116" s="47"/>
      <c r="BJV116" s="47"/>
      <c r="BJW116" s="47"/>
      <c r="BJX116" s="47"/>
      <c r="BJY116" s="47"/>
      <c r="BJZ116" s="47"/>
      <c r="BKA116" s="47"/>
      <c r="BKB116" s="47"/>
      <c r="BKC116" s="47"/>
      <c r="BKD116" s="47"/>
      <c r="BKE116" s="47"/>
      <c r="BKF116" s="47"/>
      <c r="BKG116" s="47"/>
      <c r="BKH116" s="47"/>
      <c r="BKI116" s="47"/>
      <c r="BKJ116" s="47"/>
      <c r="BKK116" s="47"/>
      <c r="BKL116" s="47"/>
      <c r="BKM116" s="47"/>
      <c r="BKN116" s="47"/>
      <c r="BKO116" s="47"/>
      <c r="BKP116" s="47"/>
      <c r="BKQ116" s="47"/>
      <c r="BKR116" s="47"/>
      <c r="BKS116" s="47"/>
      <c r="BKT116" s="47"/>
      <c r="BKU116" s="47"/>
      <c r="BKV116" s="47"/>
      <c r="BKW116" s="47"/>
      <c r="BKX116" s="47"/>
      <c r="BKY116" s="47"/>
      <c r="BKZ116" s="47"/>
      <c r="BLA116" s="47"/>
      <c r="BLB116" s="47"/>
      <c r="BLC116" s="47"/>
      <c r="BLD116" s="47"/>
      <c r="BLE116" s="47"/>
      <c r="BLF116" s="47"/>
      <c r="BLG116" s="47"/>
      <c r="BLH116" s="47"/>
      <c r="BLI116" s="47"/>
      <c r="BLJ116" s="47"/>
      <c r="BLK116" s="47"/>
      <c r="BLL116" s="47"/>
      <c r="BLM116" s="47"/>
      <c r="BLN116" s="47"/>
      <c r="BLO116" s="47"/>
      <c r="BLP116" s="47"/>
      <c r="BLQ116" s="47"/>
      <c r="BLR116" s="47"/>
      <c r="BLS116" s="47"/>
      <c r="BLT116" s="47"/>
      <c r="BLU116" s="47"/>
      <c r="BLV116" s="47"/>
      <c r="BLW116" s="47"/>
      <c r="BLX116" s="47"/>
      <c r="BLY116" s="47"/>
      <c r="BLZ116" s="47"/>
      <c r="BMA116" s="47"/>
      <c r="BMB116" s="47"/>
      <c r="BMC116" s="47"/>
      <c r="BMD116" s="47"/>
      <c r="BME116" s="47"/>
      <c r="BMF116" s="47"/>
      <c r="BMG116" s="47"/>
      <c r="BMH116" s="47"/>
      <c r="BMI116" s="47"/>
      <c r="BMJ116" s="47"/>
      <c r="BMK116" s="47"/>
      <c r="BML116" s="47"/>
      <c r="BMM116" s="47"/>
      <c r="BMN116" s="47"/>
      <c r="BMO116" s="47"/>
      <c r="BMP116" s="47"/>
      <c r="BMQ116" s="47"/>
      <c r="BMR116" s="47"/>
      <c r="BMS116" s="47"/>
      <c r="BMT116" s="47"/>
      <c r="BMU116" s="47"/>
      <c r="BMV116" s="47"/>
      <c r="BMW116" s="47"/>
      <c r="BMX116" s="47"/>
      <c r="BMY116" s="47"/>
      <c r="BMZ116" s="47"/>
      <c r="BNA116" s="47"/>
      <c r="BNB116" s="47"/>
      <c r="BNC116" s="47"/>
      <c r="BND116" s="47"/>
      <c r="BNE116" s="47"/>
      <c r="BNF116" s="47"/>
      <c r="BNG116" s="47"/>
      <c r="BNH116" s="47"/>
      <c r="BNI116" s="47"/>
      <c r="BNJ116" s="47"/>
      <c r="BNK116" s="47"/>
      <c r="BNL116" s="47"/>
      <c r="BNM116" s="47"/>
      <c r="BNN116" s="47"/>
      <c r="BNO116" s="47"/>
      <c r="BNP116" s="47"/>
      <c r="BNQ116" s="47"/>
      <c r="BNR116" s="47"/>
      <c r="BNS116" s="47"/>
      <c r="BNT116" s="47"/>
      <c r="BNU116" s="47"/>
      <c r="BNV116" s="47"/>
      <c r="BNW116" s="47"/>
      <c r="BNX116" s="47"/>
      <c r="BNY116" s="47"/>
      <c r="BNZ116" s="47"/>
      <c r="BOA116" s="47"/>
      <c r="BOB116" s="47"/>
      <c r="BOC116" s="47"/>
      <c r="BOD116" s="47"/>
      <c r="BOE116" s="47"/>
      <c r="BOF116" s="47"/>
      <c r="BOG116" s="47"/>
      <c r="BOH116" s="47"/>
      <c r="BOI116" s="47"/>
      <c r="BOJ116" s="47"/>
      <c r="BOK116" s="47"/>
      <c r="BOL116" s="47"/>
      <c r="BOM116" s="47"/>
      <c r="BON116" s="47"/>
      <c r="BOO116" s="47"/>
      <c r="BOP116" s="47"/>
      <c r="BOQ116" s="47"/>
      <c r="BOR116" s="47"/>
      <c r="BOS116" s="47"/>
      <c r="BOT116" s="47"/>
      <c r="BOU116" s="47"/>
      <c r="BOV116" s="47"/>
      <c r="BOW116" s="47"/>
      <c r="BOX116" s="47"/>
      <c r="BOY116" s="47"/>
      <c r="BOZ116" s="47"/>
      <c r="BPA116" s="47"/>
      <c r="BPB116" s="47"/>
      <c r="BPC116" s="47"/>
      <c r="BPD116" s="47"/>
      <c r="BPE116" s="47"/>
      <c r="BPF116" s="47"/>
      <c r="BPG116" s="47"/>
      <c r="BPH116" s="47"/>
      <c r="BPI116" s="47"/>
      <c r="BPJ116" s="47"/>
      <c r="BPK116" s="47"/>
      <c r="BPL116" s="47"/>
      <c r="BPM116" s="47"/>
      <c r="BPN116" s="47"/>
      <c r="BPO116" s="47"/>
      <c r="BPP116" s="47"/>
      <c r="BPQ116" s="47"/>
      <c r="BPR116" s="47"/>
      <c r="BPS116" s="47"/>
      <c r="BPT116" s="47"/>
      <c r="BPU116" s="47"/>
      <c r="BPV116" s="47"/>
      <c r="BPW116" s="47"/>
      <c r="BPX116" s="47"/>
      <c r="BPY116" s="47"/>
      <c r="BPZ116" s="47"/>
      <c r="BQA116" s="47"/>
      <c r="BQB116" s="47"/>
      <c r="BQC116" s="47"/>
      <c r="BQD116" s="47"/>
      <c r="BQE116" s="47"/>
      <c r="BQF116" s="47"/>
      <c r="BQG116" s="47"/>
      <c r="BQH116" s="47"/>
      <c r="BQI116" s="47"/>
      <c r="BQJ116" s="47"/>
      <c r="BQK116" s="47"/>
      <c r="BQL116" s="47"/>
      <c r="BQM116" s="47"/>
      <c r="BQN116" s="47"/>
      <c r="BQO116" s="47"/>
      <c r="BQP116" s="47"/>
      <c r="BQQ116" s="47"/>
      <c r="BQR116" s="47"/>
      <c r="BQS116" s="47"/>
      <c r="BQT116" s="47"/>
      <c r="BQU116" s="47"/>
      <c r="BQV116" s="47"/>
      <c r="BQW116" s="47"/>
      <c r="BQX116" s="47"/>
      <c r="BQY116" s="47"/>
      <c r="BQZ116" s="47"/>
      <c r="BRA116" s="47"/>
      <c r="BRB116" s="47"/>
      <c r="BRC116" s="47"/>
      <c r="BRD116" s="47"/>
      <c r="BRE116" s="47"/>
      <c r="BRF116" s="47"/>
      <c r="BRG116" s="47"/>
      <c r="BRH116" s="47"/>
      <c r="BRI116" s="47"/>
      <c r="BRJ116" s="47"/>
      <c r="BRK116" s="47"/>
      <c r="BRL116" s="47"/>
      <c r="BRM116" s="47"/>
      <c r="BRN116" s="47"/>
      <c r="BRO116" s="47"/>
      <c r="BRP116" s="47"/>
      <c r="BRQ116" s="47"/>
      <c r="BRR116" s="47"/>
      <c r="BRS116" s="47"/>
      <c r="BRT116" s="47"/>
      <c r="BRU116" s="47"/>
      <c r="BRV116" s="47"/>
      <c r="BRW116" s="47"/>
      <c r="BRX116" s="47"/>
      <c r="BRY116" s="47"/>
      <c r="BRZ116" s="47"/>
      <c r="BSA116" s="47"/>
      <c r="BSB116" s="47"/>
      <c r="BSC116" s="47"/>
      <c r="BSD116" s="47"/>
      <c r="BSE116" s="47"/>
      <c r="BSF116" s="47"/>
      <c r="BSG116" s="47"/>
      <c r="BSH116" s="47"/>
      <c r="BSI116" s="47"/>
      <c r="BSJ116" s="47"/>
      <c r="BSK116" s="47"/>
      <c r="BSL116" s="47"/>
      <c r="BSM116" s="47"/>
      <c r="BSN116" s="47"/>
      <c r="BSO116" s="47"/>
      <c r="BSP116" s="47"/>
      <c r="BSQ116" s="47"/>
      <c r="BSR116" s="47"/>
      <c r="BSS116" s="47"/>
      <c r="BST116" s="47"/>
      <c r="BSU116" s="47"/>
      <c r="BSV116" s="47"/>
      <c r="BSW116" s="47"/>
      <c r="BSX116" s="47"/>
      <c r="BSY116" s="47"/>
      <c r="BSZ116" s="47"/>
      <c r="BTA116" s="47"/>
      <c r="BTB116" s="47"/>
      <c r="BTC116" s="47"/>
      <c r="BTD116" s="47"/>
      <c r="BTE116" s="47"/>
      <c r="BTF116" s="47"/>
      <c r="BTG116" s="47"/>
      <c r="BTH116" s="47"/>
      <c r="BTI116" s="47"/>
      <c r="BTJ116" s="47"/>
      <c r="BTK116" s="47"/>
      <c r="BTL116" s="47"/>
      <c r="BTM116" s="47"/>
      <c r="BTN116" s="47"/>
      <c r="BTO116" s="47"/>
      <c r="BTP116" s="47"/>
      <c r="BTQ116" s="47"/>
      <c r="BTR116" s="47"/>
      <c r="BTS116" s="47"/>
      <c r="BTT116" s="47"/>
      <c r="BTU116" s="47"/>
      <c r="BTV116" s="47"/>
      <c r="BTW116" s="47"/>
      <c r="BTX116" s="47"/>
      <c r="BTY116" s="47"/>
      <c r="BTZ116" s="47"/>
      <c r="BUA116" s="47"/>
      <c r="BUB116" s="47"/>
      <c r="BUC116" s="47"/>
      <c r="BUD116" s="47"/>
      <c r="BUE116" s="47"/>
      <c r="BUF116" s="47"/>
      <c r="BUG116" s="47"/>
      <c r="BUH116" s="47"/>
      <c r="BUI116" s="47"/>
      <c r="BUJ116" s="47"/>
      <c r="BUK116" s="47"/>
      <c r="BUL116" s="47"/>
      <c r="BUM116" s="47"/>
      <c r="BUN116" s="47"/>
      <c r="BUO116" s="47"/>
      <c r="BUP116" s="47"/>
      <c r="BUQ116" s="47"/>
      <c r="BUR116" s="47"/>
      <c r="BUS116" s="47"/>
      <c r="BUT116" s="47"/>
      <c r="BUU116" s="47"/>
      <c r="BUV116" s="47"/>
      <c r="BUW116" s="47"/>
      <c r="BUX116" s="47"/>
      <c r="BUY116" s="47"/>
      <c r="BUZ116" s="47"/>
      <c r="BVA116" s="47"/>
      <c r="BVB116" s="47"/>
      <c r="BVC116" s="47"/>
      <c r="BVD116" s="47"/>
      <c r="BVE116" s="47"/>
      <c r="BVF116" s="47"/>
      <c r="BVG116" s="47"/>
      <c r="BVH116" s="47"/>
      <c r="BVI116" s="47"/>
      <c r="BVJ116" s="47"/>
      <c r="BVK116" s="47"/>
      <c r="BVL116" s="47"/>
      <c r="BVM116" s="47"/>
      <c r="BVN116" s="47"/>
      <c r="BVO116" s="47"/>
      <c r="BVP116" s="47"/>
      <c r="BVQ116" s="47"/>
      <c r="BVR116" s="47"/>
      <c r="BVS116" s="47"/>
      <c r="BVT116" s="47"/>
      <c r="BVU116" s="47"/>
      <c r="BVV116" s="47"/>
      <c r="BVW116" s="47"/>
      <c r="BVX116" s="47"/>
      <c r="BVY116" s="47"/>
      <c r="BVZ116" s="47"/>
      <c r="BWA116" s="47"/>
      <c r="BWB116" s="47"/>
      <c r="BWC116" s="47"/>
      <c r="BWD116" s="47"/>
      <c r="BWE116" s="47"/>
      <c r="BWF116" s="47"/>
      <c r="BWG116" s="47"/>
      <c r="BWH116" s="47"/>
      <c r="BWI116" s="47"/>
      <c r="BWJ116" s="47"/>
      <c r="BWK116" s="47"/>
      <c r="BWL116" s="47"/>
      <c r="BWM116" s="47"/>
      <c r="BWN116" s="47"/>
      <c r="BWO116" s="47"/>
      <c r="BWP116" s="47"/>
      <c r="BWQ116" s="47"/>
      <c r="BWR116" s="47"/>
      <c r="BWS116" s="47"/>
      <c r="BWT116" s="47"/>
      <c r="BWU116" s="47"/>
      <c r="BWV116" s="47"/>
      <c r="BWW116" s="47"/>
      <c r="BWX116" s="47"/>
      <c r="BWY116" s="47"/>
      <c r="BWZ116" s="47"/>
      <c r="BXA116" s="47"/>
      <c r="BXB116" s="47"/>
      <c r="BXC116" s="47"/>
      <c r="BXD116" s="47"/>
      <c r="BXE116" s="47"/>
      <c r="BXF116" s="47"/>
      <c r="BXG116" s="47"/>
      <c r="BXH116" s="47"/>
      <c r="BXI116" s="47"/>
      <c r="BXJ116" s="47"/>
      <c r="BXK116" s="47"/>
      <c r="BXL116" s="47"/>
      <c r="BXM116" s="47"/>
      <c r="BXN116" s="47"/>
      <c r="BXO116" s="47"/>
      <c r="BXP116" s="47"/>
      <c r="BXQ116" s="47"/>
      <c r="BXR116" s="47"/>
      <c r="BXS116" s="47"/>
      <c r="BXT116" s="47"/>
      <c r="BXU116" s="47"/>
      <c r="BXV116" s="47"/>
      <c r="BXW116" s="47"/>
      <c r="BXX116" s="47"/>
      <c r="BXY116" s="47"/>
      <c r="BXZ116" s="47"/>
      <c r="BYA116" s="47"/>
      <c r="BYB116" s="47"/>
      <c r="BYC116" s="47"/>
      <c r="BYD116" s="47"/>
      <c r="BYE116" s="47"/>
      <c r="BYF116" s="47"/>
      <c r="BYG116" s="47"/>
      <c r="BYH116" s="47"/>
      <c r="BYI116" s="47"/>
      <c r="BYJ116" s="47"/>
      <c r="BYK116" s="47"/>
      <c r="BYL116" s="47"/>
      <c r="BYM116" s="47"/>
      <c r="BYN116" s="47"/>
      <c r="BYO116" s="47"/>
      <c r="BYP116" s="47"/>
      <c r="BYQ116" s="47"/>
      <c r="BYR116" s="47"/>
      <c r="BYS116" s="47"/>
      <c r="BYT116" s="47"/>
      <c r="BYU116" s="47"/>
      <c r="BYV116" s="47"/>
      <c r="BYW116" s="47"/>
      <c r="BYX116" s="47"/>
      <c r="BYY116" s="47"/>
      <c r="BYZ116" s="47"/>
      <c r="BZA116" s="47"/>
      <c r="BZB116" s="47"/>
      <c r="BZC116" s="47"/>
      <c r="BZD116" s="47"/>
      <c r="BZE116" s="47"/>
      <c r="BZF116" s="47"/>
      <c r="BZG116" s="47"/>
      <c r="BZH116" s="47"/>
      <c r="BZI116" s="47"/>
      <c r="BZJ116" s="47"/>
      <c r="BZK116" s="47"/>
      <c r="BZL116" s="47"/>
      <c r="BZM116" s="47"/>
      <c r="BZN116" s="47"/>
      <c r="BZO116" s="47"/>
      <c r="BZP116" s="47"/>
      <c r="BZQ116" s="47"/>
      <c r="BZR116" s="47"/>
      <c r="BZS116" s="47"/>
      <c r="BZT116" s="47"/>
      <c r="BZU116" s="47"/>
      <c r="BZV116" s="47"/>
      <c r="BZW116" s="47"/>
      <c r="BZX116" s="47"/>
      <c r="BZY116" s="47"/>
      <c r="BZZ116" s="47"/>
      <c r="CAA116" s="47"/>
      <c r="CAB116" s="47"/>
      <c r="CAC116" s="47"/>
      <c r="CAD116" s="47"/>
      <c r="CAE116" s="47"/>
      <c r="CAF116" s="47"/>
      <c r="CAG116" s="47"/>
      <c r="CAH116" s="47"/>
      <c r="CAI116" s="47"/>
      <c r="CAJ116" s="47"/>
      <c r="CAK116" s="47"/>
      <c r="CAL116" s="47"/>
      <c r="CAM116" s="47"/>
      <c r="CAN116" s="47"/>
      <c r="CAO116" s="47"/>
      <c r="CAP116" s="47"/>
      <c r="CAQ116" s="47"/>
      <c r="CAR116" s="47"/>
      <c r="CAS116" s="47"/>
      <c r="CAT116" s="47"/>
      <c r="CAU116" s="47"/>
      <c r="CAV116" s="47"/>
      <c r="CAW116" s="47"/>
      <c r="CAX116" s="47"/>
      <c r="CAY116" s="47"/>
      <c r="CAZ116" s="47"/>
      <c r="CBA116" s="47"/>
      <c r="CBB116" s="47"/>
      <c r="CBC116" s="47"/>
      <c r="CBD116" s="47"/>
      <c r="CBE116" s="47"/>
      <c r="CBF116" s="47"/>
      <c r="CBG116" s="47"/>
      <c r="CBH116" s="47"/>
    </row>
    <row r="117" spans="1:2088" x14ac:dyDescent="0.2">
      <c r="A117" s="13" t="s">
        <v>127</v>
      </c>
      <c r="B117" s="59" t="str">
        <f t="shared" ref="B117" si="19">IFERROR(INDEX($A109:$A112, MATCH("yes", B109:B112, 0)), "")</f>
        <v/>
      </c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  <c r="DS117" s="47"/>
      <c r="DT117" s="47"/>
      <c r="DU117" s="47"/>
      <c r="DV117" s="47"/>
      <c r="DW117" s="47"/>
      <c r="DX117" s="47"/>
      <c r="DY117" s="47"/>
      <c r="DZ117" s="47"/>
      <c r="EA117" s="47"/>
      <c r="EB117" s="47"/>
      <c r="EC117" s="47"/>
      <c r="ED117" s="47"/>
      <c r="EE117" s="47"/>
      <c r="EF117" s="47"/>
      <c r="EG117" s="47"/>
      <c r="EH117" s="47"/>
      <c r="EI117" s="47"/>
      <c r="EJ117" s="47"/>
      <c r="EK117" s="47"/>
      <c r="EL117" s="47"/>
      <c r="EM117" s="47"/>
      <c r="EN117" s="47"/>
      <c r="EO117" s="47"/>
      <c r="EP117" s="47"/>
      <c r="EQ117" s="47"/>
      <c r="ER117" s="47"/>
      <c r="ES117" s="47"/>
      <c r="ET117" s="47"/>
      <c r="EU117" s="47"/>
      <c r="EV117" s="47"/>
      <c r="EW117" s="47"/>
      <c r="EX117" s="47"/>
      <c r="EY117" s="47"/>
      <c r="EZ117" s="47"/>
      <c r="FA117" s="47"/>
      <c r="FB117" s="47"/>
      <c r="FC117" s="47"/>
      <c r="FD117" s="47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7"/>
      <c r="FP117" s="47"/>
      <c r="FQ117" s="47"/>
      <c r="FR117" s="47"/>
      <c r="FS117" s="47"/>
      <c r="FT117" s="47"/>
      <c r="FU117" s="47"/>
      <c r="FV117" s="47"/>
      <c r="FW117" s="47"/>
      <c r="FX117" s="47"/>
      <c r="FY117" s="47"/>
      <c r="FZ117" s="47"/>
      <c r="GA117" s="47"/>
      <c r="GB117" s="47"/>
      <c r="GC117" s="47"/>
      <c r="GD117" s="47"/>
      <c r="GE117" s="47"/>
      <c r="GF117" s="47"/>
      <c r="GG117" s="47"/>
      <c r="GH117" s="47"/>
      <c r="GI117" s="47"/>
      <c r="GJ117" s="47"/>
      <c r="GK117" s="47"/>
      <c r="GL117" s="47"/>
      <c r="GM117" s="47"/>
      <c r="GN117" s="47"/>
      <c r="GO117" s="47"/>
      <c r="GP117" s="47"/>
      <c r="GQ117" s="47"/>
      <c r="GR117" s="47"/>
      <c r="GS117" s="47"/>
      <c r="GT117" s="47"/>
      <c r="GU117" s="47"/>
      <c r="GV117" s="47"/>
      <c r="GW117" s="47"/>
      <c r="GX117" s="47"/>
      <c r="GY117" s="47"/>
      <c r="GZ117" s="47"/>
      <c r="HA117" s="47"/>
      <c r="HB117" s="47"/>
      <c r="HC117" s="47"/>
      <c r="HD117" s="47"/>
      <c r="HE117" s="47"/>
      <c r="HF117" s="47"/>
      <c r="HG117" s="47"/>
      <c r="HH117" s="47"/>
      <c r="HI117" s="47"/>
      <c r="HJ117" s="47"/>
      <c r="HK117" s="47"/>
      <c r="HL117" s="47"/>
      <c r="HM117" s="47"/>
      <c r="HN117" s="47"/>
      <c r="HO117" s="47"/>
      <c r="HP117" s="47"/>
      <c r="HQ117" s="47"/>
      <c r="HR117" s="47"/>
      <c r="HS117" s="47"/>
      <c r="HT117" s="47"/>
      <c r="HU117" s="47"/>
      <c r="HV117" s="47"/>
      <c r="HW117" s="47"/>
      <c r="HX117" s="47"/>
      <c r="HY117" s="47"/>
      <c r="HZ117" s="47"/>
      <c r="IA117" s="47"/>
      <c r="IB117" s="47"/>
      <c r="IC117" s="47"/>
      <c r="ID117" s="47"/>
      <c r="IE117" s="47"/>
      <c r="IF117" s="47"/>
      <c r="IG117" s="47"/>
      <c r="IH117" s="47"/>
      <c r="II117" s="47"/>
      <c r="IJ117" s="47"/>
      <c r="IK117" s="47"/>
      <c r="IL117" s="47"/>
      <c r="IM117" s="47"/>
      <c r="IN117" s="47"/>
      <c r="IO117" s="47"/>
      <c r="IP117" s="47"/>
      <c r="IQ117" s="47"/>
      <c r="IR117" s="47"/>
      <c r="IS117" s="47"/>
      <c r="IT117" s="47"/>
      <c r="IU117" s="47"/>
      <c r="IV117" s="47"/>
      <c r="IW117" s="47"/>
      <c r="IX117" s="47"/>
      <c r="IY117" s="47"/>
      <c r="IZ117" s="47"/>
      <c r="JA117" s="47"/>
      <c r="JB117" s="47"/>
      <c r="JC117" s="47"/>
      <c r="JD117" s="47"/>
      <c r="JE117" s="47"/>
      <c r="JF117" s="47"/>
      <c r="JG117" s="47"/>
      <c r="JH117" s="47"/>
      <c r="JI117" s="47"/>
      <c r="JJ117" s="47"/>
      <c r="JK117" s="47"/>
      <c r="JL117" s="47"/>
      <c r="JM117" s="47"/>
      <c r="JN117" s="47"/>
      <c r="JO117" s="47"/>
      <c r="JP117" s="47"/>
      <c r="JQ117" s="47"/>
      <c r="JR117" s="47"/>
      <c r="JS117" s="47"/>
      <c r="JT117" s="47"/>
      <c r="JU117" s="47"/>
      <c r="JV117" s="47"/>
      <c r="JW117" s="47"/>
      <c r="JX117" s="47"/>
      <c r="JY117" s="47"/>
      <c r="JZ117" s="47"/>
      <c r="KA117" s="47"/>
      <c r="KB117" s="47"/>
      <c r="KC117" s="47"/>
      <c r="KD117" s="47"/>
      <c r="KE117" s="47"/>
      <c r="KF117" s="47"/>
      <c r="KG117" s="47"/>
      <c r="KH117" s="47"/>
      <c r="KI117" s="47"/>
      <c r="KJ117" s="47"/>
      <c r="KK117" s="47"/>
      <c r="KL117" s="47"/>
      <c r="KM117" s="47"/>
      <c r="KN117" s="47"/>
      <c r="KO117" s="47"/>
      <c r="KP117" s="47"/>
      <c r="KQ117" s="47"/>
      <c r="KR117" s="47"/>
      <c r="KS117" s="47"/>
      <c r="KT117" s="47"/>
      <c r="KU117" s="47"/>
      <c r="KV117" s="47"/>
      <c r="KW117" s="47"/>
      <c r="KX117" s="47"/>
      <c r="KY117" s="47"/>
      <c r="KZ117" s="47"/>
      <c r="LA117" s="47"/>
      <c r="LB117" s="47"/>
      <c r="LC117" s="47"/>
      <c r="LD117" s="47"/>
      <c r="LE117" s="47"/>
      <c r="LF117" s="47"/>
      <c r="LG117" s="47"/>
      <c r="LH117" s="47"/>
      <c r="LI117" s="47"/>
      <c r="LJ117" s="47"/>
      <c r="LK117" s="47"/>
      <c r="LL117" s="47"/>
      <c r="LM117" s="47"/>
      <c r="LN117" s="47"/>
      <c r="LO117" s="47"/>
      <c r="LP117" s="47"/>
      <c r="LQ117" s="47"/>
      <c r="LR117" s="47"/>
      <c r="LS117" s="47"/>
      <c r="LT117" s="47"/>
      <c r="LU117" s="47"/>
      <c r="LV117" s="47"/>
      <c r="LW117" s="47"/>
      <c r="LX117" s="47"/>
      <c r="LY117" s="47"/>
      <c r="LZ117" s="47"/>
      <c r="MA117" s="47"/>
      <c r="MB117" s="47"/>
      <c r="MC117" s="47"/>
      <c r="MD117" s="47"/>
      <c r="ME117" s="47"/>
      <c r="MF117" s="47"/>
      <c r="MG117" s="47"/>
      <c r="MH117" s="47"/>
      <c r="MI117" s="47"/>
      <c r="MJ117" s="47"/>
      <c r="MK117" s="47"/>
      <c r="ML117" s="47"/>
      <c r="MM117" s="47"/>
      <c r="MN117" s="47"/>
      <c r="MO117" s="47"/>
      <c r="MP117" s="47"/>
      <c r="MQ117" s="47"/>
      <c r="MR117" s="47"/>
      <c r="MS117" s="47"/>
      <c r="MT117" s="47"/>
      <c r="MU117" s="47"/>
      <c r="MV117" s="47"/>
      <c r="MW117" s="47"/>
      <c r="MX117" s="47"/>
      <c r="MY117" s="47"/>
      <c r="MZ117" s="47"/>
      <c r="NA117" s="47"/>
      <c r="NB117" s="47"/>
      <c r="NC117" s="47"/>
      <c r="ND117" s="47"/>
      <c r="NE117" s="47"/>
      <c r="NF117" s="47"/>
      <c r="NG117" s="47"/>
      <c r="NH117" s="47"/>
      <c r="NI117" s="47"/>
      <c r="NJ117" s="47"/>
      <c r="NK117" s="47"/>
      <c r="NL117" s="47"/>
      <c r="NM117" s="47"/>
      <c r="NN117" s="47"/>
      <c r="NO117" s="47"/>
      <c r="NP117" s="47"/>
      <c r="NQ117" s="47"/>
      <c r="NR117" s="47"/>
      <c r="NS117" s="47"/>
      <c r="NT117" s="47"/>
      <c r="NU117" s="47"/>
      <c r="NV117" s="47"/>
      <c r="NW117" s="47"/>
      <c r="NX117" s="47"/>
      <c r="NY117" s="47"/>
      <c r="NZ117" s="47"/>
      <c r="OA117" s="47"/>
      <c r="OB117" s="47"/>
      <c r="OC117" s="47"/>
      <c r="OD117" s="47"/>
      <c r="OE117" s="47"/>
      <c r="OF117" s="47"/>
      <c r="OG117" s="47"/>
      <c r="OH117" s="47"/>
      <c r="OI117" s="47"/>
      <c r="OJ117" s="47"/>
      <c r="OK117" s="47"/>
      <c r="OL117" s="47"/>
      <c r="OM117" s="47"/>
      <c r="ON117" s="47"/>
      <c r="OO117" s="47"/>
      <c r="OP117" s="47"/>
      <c r="OQ117" s="47"/>
      <c r="OR117" s="47"/>
      <c r="OS117" s="47"/>
      <c r="OT117" s="47"/>
      <c r="OU117" s="47"/>
      <c r="OV117" s="47"/>
      <c r="OW117" s="47"/>
      <c r="OX117" s="47"/>
      <c r="OY117" s="47"/>
      <c r="OZ117" s="47"/>
      <c r="PA117" s="47"/>
      <c r="PB117" s="47"/>
      <c r="PC117" s="47"/>
      <c r="PD117" s="47"/>
      <c r="PE117" s="47"/>
      <c r="PF117" s="47"/>
      <c r="PG117" s="47"/>
      <c r="PH117" s="47"/>
      <c r="PI117" s="47"/>
      <c r="PJ117" s="47"/>
      <c r="PK117" s="47"/>
      <c r="PL117" s="47"/>
      <c r="PM117" s="47"/>
      <c r="PN117" s="47"/>
      <c r="PO117" s="47"/>
      <c r="PP117" s="47"/>
      <c r="PQ117" s="47"/>
      <c r="PR117" s="47"/>
      <c r="PS117" s="47"/>
      <c r="PT117" s="47"/>
      <c r="PU117" s="47"/>
      <c r="PV117" s="47"/>
      <c r="PW117" s="47"/>
      <c r="PX117" s="47"/>
      <c r="PY117" s="47"/>
      <c r="PZ117" s="47"/>
      <c r="QA117" s="47"/>
      <c r="QB117" s="47"/>
      <c r="QC117" s="47"/>
      <c r="QD117" s="47"/>
      <c r="QE117" s="47"/>
      <c r="QF117" s="47"/>
      <c r="QG117" s="47"/>
      <c r="QH117" s="47"/>
      <c r="QI117" s="47"/>
      <c r="QJ117" s="47"/>
      <c r="QK117" s="47"/>
      <c r="QL117" s="47"/>
      <c r="QM117" s="47"/>
      <c r="QN117" s="47"/>
      <c r="QO117" s="47"/>
      <c r="QP117" s="47"/>
      <c r="QQ117" s="47"/>
      <c r="QR117" s="47"/>
      <c r="QS117" s="47"/>
      <c r="QT117" s="47"/>
      <c r="QU117" s="47"/>
      <c r="QV117" s="47"/>
      <c r="QW117" s="47"/>
      <c r="QX117" s="47"/>
      <c r="QY117" s="47"/>
      <c r="QZ117" s="47"/>
      <c r="RA117" s="47"/>
      <c r="RB117" s="47"/>
      <c r="RC117" s="47"/>
      <c r="RD117" s="47"/>
      <c r="RE117" s="47"/>
      <c r="RF117" s="47"/>
      <c r="RG117" s="47"/>
      <c r="RH117" s="47"/>
      <c r="RI117" s="47"/>
      <c r="RJ117" s="47"/>
      <c r="RK117" s="47"/>
      <c r="RL117" s="47"/>
      <c r="RM117" s="47"/>
      <c r="RN117" s="47"/>
      <c r="RO117" s="47"/>
      <c r="RP117" s="47"/>
      <c r="RQ117" s="47"/>
      <c r="RR117" s="47"/>
      <c r="RS117" s="47"/>
      <c r="RT117" s="47"/>
      <c r="RU117" s="47"/>
      <c r="RV117" s="47"/>
      <c r="RW117" s="47"/>
      <c r="RX117" s="47"/>
      <c r="RY117" s="47"/>
      <c r="RZ117" s="47"/>
      <c r="SA117" s="47"/>
      <c r="SB117" s="47"/>
      <c r="SC117" s="47"/>
      <c r="SD117" s="47"/>
      <c r="SE117" s="47"/>
      <c r="SF117" s="47"/>
      <c r="SG117" s="47"/>
      <c r="SH117" s="47"/>
      <c r="SI117" s="47"/>
      <c r="SJ117" s="47"/>
      <c r="SK117" s="47"/>
      <c r="SL117" s="47"/>
      <c r="SM117" s="47"/>
      <c r="SN117" s="47"/>
      <c r="SO117" s="47"/>
      <c r="SP117" s="47"/>
      <c r="SQ117" s="47"/>
      <c r="SR117" s="47"/>
      <c r="SS117" s="47"/>
      <c r="ST117" s="47"/>
      <c r="SU117" s="47"/>
      <c r="SV117" s="47"/>
      <c r="SW117" s="47"/>
      <c r="SX117" s="47"/>
      <c r="SY117" s="47"/>
      <c r="SZ117" s="47"/>
      <c r="TA117" s="47"/>
      <c r="TB117" s="47"/>
      <c r="TC117" s="47"/>
      <c r="TD117" s="47"/>
      <c r="TE117" s="47"/>
      <c r="TF117" s="47"/>
      <c r="TG117" s="47"/>
      <c r="TH117" s="47"/>
      <c r="TI117" s="47"/>
      <c r="TJ117" s="47"/>
      <c r="TK117" s="47"/>
      <c r="TL117" s="47"/>
      <c r="TM117" s="47"/>
      <c r="TN117" s="47"/>
      <c r="TO117" s="47"/>
      <c r="TP117" s="47"/>
      <c r="TQ117" s="47"/>
      <c r="TR117" s="47"/>
      <c r="TS117" s="47"/>
      <c r="TT117" s="47"/>
      <c r="TU117" s="47"/>
      <c r="TV117" s="47"/>
      <c r="TW117" s="47"/>
      <c r="TX117" s="47"/>
      <c r="TY117" s="47"/>
      <c r="TZ117" s="47"/>
      <c r="UA117" s="47"/>
      <c r="UB117" s="47"/>
      <c r="UC117" s="47"/>
      <c r="UD117" s="47"/>
      <c r="UE117" s="47"/>
      <c r="UF117" s="47"/>
      <c r="UG117" s="47"/>
      <c r="UH117" s="47"/>
      <c r="UI117" s="47"/>
      <c r="UJ117" s="47"/>
      <c r="UK117" s="47"/>
      <c r="UL117" s="47"/>
      <c r="UM117" s="47"/>
      <c r="UN117" s="47"/>
      <c r="UO117" s="47"/>
      <c r="UP117" s="47"/>
      <c r="UQ117" s="47"/>
      <c r="UR117" s="47"/>
      <c r="US117" s="47"/>
      <c r="UT117" s="47"/>
      <c r="UU117" s="47"/>
      <c r="UV117" s="47"/>
      <c r="UW117" s="47"/>
      <c r="UX117" s="47"/>
      <c r="UY117" s="47"/>
      <c r="UZ117" s="47"/>
      <c r="VA117" s="47"/>
      <c r="VB117" s="47"/>
      <c r="VC117" s="47"/>
      <c r="VD117" s="47"/>
      <c r="VE117" s="47"/>
      <c r="VF117" s="47"/>
      <c r="VG117" s="47"/>
      <c r="VH117" s="47"/>
      <c r="VI117" s="47"/>
      <c r="VJ117" s="47"/>
      <c r="VK117" s="47"/>
      <c r="VL117" s="47"/>
      <c r="VM117" s="47"/>
      <c r="VN117" s="47"/>
      <c r="VO117" s="47"/>
      <c r="VP117" s="47"/>
      <c r="VQ117" s="47"/>
      <c r="VR117" s="47"/>
      <c r="VS117" s="47"/>
      <c r="VT117" s="47"/>
      <c r="VU117" s="47"/>
      <c r="VV117" s="47"/>
      <c r="VW117" s="47"/>
      <c r="VX117" s="47"/>
      <c r="VY117" s="47"/>
      <c r="VZ117" s="47"/>
      <c r="WA117" s="47"/>
      <c r="WB117" s="47"/>
      <c r="WC117" s="47"/>
      <c r="WD117" s="47"/>
      <c r="WE117" s="47"/>
      <c r="WF117" s="47"/>
      <c r="WG117" s="47"/>
      <c r="WH117" s="47"/>
      <c r="WI117" s="47"/>
      <c r="WJ117" s="47"/>
      <c r="WK117" s="47"/>
      <c r="WL117" s="47"/>
      <c r="WM117" s="47"/>
      <c r="WN117" s="47"/>
      <c r="WO117" s="47"/>
      <c r="WP117" s="47"/>
      <c r="WQ117" s="47"/>
      <c r="WR117" s="47"/>
      <c r="WS117" s="47"/>
      <c r="WT117" s="47"/>
      <c r="WU117" s="47"/>
      <c r="WV117" s="47"/>
      <c r="WW117" s="47"/>
      <c r="WX117" s="47"/>
      <c r="WY117" s="47"/>
      <c r="WZ117" s="47"/>
      <c r="XA117" s="47"/>
      <c r="XB117" s="47"/>
      <c r="XC117" s="47"/>
      <c r="XD117" s="47"/>
      <c r="XE117" s="47"/>
      <c r="XF117" s="47"/>
      <c r="XG117" s="47"/>
      <c r="XH117" s="47"/>
      <c r="XI117" s="47"/>
      <c r="XJ117" s="47"/>
      <c r="XK117" s="47"/>
      <c r="XL117" s="47"/>
      <c r="XM117" s="47"/>
      <c r="XN117" s="47"/>
      <c r="XO117" s="47"/>
      <c r="XP117" s="47"/>
      <c r="XQ117" s="47"/>
      <c r="XR117" s="47"/>
      <c r="XS117" s="47"/>
      <c r="XT117" s="47"/>
      <c r="XU117" s="47"/>
      <c r="XV117" s="47"/>
      <c r="XW117" s="47"/>
      <c r="XX117" s="47"/>
      <c r="XY117" s="47"/>
      <c r="XZ117" s="47"/>
      <c r="YA117" s="47"/>
      <c r="YB117" s="47"/>
      <c r="YC117" s="47"/>
      <c r="YD117" s="47"/>
      <c r="YE117" s="47"/>
      <c r="YF117" s="47"/>
      <c r="YG117" s="47"/>
      <c r="YH117" s="47"/>
      <c r="YI117" s="47"/>
      <c r="YJ117" s="47"/>
      <c r="YK117" s="47"/>
      <c r="YL117" s="47"/>
      <c r="YM117" s="47"/>
      <c r="YN117" s="47"/>
      <c r="YO117" s="47"/>
      <c r="YP117" s="47"/>
      <c r="YQ117" s="47"/>
      <c r="YR117" s="47"/>
      <c r="YS117" s="47"/>
      <c r="YT117" s="47"/>
      <c r="YU117" s="47"/>
      <c r="YV117" s="47"/>
      <c r="YW117" s="47"/>
      <c r="YX117" s="47"/>
      <c r="YY117" s="47"/>
      <c r="YZ117" s="47"/>
      <c r="ZA117" s="47"/>
      <c r="ZB117" s="47"/>
      <c r="ZC117" s="47"/>
      <c r="ZD117" s="47"/>
      <c r="ZE117" s="47"/>
      <c r="ZF117" s="47"/>
      <c r="ZG117" s="47"/>
      <c r="ZH117" s="47"/>
      <c r="ZI117" s="47"/>
      <c r="ZJ117" s="47"/>
      <c r="ZK117" s="47"/>
      <c r="ZL117" s="47"/>
      <c r="ZM117" s="47"/>
      <c r="ZN117" s="47"/>
      <c r="ZO117" s="47"/>
      <c r="ZP117" s="47"/>
      <c r="ZQ117" s="47"/>
      <c r="ZR117" s="47"/>
      <c r="ZS117" s="47"/>
      <c r="ZT117" s="47"/>
      <c r="ZU117" s="47"/>
      <c r="ZV117" s="47"/>
      <c r="ZW117" s="47"/>
      <c r="ZX117" s="47"/>
      <c r="ZY117" s="47"/>
      <c r="ZZ117" s="47"/>
      <c r="AAA117" s="47"/>
      <c r="AAB117" s="47"/>
      <c r="AAC117" s="47"/>
      <c r="AAD117" s="47"/>
      <c r="AAE117" s="47"/>
      <c r="AAF117" s="47"/>
      <c r="AAG117" s="47"/>
      <c r="AAH117" s="47"/>
      <c r="AAI117" s="47"/>
      <c r="AAJ117" s="47"/>
      <c r="AAK117" s="47"/>
      <c r="AAL117" s="47"/>
      <c r="AAM117" s="47"/>
      <c r="AAN117" s="47"/>
      <c r="AAO117" s="47"/>
      <c r="AAP117" s="47"/>
      <c r="AAQ117" s="47"/>
      <c r="AAR117" s="47"/>
      <c r="AAS117" s="47"/>
      <c r="AAT117" s="47"/>
      <c r="AAU117" s="47"/>
      <c r="AAV117" s="47"/>
      <c r="AAW117" s="47"/>
      <c r="AAX117" s="47"/>
      <c r="AAY117" s="47"/>
      <c r="AAZ117" s="47"/>
      <c r="ABA117" s="47"/>
      <c r="ABB117" s="47"/>
      <c r="ABC117" s="47"/>
      <c r="ABD117" s="47"/>
      <c r="ABE117" s="47"/>
      <c r="ABF117" s="47"/>
      <c r="ABG117" s="47"/>
      <c r="ABH117" s="47"/>
      <c r="ABI117" s="47"/>
      <c r="ABJ117" s="47"/>
      <c r="ABK117" s="47"/>
      <c r="ABL117" s="47"/>
      <c r="ABM117" s="47"/>
      <c r="ABN117" s="47"/>
      <c r="ABO117" s="47"/>
      <c r="ABP117" s="47"/>
      <c r="ABQ117" s="47"/>
      <c r="ABR117" s="47"/>
      <c r="ABS117" s="47"/>
      <c r="ABT117" s="47"/>
      <c r="ABU117" s="47"/>
      <c r="ABV117" s="47"/>
      <c r="ABW117" s="47"/>
      <c r="ABX117" s="47"/>
      <c r="ABY117" s="47"/>
      <c r="ABZ117" s="47"/>
      <c r="ACA117" s="47"/>
      <c r="ACB117" s="47"/>
      <c r="ACC117" s="47"/>
      <c r="ACD117" s="47"/>
      <c r="ACE117" s="47"/>
      <c r="ACF117" s="47"/>
      <c r="ACG117" s="47"/>
      <c r="ACH117" s="47"/>
      <c r="ACI117" s="47"/>
      <c r="ACJ117" s="47"/>
      <c r="ACK117" s="47"/>
      <c r="ACL117" s="47"/>
      <c r="ACM117" s="47"/>
      <c r="ACN117" s="47"/>
      <c r="ACO117" s="47"/>
      <c r="ACP117" s="47"/>
      <c r="ACQ117" s="47"/>
      <c r="ACR117" s="47"/>
      <c r="ACS117" s="47"/>
      <c r="ACT117" s="47"/>
      <c r="ACU117" s="47"/>
      <c r="ACV117" s="47"/>
      <c r="ACW117" s="47"/>
      <c r="ACX117" s="47"/>
      <c r="ACY117" s="47"/>
      <c r="ACZ117" s="47"/>
      <c r="ADA117" s="47"/>
      <c r="ADB117" s="47"/>
      <c r="ADC117" s="47"/>
      <c r="ADD117" s="47"/>
      <c r="ADE117" s="47"/>
      <c r="ADF117" s="47"/>
      <c r="ADG117" s="47"/>
      <c r="ADH117" s="47"/>
      <c r="ADI117" s="47"/>
      <c r="ADJ117" s="47"/>
      <c r="ADK117" s="47"/>
      <c r="ADL117" s="47"/>
      <c r="ADM117" s="47"/>
      <c r="ADN117" s="47"/>
      <c r="ADO117" s="47"/>
      <c r="ADP117" s="47"/>
      <c r="ADQ117" s="47"/>
      <c r="ADR117" s="47"/>
      <c r="ADS117" s="47"/>
      <c r="ADT117" s="47"/>
      <c r="ADU117" s="47"/>
      <c r="ADV117" s="47"/>
      <c r="ADW117" s="47"/>
      <c r="ADX117" s="47"/>
      <c r="ADY117" s="47"/>
      <c r="ADZ117" s="47"/>
      <c r="AEA117" s="47"/>
      <c r="AEB117" s="47"/>
      <c r="AEC117" s="47"/>
      <c r="AED117" s="47"/>
      <c r="AEE117" s="47"/>
      <c r="AEF117" s="47"/>
      <c r="AEG117" s="47"/>
      <c r="AEH117" s="47"/>
      <c r="AEI117" s="47"/>
      <c r="AEJ117" s="47"/>
      <c r="AEK117" s="47"/>
      <c r="AEL117" s="47"/>
      <c r="AEM117" s="47"/>
      <c r="AEN117" s="47"/>
      <c r="AEO117" s="47"/>
      <c r="AEP117" s="47"/>
      <c r="AEQ117" s="47"/>
      <c r="AER117" s="47"/>
      <c r="AES117" s="47"/>
      <c r="AET117" s="47"/>
      <c r="AEU117" s="47"/>
      <c r="AEV117" s="47"/>
      <c r="AEW117" s="47"/>
      <c r="AEX117" s="47"/>
      <c r="AEY117" s="47"/>
      <c r="AEZ117" s="47"/>
      <c r="AFA117" s="47"/>
      <c r="AFB117" s="47"/>
      <c r="AFC117" s="47"/>
      <c r="AFD117" s="47"/>
      <c r="AFE117" s="47"/>
      <c r="AFF117" s="47"/>
      <c r="AFG117" s="47"/>
      <c r="AFH117" s="47"/>
      <c r="AFI117" s="47"/>
      <c r="AFJ117" s="47"/>
      <c r="AFK117" s="47"/>
      <c r="AFL117" s="47"/>
      <c r="AFM117" s="47"/>
      <c r="AFN117" s="47"/>
      <c r="AFO117" s="47"/>
      <c r="AFP117" s="47"/>
      <c r="AFQ117" s="47"/>
      <c r="AFR117" s="47"/>
      <c r="AFS117" s="47"/>
      <c r="AFT117" s="47"/>
      <c r="AFU117" s="47"/>
      <c r="AFV117" s="47"/>
      <c r="AFW117" s="47"/>
      <c r="AFX117" s="47"/>
      <c r="AFY117" s="47"/>
      <c r="AFZ117" s="47"/>
      <c r="AGA117" s="47"/>
      <c r="AGB117" s="47"/>
      <c r="AGC117" s="47"/>
      <c r="AGD117" s="47"/>
      <c r="AGE117" s="47"/>
      <c r="AGF117" s="47"/>
      <c r="AGG117" s="47"/>
      <c r="AGH117" s="47"/>
      <c r="AGI117" s="47"/>
      <c r="AGJ117" s="47"/>
      <c r="AGK117" s="47"/>
      <c r="AGL117" s="47"/>
      <c r="AGM117" s="47"/>
      <c r="AGN117" s="47"/>
      <c r="AGO117" s="47"/>
      <c r="AGP117" s="47"/>
      <c r="AGQ117" s="47"/>
      <c r="AGR117" s="47"/>
      <c r="AGS117" s="47"/>
      <c r="AGT117" s="47"/>
      <c r="AGU117" s="47"/>
      <c r="AGV117" s="47"/>
      <c r="AGW117" s="47"/>
      <c r="AGX117" s="47"/>
      <c r="AGY117" s="47"/>
      <c r="AGZ117" s="47"/>
      <c r="AHA117" s="47"/>
      <c r="AHB117" s="47"/>
      <c r="AHC117" s="47"/>
      <c r="AHD117" s="47"/>
      <c r="AHE117" s="47"/>
      <c r="AHF117" s="47"/>
      <c r="AHG117" s="47"/>
      <c r="AHH117" s="47"/>
      <c r="AHI117" s="47"/>
      <c r="AHJ117" s="47"/>
      <c r="AHK117" s="47"/>
      <c r="AHL117" s="47"/>
      <c r="AHM117" s="47"/>
      <c r="AHN117" s="47"/>
      <c r="AHO117" s="47"/>
      <c r="AHP117" s="47"/>
      <c r="AHQ117" s="47"/>
      <c r="AHR117" s="47"/>
      <c r="AHS117" s="47"/>
      <c r="AHT117" s="47"/>
      <c r="AHU117" s="47"/>
      <c r="AHV117" s="47"/>
      <c r="AHW117" s="47"/>
      <c r="AHX117" s="47"/>
      <c r="AHY117" s="47"/>
      <c r="AHZ117" s="47"/>
      <c r="AIA117" s="47"/>
      <c r="AIB117" s="47"/>
      <c r="AIC117" s="47"/>
      <c r="AID117" s="47"/>
      <c r="AIE117" s="47"/>
      <c r="AIF117" s="47"/>
      <c r="AIG117" s="47"/>
      <c r="AIH117" s="47"/>
      <c r="AII117" s="47"/>
      <c r="AIJ117" s="47"/>
      <c r="AIK117" s="47"/>
      <c r="AIL117" s="47"/>
      <c r="AIM117" s="47"/>
      <c r="AIN117" s="47"/>
      <c r="AIO117" s="47"/>
      <c r="AIP117" s="47"/>
      <c r="AIQ117" s="47"/>
      <c r="AIR117" s="47"/>
      <c r="AIS117" s="47"/>
      <c r="AIT117" s="47"/>
      <c r="AIU117" s="47"/>
      <c r="AIV117" s="47"/>
      <c r="AIW117" s="47"/>
      <c r="AIX117" s="47"/>
      <c r="AIY117" s="47"/>
      <c r="AIZ117" s="47"/>
      <c r="AJA117" s="47"/>
      <c r="AJB117" s="47"/>
      <c r="AJC117" s="47"/>
      <c r="AJD117" s="47"/>
      <c r="AJE117" s="47"/>
      <c r="AJF117" s="47"/>
      <c r="AJG117" s="47"/>
      <c r="AJH117" s="47"/>
      <c r="AJI117" s="47"/>
      <c r="AJJ117" s="47"/>
      <c r="AJK117" s="47"/>
      <c r="AJL117" s="47"/>
      <c r="AJM117" s="47"/>
      <c r="AJN117" s="47"/>
      <c r="AJO117" s="47"/>
      <c r="AJP117" s="47"/>
      <c r="AJQ117" s="47"/>
      <c r="AJR117" s="47"/>
      <c r="AJS117" s="47"/>
      <c r="AJT117" s="47"/>
      <c r="AJU117" s="47"/>
      <c r="AJV117" s="47"/>
      <c r="AJW117" s="47"/>
      <c r="AJX117" s="47"/>
      <c r="AJY117" s="47"/>
      <c r="AJZ117" s="47"/>
      <c r="AKA117" s="47"/>
      <c r="AKB117" s="47"/>
      <c r="AKC117" s="47"/>
      <c r="AKD117" s="47"/>
      <c r="AKE117" s="47"/>
      <c r="AKF117" s="47"/>
      <c r="AKG117" s="47"/>
      <c r="AKH117" s="47"/>
      <c r="AKI117" s="47"/>
      <c r="AKJ117" s="47"/>
      <c r="AKK117" s="47"/>
      <c r="AKL117" s="47"/>
      <c r="AKM117" s="47"/>
      <c r="AKN117" s="47"/>
      <c r="AKO117" s="47"/>
      <c r="AKP117" s="47"/>
      <c r="AKQ117" s="47"/>
      <c r="AKR117" s="47"/>
      <c r="AKS117" s="47"/>
      <c r="AKT117" s="47"/>
      <c r="AKU117" s="47"/>
      <c r="AKV117" s="47"/>
      <c r="AKW117" s="47"/>
      <c r="AKX117" s="47"/>
      <c r="AKY117" s="47"/>
      <c r="AKZ117" s="47"/>
      <c r="ALA117" s="47"/>
      <c r="ALB117" s="47"/>
      <c r="ALC117" s="47"/>
      <c r="ALD117" s="47"/>
      <c r="ALE117" s="47"/>
      <c r="ALF117" s="47"/>
      <c r="ALG117" s="47"/>
      <c r="ALH117" s="47"/>
      <c r="ALI117" s="47"/>
      <c r="ALJ117" s="47"/>
      <c r="ALK117" s="47"/>
      <c r="ALL117" s="47"/>
      <c r="ALM117" s="47"/>
      <c r="ALN117" s="47"/>
      <c r="ALO117" s="47"/>
      <c r="ALP117" s="47"/>
      <c r="ALQ117" s="47"/>
      <c r="ALR117" s="47"/>
      <c r="ALS117" s="47"/>
      <c r="ALT117" s="47"/>
      <c r="ALU117" s="47"/>
      <c r="ALV117" s="47"/>
      <c r="ALW117" s="47"/>
      <c r="ALX117" s="47"/>
      <c r="ALY117" s="47"/>
      <c r="ALZ117" s="47"/>
      <c r="AMA117" s="47"/>
      <c r="AMB117" s="47"/>
      <c r="AMC117" s="47"/>
      <c r="AMD117" s="47"/>
      <c r="AME117" s="47"/>
      <c r="AMF117" s="47"/>
      <c r="AMG117" s="47"/>
      <c r="AMH117" s="47"/>
      <c r="AMI117" s="47"/>
      <c r="AMJ117" s="47"/>
      <c r="AMK117" s="47"/>
      <c r="AML117" s="47"/>
      <c r="AMM117" s="47"/>
      <c r="AMN117" s="47"/>
      <c r="AMO117" s="47"/>
      <c r="AMP117" s="47"/>
      <c r="AMQ117" s="47"/>
      <c r="AMR117" s="47"/>
      <c r="AMS117" s="47"/>
      <c r="AMT117" s="47"/>
      <c r="AMU117" s="47"/>
      <c r="AMV117" s="47"/>
      <c r="AMW117" s="47"/>
      <c r="AMX117" s="47"/>
      <c r="AMY117" s="47"/>
      <c r="AMZ117" s="47"/>
      <c r="ANA117" s="47"/>
      <c r="ANB117" s="47"/>
      <c r="ANC117" s="47"/>
      <c r="AND117" s="47"/>
      <c r="ANE117" s="47"/>
      <c r="ANF117" s="47"/>
      <c r="ANG117" s="47"/>
      <c r="ANH117" s="47"/>
      <c r="ANI117" s="47"/>
      <c r="ANJ117" s="47"/>
      <c r="ANK117" s="47"/>
      <c r="ANL117" s="47"/>
      <c r="ANM117" s="47"/>
      <c r="ANN117" s="47"/>
      <c r="ANO117" s="47"/>
      <c r="ANP117" s="47"/>
      <c r="ANQ117" s="47"/>
      <c r="ANR117" s="47"/>
      <c r="ANS117" s="47"/>
      <c r="ANT117" s="47"/>
      <c r="ANU117" s="47"/>
      <c r="ANV117" s="47"/>
      <c r="ANW117" s="47"/>
      <c r="ANX117" s="47"/>
      <c r="ANY117" s="47"/>
      <c r="ANZ117" s="47"/>
      <c r="AOA117" s="47"/>
      <c r="AOB117" s="47"/>
      <c r="AOC117" s="47"/>
      <c r="AOD117" s="47"/>
      <c r="AOE117" s="47"/>
      <c r="AOF117" s="47"/>
      <c r="AOG117" s="47"/>
      <c r="AOH117" s="47"/>
      <c r="AOI117" s="47"/>
      <c r="AOJ117" s="47"/>
      <c r="AOK117" s="47"/>
      <c r="AOL117" s="47"/>
      <c r="AOM117" s="47"/>
      <c r="AON117" s="47"/>
      <c r="AOO117" s="47"/>
      <c r="AOP117" s="47"/>
      <c r="AOQ117" s="47"/>
      <c r="AOR117" s="47"/>
      <c r="AOS117" s="47"/>
      <c r="AOT117" s="47"/>
      <c r="AOU117" s="47"/>
      <c r="AOV117" s="47"/>
      <c r="AOW117" s="47"/>
      <c r="AOX117" s="47"/>
      <c r="AOY117" s="47"/>
      <c r="AOZ117" s="47"/>
      <c r="APA117" s="47"/>
      <c r="APB117" s="47"/>
      <c r="APC117" s="47"/>
      <c r="APD117" s="47"/>
      <c r="APE117" s="47"/>
      <c r="APF117" s="47"/>
      <c r="APG117" s="47"/>
      <c r="APH117" s="47"/>
      <c r="API117" s="47"/>
      <c r="APJ117" s="47"/>
      <c r="APK117" s="47"/>
      <c r="APL117" s="47"/>
      <c r="APM117" s="47"/>
      <c r="APN117" s="47"/>
      <c r="APO117" s="47"/>
      <c r="APP117" s="47"/>
      <c r="APQ117" s="47"/>
      <c r="APR117" s="47"/>
      <c r="APS117" s="47"/>
      <c r="APT117" s="47"/>
      <c r="APU117" s="47"/>
      <c r="APV117" s="47"/>
      <c r="APW117" s="47"/>
      <c r="APX117" s="47"/>
      <c r="APY117" s="47"/>
      <c r="APZ117" s="47"/>
      <c r="AQA117" s="47"/>
      <c r="AQB117" s="47"/>
      <c r="AQC117" s="47"/>
      <c r="AQD117" s="47"/>
      <c r="AQE117" s="47"/>
      <c r="AQF117" s="47"/>
      <c r="AQG117" s="47"/>
      <c r="AQH117" s="47"/>
      <c r="AQI117" s="47"/>
      <c r="AQJ117" s="47"/>
      <c r="AQK117" s="47"/>
      <c r="AQL117" s="47"/>
      <c r="AQM117" s="47"/>
      <c r="AQN117" s="47"/>
      <c r="AQO117" s="47"/>
      <c r="AQP117" s="47"/>
      <c r="AQQ117" s="47"/>
      <c r="AQR117" s="47"/>
      <c r="AQS117" s="47"/>
      <c r="AQT117" s="47"/>
      <c r="AQU117" s="47"/>
      <c r="AQV117" s="47"/>
      <c r="AQW117" s="47"/>
      <c r="AQX117" s="47"/>
      <c r="AQY117" s="47"/>
      <c r="AQZ117" s="47"/>
      <c r="ARA117" s="47"/>
      <c r="ARB117" s="47"/>
      <c r="ARC117" s="47"/>
      <c r="ARD117" s="47"/>
      <c r="ARE117" s="47"/>
      <c r="ARF117" s="47"/>
      <c r="ARG117" s="47"/>
      <c r="ARH117" s="47"/>
      <c r="ARI117" s="47"/>
      <c r="ARJ117" s="47"/>
      <c r="ARK117" s="47"/>
      <c r="ARL117" s="47"/>
      <c r="ARM117" s="47"/>
      <c r="ARN117" s="47"/>
      <c r="ARO117" s="47"/>
      <c r="ARP117" s="47"/>
      <c r="ARQ117" s="47"/>
      <c r="ARR117" s="47"/>
      <c r="ARS117" s="47"/>
      <c r="ART117" s="47"/>
      <c r="ARU117" s="47"/>
      <c r="ARV117" s="47"/>
      <c r="ARW117" s="47"/>
      <c r="ARX117" s="47"/>
      <c r="ARY117" s="47"/>
      <c r="ARZ117" s="47"/>
      <c r="ASA117" s="47"/>
      <c r="ASB117" s="47"/>
      <c r="ASC117" s="47"/>
      <c r="ASD117" s="47"/>
      <c r="ASE117" s="47"/>
      <c r="ASF117" s="47"/>
      <c r="ASG117" s="47"/>
      <c r="ASH117" s="47"/>
      <c r="ASI117" s="47"/>
      <c r="ASJ117" s="47"/>
      <c r="ASK117" s="47"/>
      <c r="ASL117" s="47"/>
      <c r="ASM117" s="47"/>
      <c r="ASN117" s="47"/>
      <c r="ASO117" s="47"/>
      <c r="ASP117" s="47"/>
      <c r="ASQ117" s="47"/>
      <c r="ASR117" s="47"/>
      <c r="ASS117" s="47"/>
      <c r="AST117" s="47"/>
      <c r="ASU117" s="47"/>
      <c r="ASV117" s="47"/>
      <c r="ASW117" s="47"/>
      <c r="ASX117" s="47"/>
      <c r="ASY117" s="47"/>
      <c r="ASZ117" s="47"/>
      <c r="ATA117" s="47"/>
      <c r="ATB117" s="47"/>
      <c r="ATC117" s="47"/>
      <c r="ATD117" s="47"/>
      <c r="ATE117" s="47"/>
      <c r="ATF117" s="47"/>
      <c r="ATG117" s="47"/>
      <c r="ATH117" s="47"/>
      <c r="ATI117" s="47"/>
      <c r="ATJ117" s="47"/>
      <c r="ATK117" s="47"/>
      <c r="ATL117" s="47"/>
      <c r="ATM117" s="47"/>
      <c r="ATN117" s="47"/>
      <c r="ATO117" s="47"/>
      <c r="ATP117" s="47"/>
      <c r="ATQ117" s="47"/>
      <c r="ATR117" s="47"/>
      <c r="ATS117" s="47"/>
      <c r="ATT117" s="47"/>
      <c r="ATU117" s="47"/>
      <c r="ATV117" s="47"/>
      <c r="ATW117" s="47"/>
      <c r="ATX117" s="47"/>
      <c r="ATY117" s="47"/>
      <c r="ATZ117" s="47"/>
      <c r="AUA117" s="47"/>
      <c r="AUB117" s="47"/>
      <c r="AUC117" s="47"/>
      <c r="AUD117" s="47"/>
      <c r="AUE117" s="47"/>
      <c r="AUF117" s="47"/>
      <c r="AUG117" s="47"/>
      <c r="AUH117" s="47"/>
      <c r="AUI117" s="47"/>
      <c r="AUJ117" s="47"/>
      <c r="AUK117" s="47"/>
      <c r="AUL117" s="47"/>
      <c r="AUM117" s="47"/>
      <c r="AUN117" s="47"/>
      <c r="AUO117" s="47"/>
      <c r="AUP117" s="47"/>
      <c r="AUQ117" s="47"/>
      <c r="AUR117" s="47"/>
      <c r="AUS117" s="47"/>
      <c r="AUT117" s="47"/>
      <c r="AUU117" s="47"/>
      <c r="AUV117" s="47"/>
      <c r="AUW117" s="47"/>
      <c r="AUX117" s="47"/>
      <c r="AUY117" s="47"/>
      <c r="AUZ117" s="47"/>
      <c r="AVA117" s="47"/>
      <c r="AVB117" s="47"/>
      <c r="AVC117" s="47"/>
      <c r="AVD117" s="47"/>
      <c r="AVE117" s="47"/>
      <c r="AVF117" s="47"/>
      <c r="AVG117" s="47"/>
      <c r="AVH117" s="47"/>
      <c r="AVI117" s="47"/>
      <c r="AVJ117" s="47"/>
      <c r="AVK117" s="47"/>
      <c r="AVL117" s="47"/>
      <c r="AVM117" s="47"/>
      <c r="AVN117" s="47"/>
      <c r="AVO117" s="47"/>
      <c r="AVP117" s="47"/>
      <c r="AVQ117" s="47"/>
      <c r="AVR117" s="47"/>
      <c r="AVS117" s="47"/>
      <c r="AVT117" s="47"/>
      <c r="AVU117" s="47"/>
      <c r="AVV117" s="47"/>
      <c r="AVW117" s="47"/>
      <c r="AVX117" s="47"/>
      <c r="AVY117" s="47"/>
      <c r="AVZ117" s="47"/>
      <c r="AWA117" s="47"/>
      <c r="AWB117" s="47"/>
      <c r="AWC117" s="47"/>
      <c r="AWD117" s="47"/>
      <c r="AWE117" s="47"/>
      <c r="AWF117" s="47"/>
      <c r="AWG117" s="47"/>
      <c r="AWH117" s="47"/>
      <c r="AWI117" s="47"/>
      <c r="AWJ117" s="47"/>
      <c r="AWK117" s="47"/>
      <c r="AWL117" s="47"/>
      <c r="AWM117" s="47"/>
      <c r="AWN117" s="47"/>
      <c r="AWO117" s="47"/>
      <c r="AWP117" s="47"/>
      <c r="AWQ117" s="47"/>
      <c r="AWR117" s="47"/>
      <c r="AWS117" s="47"/>
      <c r="AWT117" s="47"/>
      <c r="AWU117" s="47"/>
      <c r="AWV117" s="47"/>
      <c r="AWW117" s="47"/>
      <c r="AWX117" s="47"/>
      <c r="AWY117" s="47"/>
      <c r="AWZ117" s="47"/>
      <c r="AXA117" s="47"/>
      <c r="AXB117" s="47"/>
      <c r="AXC117" s="47"/>
      <c r="AXD117" s="47"/>
      <c r="AXE117" s="47"/>
      <c r="AXF117" s="47"/>
      <c r="AXG117" s="47"/>
      <c r="AXH117" s="47"/>
      <c r="AXI117" s="47"/>
      <c r="AXJ117" s="47"/>
      <c r="AXK117" s="47"/>
      <c r="AXL117" s="47"/>
      <c r="AXM117" s="47"/>
      <c r="AXN117" s="47"/>
      <c r="AXO117" s="47"/>
      <c r="AXP117" s="47"/>
      <c r="AXQ117" s="47"/>
      <c r="AXR117" s="47"/>
      <c r="AXS117" s="47"/>
      <c r="AXT117" s="47"/>
      <c r="AXU117" s="47"/>
      <c r="AXV117" s="47"/>
      <c r="AXW117" s="47"/>
      <c r="AXX117" s="47"/>
      <c r="AXY117" s="47"/>
      <c r="AXZ117" s="47"/>
      <c r="AYA117" s="47"/>
      <c r="AYB117" s="47"/>
      <c r="AYC117" s="47"/>
      <c r="AYD117" s="47"/>
      <c r="AYE117" s="47"/>
      <c r="AYF117" s="47"/>
      <c r="AYG117" s="47"/>
      <c r="AYH117" s="47"/>
      <c r="AYI117" s="47"/>
      <c r="AYJ117" s="47"/>
      <c r="AYK117" s="47"/>
      <c r="AYL117" s="47"/>
      <c r="AYM117" s="47"/>
      <c r="AYN117" s="47"/>
      <c r="AYO117" s="47"/>
      <c r="AYP117" s="47"/>
      <c r="AYQ117" s="47"/>
      <c r="AYR117" s="47"/>
      <c r="AYS117" s="47"/>
      <c r="AYT117" s="47"/>
      <c r="AYU117" s="47"/>
      <c r="AYV117" s="47"/>
      <c r="AYW117" s="47"/>
      <c r="AYX117" s="47"/>
      <c r="AYY117" s="47"/>
      <c r="AYZ117" s="47"/>
      <c r="AZA117" s="47"/>
      <c r="AZB117" s="47"/>
      <c r="AZC117" s="47"/>
      <c r="AZD117" s="47"/>
      <c r="AZE117" s="47"/>
      <c r="AZF117" s="47"/>
      <c r="AZG117" s="47"/>
      <c r="AZH117" s="47"/>
      <c r="AZI117" s="47"/>
      <c r="AZJ117" s="47"/>
      <c r="AZK117" s="47"/>
      <c r="AZL117" s="47"/>
      <c r="AZM117" s="47"/>
      <c r="AZN117" s="47"/>
      <c r="AZO117" s="47"/>
      <c r="AZP117" s="47"/>
      <c r="AZQ117" s="47"/>
      <c r="AZR117" s="47"/>
      <c r="AZS117" s="47"/>
      <c r="AZT117" s="47"/>
      <c r="AZU117" s="47"/>
      <c r="AZV117" s="47"/>
      <c r="AZW117" s="47"/>
      <c r="AZX117" s="47"/>
      <c r="AZY117" s="47"/>
      <c r="AZZ117" s="47"/>
      <c r="BAA117" s="47"/>
      <c r="BAB117" s="47"/>
      <c r="BAC117" s="47"/>
      <c r="BAD117" s="47"/>
      <c r="BAE117" s="47"/>
      <c r="BAF117" s="47"/>
      <c r="BAG117" s="47"/>
      <c r="BAH117" s="47"/>
      <c r="BAI117" s="47"/>
      <c r="BAJ117" s="47"/>
      <c r="BAK117" s="47"/>
      <c r="BAL117" s="47"/>
      <c r="BAM117" s="47"/>
      <c r="BAN117" s="47"/>
      <c r="BAO117" s="47"/>
      <c r="BAP117" s="47"/>
      <c r="BAQ117" s="47"/>
      <c r="BAR117" s="47"/>
      <c r="BAS117" s="47"/>
      <c r="BAT117" s="47"/>
      <c r="BAU117" s="47"/>
      <c r="BAV117" s="47"/>
      <c r="BAW117" s="47"/>
      <c r="BAX117" s="47"/>
      <c r="BAY117" s="47"/>
      <c r="BAZ117" s="47"/>
      <c r="BBA117" s="47"/>
      <c r="BBB117" s="47"/>
      <c r="BBC117" s="47"/>
      <c r="BBD117" s="47"/>
      <c r="BBE117" s="47"/>
      <c r="BBF117" s="47"/>
      <c r="BBG117" s="47"/>
      <c r="BBH117" s="47"/>
      <c r="BBI117" s="47"/>
      <c r="BBJ117" s="47"/>
      <c r="BBK117" s="47"/>
      <c r="BBL117" s="47"/>
      <c r="BBM117" s="47"/>
      <c r="BBN117" s="47"/>
      <c r="BBO117" s="47"/>
      <c r="BBP117" s="47"/>
      <c r="BBQ117" s="47"/>
      <c r="BBR117" s="47"/>
      <c r="BBS117" s="47"/>
      <c r="BBT117" s="47"/>
      <c r="BBU117" s="47"/>
      <c r="BBV117" s="47"/>
      <c r="BBW117" s="47"/>
      <c r="BBX117" s="47"/>
      <c r="BBY117" s="47"/>
      <c r="BBZ117" s="47"/>
      <c r="BCA117" s="47"/>
      <c r="BCB117" s="47"/>
      <c r="BCC117" s="47"/>
      <c r="BCD117" s="47"/>
      <c r="BCE117" s="47"/>
      <c r="BCF117" s="47"/>
      <c r="BCG117" s="47"/>
      <c r="BCH117" s="47"/>
      <c r="BCI117" s="47"/>
      <c r="BCJ117" s="47"/>
      <c r="BCK117" s="47"/>
      <c r="BCL117" s="47"/>
      <c r="BCM117" s="47"/>
      <c r="BCN117" s="47"/>
      <c r="BCO117" s="47"/>
      <c r="BCP117" s="47"/>
      <c r="BCQ117" s="47"/>
      <c r="BCR117" s="47"/>
      <c r="BCS117" s="47"/>
      <c r="BCT117" s="47"/>
      <c r="BCU117" s="47"/>
      <c r="BCV117" s="47"/>
      <c r="BCW117" s="47"/>
      <c r="BCX117" s="47"/>
      <c r="BCY117" s="47"/>
      <c r="BCZ117" s="47"/>
      <c r="BDA117" s="47"/>
      <c r="BDB117" s="47"/>
      <c r="BDC117" s="47"/>
      <c r="BDD117" s="47"/>
      <c r="BDE117" s="47"/>
      <c r="BDF117" s="47"/>
      <c r="BDG117" s="47"/>
      <c r="BDH117" s="47"/>
      <c r="BDI117" s="47"/>
      <c r="BDJ117" s="47"/>
      <c r="BDK117" s="47"/>
      <c r="BDL117" s="47"/>
      <c r="BDM117" s="47"/>
      <c r="BDN117" s="47"/>
      <c r="BDO117" s="47"/>
      <c r="BDP117" s="47"/>
      <c r="BDQ117" s="47"/>
      <c r="BDR117" s="47"/>
      <c r="BDS117" s="47"/>
      <c r="BDT117" s="47"/>
      <c r="BDU117" s="47"/>
      <c r="BDV117" s="47"/>
      <c r="BDW117" s="47"/>
      <c r="BDX117" s="47"/>
      <c r="BDY117" s="47"/>
      <c r="BDZ117" s="47"/>
      <c r="BEA117" s="47"/>
      <c r="BEB117" s="47"/>
      <c r="BEC117" s="47"/>
      <c r="BED117" s="47"/>
      <c r="BEE117" s="47"/>
      <c r="BEF117" s="47"/>
      <c r="BEG117" s="47"/>
      <c r="BEH117" s="47"/>
      <c r="BEI117" s="47"/>
      <c r="BEJ117" s="47"/>
      <c r="BEK117" s="47"/>
      <c r="BEL117" s="47"/>
      <c r="BEM117" s="47"/>
      <c r="BEN117" s="47"/>
      <c r="BEO117" s="47"/>
      <c r="BEP117" s="47"/>
      <c r="BEQ117" s="47"/>
      <c r="BER117" s="47"/>
      <c r="BES117" s="47"/>
      <c r="BET117" s="47"/>
      <c r="BEU117" s="47"/>
      <c r="BEV117" s="47"/>
      <c r="BEW117" s="47"/>
      <c r="BEX117" s="47"/>
      <c r="BEY117" s="47"/>
      <c r="BEZ117" s="47"/>
      <c r="BFA117" s="47"/>
      <c r="BFB117" s="47"/>
      <c r="BFC117" s="47"/>
      <c r="BFD117" s="47"/>
      <c r="BFE117" s="47"/>
      <c r="BFF117" s="47"/>
      <c r="BFG117" s="47"/>
      <c r="BFH117" s="47"/>
      <c r="BFI117" s="47"/>
      <c r="BFJ117" s="47"/>
      <c r="BFK117" s="47"/>
      <c r="BFL117" s="47"/>
      <c r="BFM117" s="47"/>
      <c r="BFN117" s="47"/>
      <c r="BFO117" s="47"/>
      <c r="BFP117" s="47"/>
      <c r="BFQ117" s="47"/>
      <c r="BFR117" s="47"/>
      <c r="BFS117" s="47"/>
      <c r="BFT117" s="47"/>
      <c r="BFU117" s="47"/>
      <c r="BFV117" s="47"/>
      <c r="BFW117" s="47"/>
      <c r="BFX117" s="47"/>
      <c r="BFY117" s="47"/>
      <c r="BFZ117" s="47"/>
      <c r="BGA117" s="47"/>
      <c r="BGB117" s="47"/>
      <c r="BGC117" s="47"/>
      <c r="BGD117" s="47"/>
      <c r="BGE117" s="47"/>
      <c r="BGF117" s="47"/>
      <c r="BGG117" s="47"/>
      <c r="BGH117" s="47"/>
      <c r="BGI117" s="47"/>
      <c r="BGJ117" s="47"/>
      <c r="BGK117" s="47"/>
      <c r="BGL117" s="47"/>
      <c r="BGM117" s="47"/>
      <c r="BGN117" s="47"/>
      <c r="BGO117" s="47"/>
      <c r="BGP117" s="47"/>
      <c r="BGQ117" s="47"/>
      <c r="BGR117" s="47"/>
      <c r="BGS117" s="47"/>
      <c r="BGT117" s="47"/>
      <c r="BGU117" s="47"/>
      <c r="BGV117" s="47"/>
      <c r="BGW117" s="47"/>
      <c r="BGX117" s="47"/>
      <c r="BGY117" s="47"/>
      <c r="BGZ117" s="47"/>
      <c r="BHA117" s="47"/>
      <c r="BHB117" s="47"/>
      <c r="BHC117" s="47"/>
      <c r="BHD117" s="47"/>
      <c r="BHE117" s="47"/>
      <c r="BHF117" s="47"/>
      <c r="BHG117" s="47"/>
      <c r="BHH117" s="47"/>
      <c r="BHI117" s="47"/>
      <c r="BHJ117" s="47"/>
      <c r="BHK117" s="47"/>
      <c r="BHL117" s="47"/>
      <c r="BHM117" s="47"/>
      <c r="BHN117" s="47"/>
      <c r="BHO117" s="47"/>
      <c r="BHP117" s="47"/>
      <c r="BHQ117" s="47"/>
      <c r="BHR117" s="47"/>
      <c r="BHS117" s="47"/>
      <c r="BHT117" s="47"/>
      <c r="BHU117" s="47"/>
      <c r="BHV117" s="47"/>
      <c r="BHW117" s="47"/>
      <c r="BHX117" s="47"/>
      <c r="BHY117" s="47"/>
      <c r="BHZ117" s="47"/>
      <c r="BIA117" s="47"/>
      <c r="BIB117" s="47"/>
      <c r="BIC117" s="47"/>
      <c r="BID117" s="47"/>
      <c r="BIE117" s="47"/>
      <c r="BIF117" s="47"/>
      <c r="BIG117" s="47"/>
      <c r="BIH117" s="47"/>
      <c r="BII117" s="47"/>
      <c r="BIJ117" s="47"/>
      <c r="BIK117" s="47"/>
      <c r="BIL117" s="47"/>
      <c r="BIM117" s="47"/>
      <c r="BIN117" s="47"/>
      <c r="BIO117" s="47"/>
      <c r="BIP117" s="47"/>
      <c r="BIQ117" s="47"/>
      <c r="BIR117" s="47"/>
      <c r="BIS117" s="47"/>
      <c r="BIT117" s="47"/>
      <c r="BIU117" s="47"/>
      <c r="BIV117" s="47"/>
      <c r="BIW117" s="47"/>
      <c r="BIX117" s="47"/>
      <c r="BIY117" s="47"/>
      <c r="BIZ117" s="47"/>
      <c r="BJA117" s="47"/>
      <c r="BJB117" s="47"/>
      <c r="BJC117" s="47"/>
      <c r="BJD117" s="47"/>
      <c r="BJE117" s="47"/>
      <c r="BJF117" s="47"/>
      <c r="BJG117" s="47"/>
      <c r="BJH117" s="47"/>
      <c r="BJI117" s="47"/>
      <c r="BJJ117" s="47"/>
      <c r="BJK117" s="47"/>
      <c r="BJL117" s="47"/>
      <c r="BJM117" s="47"/>
      <c r="BJN117" s="47"/>
      <c r="BJO117" s="47"/>
      <c r="BJP117" s="47"/>
      <c r="BJQ117" s="47"/>
      <c r="BJR117" s="47"/>
      <c r="BJS117" s="47"/>
      <c r="BJT117" s="47"/>
      <c r="BJU117" s="47"/>
      <c r="BJV117" s="47"/>
      <c r="BJW117" s="47"/>
      <c r="BJX117" s="47"/>
      <c r="BJY117" s="47"/>
      <c r="BJZ117" s="47"/>
      <c r="BKA117" s="47"/>
      <c r="BKB117" s="47"/>
      <c r="BKC117" s="47"/>
      <c r="BKD117" s="47"/>
      <c r="BKE117" s="47"/>
      <c r="BKF117" s="47"/>
      <c r="BKG117" s="47"/>
      <c r="BKH117" s="47"/>
      <c r="BKI117" s="47"/>
      <c r="BKJ117" s="47"/>
      <c r="BKK117" s="47"/>
      <c r="BKL117" s="47"/>
      <c r="BKM117" s="47"/>
      <c r="BKN117" s="47"/>
      <c r="BKO117" s="47"/>
      <c r="BKP117" s="47"/>
      <c r="BKQ117" s="47"/>
      <c r="BKR117" s="47"/>
      <c r="BKS117" s="47"/>
      <c r="BKT117" s="47"/>
      <c r="BKU117" s="47"/>
      <c r="BKV117" s="47"/>
      <c r="BKW117" s="47"/>
      <c r="BKX117" s="47"/>
      <c r="BKY117" s="47"/>
      <c r="BKZ117" s="47"/>
      <c r="BLA117" s="47"/>
      <c r="BLB117" s="47"/>
      <c r="BLC117" s="47"/>
      <c r="BLD117" s="47"/>
      <c r="BLE117" s="47"/>
      <c r="BLF117" s="47"/>
      <c r="BLG117" s="47"/>
      <c r="BLH117" s="47"/>
      <c r="BLI117" s="47"/>
      <c r="BLJ117" s="47"/>
      <c r="BLK117" s="47"/>
      <c r="BLL117" s="47"/>
      <c r="BLM117" s="47"/>
      <c r="BLN117" s="47"/>
      <c r="BLO117" s="47"/>
      <c r="BLP117" s="47"/>
      <c r="BLQ117" s="47"/>
      <c r="BLR117" s="47"/>
      <c r="BLS117" s="47"/>
      <c r="BLT117" s="47"/>
      <c r="BLU117" s="47"/>
      <c r="BLV117" s="47"/>
      <c r="BLW117" s="47"/>
      <c r="BLX117" s="47"/>
      <c r="BLY117" s="47"/>
      <c r="BLZ117" s="47"/>
      <c r="BMA117" s="47"/>
      <c r="BMB117" s="47"/>
      <c r="BMC117" s="47"/>
      <c r="BMD117" s="47"/>
      <c r="BME117" s="47"/>
      <c r="BMF117" s="47"/>
      <c r="BMG117" s="47"/>
      <c r="BMH117" s="47"/>
      <c r="BMI117" s="47"/>
      <c r="BMJ117" s="47"/>
      <c r="BMK117" s="47"/>
      <c r="BML117" s="47"/>
      <c r="BMM117" s="47"/>
      <c r="BMN117" s="47"/>
      <c r="BMO117" s="47"/>
      <c r="BMP117" s="47"/>
      <c r="BMQ117" s="47"/>
      <c r="BMR117" s="47"/>
      <c r="BMS117" s="47"/>
      <c r="BMT117" s="47"/>
      <c r="BMU117" s="47"/>
      <c r="BMV117" s="47"/>
      <c r="BMW117" s="47"/>
      <c r="BMX117" s="47"/>
      <c r="BMY117" s="47"/>
      <c r="BMZ117" s="47"/>
      <c r="BNA117" s="47"/>
      <c r="BNB117" s="47"/>
      <c r="BNC117" s="47"/>
      <c r="BND117" s="47"/>
      <c r="BNE117" s="47"/>
      <c r="BNF117" s="47"/>
      <c r="BNG117" s="47"/>
      <c r="BNH117" s="47"/>
      <c r="BNI117" s="47"/>
      <c r="BNJ117" s="47"/>
      <c r="BNK117" s="47"/>
      <c r="BNL117" s="47"/>
      <c r="BNM117" s="47"/>
      <c r="BNN117" s="47"/>
      <c r="BNO117" s="47"/>
      <c r="BNP117" s="47"/>
      <c r="BNQ117" s="47"/>
      <c r="BNR117" s="47"/>
      <c r="BNS117" s="47"/>
      <c r="BNT117" s="47"/>
      <c r="BNU117" s="47"/>
      <c r="BNV117" s="47"/>
      <c r="BNW117" s="47"/>
      <c r="BNX117" s="47"/>
      <c r="BNY117" s="47"/>
      <c r="BNZ117" s="47"/>
      <c r="BOA117" s="47"/>
      <c r="BOB117" s="47"/>
      <c r="BOC117" s="47"/>
      <c r="BOD117" s="47"/>
      <c r="BOE117" s="47"/>
      <c r="BOF117" s="47"/>
      <c r="BOG117" s="47"/>
      <c r="BOH117" s="47"/>
      <c r="BOI117" s="47"/>
      <c r="BOJ117" s="47"/>
      <c r="BOK117" s="47"/>
      <c r="BOL117" s="47"/>
      <c r="BOM117" s="47"/>
      <c r="BON117" s="47"/>
      <c r="BOO117" s="47"/>
      <c r="BOP117" s="47"/>
      <c r="BOQ117" s="47"/>
      <c r="BOR117" s="47"/>
      <c r="BOS117" s="47"/>
      <c r="BOT117" s="47"/>
      <c r="BOU117" s="47"/>
      <c r="BOV117" s="47"/>
      <c r="BOW117" s="47"/>
      <c r="BOX117" s="47"/>
      <c r="BOY117" s="47"/>
      <c r="BOZ117" s="47"/>
      <c r="BPA117" s="47"/>
      <c r="BPB117" s="47"/>
      <c r="BPC117" s="47"/>
      <c r="BPD117" s="47"/>
      <c r="BPE117" s="47"/>
      <c r="BPF117" s="47"/>
      <c r="BPG117" s="47"/>
      <c r="BPH117" s="47"/>
      <c r="BPI117" s="47"/>
      <c r="BPJ117" s="47"/>
      <c r="BPK117" s="47"/>
      <c r="BPL117" s="47"/>
      <c r="BPM117" s="47"/>
      <c r="BPN117" s="47"/>
      <c r="BPO117" s="47"/>
      <c r="BPP117" s="47"/>
      <c r="BPQ117" s="47"/>
      <c r="BPR117" s="47"/>
      <c r="BPS117" s="47"/>
      <c r="BPT117" s="47"/>
      <c r="BPU117" s="47"/>
      <c r="BPV117" s="47"/>
      <c r="BPW117" s="47"/>
      <c r="BPX117" s="47"/>
      <c r="BPY117" s="47"/>
      <c r="BPZ117" s="47"/>
      <c r="BQA117" s="47"/>
      <c r="BQB117" s="47"/>
      <c r="BQC117" s="47"/>
      <c r="BQD117" s="47"/>
      <c r="BQE117" s="47"/>
      <c r="BQF117" s="47"/>
      <c r="BQG117" s="47"/>
      <c r="BQH117" s="47"/>
      <c r="BQI117" s="47"/>
      <c r="BQJ117" s="47"/>
      <c r="BQK117" s="47"/>
      <c r="BQL117" s="47"/>
      <c r="BQM117" s="47"/>
      <c r="BQN117" s="47"/>
      <c r="BQO117" s="47"/>
      <c r="BQP117" s="47"/>
      <c r="BQQ117" s="47"/>
      <c r="BQR117" s="47"/>
      <c r="BQS117" s="47"/>
      <c r="BQT117" s="47"/>
      <c r="BQU117" s="47"/>
      <c r="BQV117" s="47"/>
      <c r="BQW117" s="47"/>
      <c r="BQX117" s="47"/>
      <c r="BQY117" s="47"/>
      <c r="BQZ117" s="47"/>
      <c r="BRA117" s="47"/>
      <c r="BRB117" s="47"/>
      <c r="BRC117" s="47"/>
      <c r="BRD117" s="47"/>
      <c r="BRE117" s="47"/>
      <c r="BRF117" s="47"/>
      <c r="BRG117" s="47"/>
      <c r="BRH117" s="47"/>
      <c r="BRI117" s="47"/>
      <c r="BRJ117" s="47"/>
      <c r="BRK117" s="47"/>
      <c r="BRL117" s="47"/>
      <c r="BRM117" s="47"/>
      <c r="BRN117" s="47"/>
      <c r="BRO117" s="47"/>
      <c r="BRP117" s="47"/>
      <c r="BRQ117" s="47"/>
      <c r="BRR117" s="47"/>
      <c r="BRS117" s="47"/>
      <c r="BRT117" s="47"/>
      <c r="BRU117" s="47"/>
      <c r="BRV117" s="47"/>
      <c r="BRW117" s="47"/>
      <c r="BRX117" s="47"/>
      <c r="BRY117" s="47"/>
      <c r="BRZ117" s="47"/>
      <c r="BSA117" s="47"/>
      <c r="BSB117" s="47"/>
      <c r="BSC117" s="47"/>
      <c r="BSD117" s="47"/>
      <c r="BSE117" s="47"/>
      <c r="BSF117" s="47"/>
      <c r="BSG117" s="47"/>
      <c r="BSH117" s="47"/>
      <c r="BSI117" s="47"/>
      <c r="BSJ117" s="47"/>
      <c r="BSK117" s="47"/>
      <c r="BSL117" s="47"/>
      <c r="BSM117" s="47"/>
      <c r="BSN117" s="47"/>
      <c r="BSO117" s="47"/>
      <c r="BSP117" s="47"/>
      <c r="BSQ117" s="47"/>
      <c r="BSR117" s="47"/>
      <c r="BSS117" s="47"/>
      <c r="BST117" s="47"/>
      <c r="BSU117" s="47"/>
      <c r="BSV117" s="47"/>
      <c r="BSW117" s="47"/>
      <c r="BSX117" s="47"/>
      <c r="BSY117" s="47"/>
      <c r="BSZ117" s="47"/>
      <c r="BTA117" s="47"/>
      <c r="BTB117" s="47"/>
      <c r="BTC117" s="47"/>
      <c r="BTD117" s="47"/>
      <c r="BTE117" s="47"/>
      <c r="BTF117" s="47"/>
      <c r="BTG117" s="47"/>
      <c r="BTH117" s="47"/>
      <c r="BTI117" s="47"/>
      <c r="BTJ117" s="47"/>
      <c r="BTK117" s="47"/>
      <c r="BTL117" s="47"/>
      <c r="BTM117" s="47"/>
      <c r="BTN117" s="47"/>
      <c r="BTO117" s="47"/>
      <c r="BTP117" s="47"/>
      <c r="BTQ117" s="47"/>
      <c r="BTR117" s="47"/>
      <c r="BTS117" s="47"/>
      <c r="BTT117" s="47"/>
      <c r="BTU117" s="47"/>
      <c r="BTV117" s="47"/>
      <c r="BTW117" s="47"/>
      <c r="BTX117" s="47"/>
      <c r="BTY117" s="47"/>
      <c r="BTZ117" s="47"/>
      <c r="BUA117" s="47"/>
      <c r="BUB117" s="47"/>
      <c r="BUC117" s="47"/>
      <c r="BUD117" s="47"/>
      <c r="BUE117" s="47"/>
      <c r="BUF117" s="47"/>
      <c r="BUG117" s="47"/>
      <c r="BUH117" s="47"/>
      <c r="BUI117" s="47"/>
      <c r="BUJ117" s="47"/>
      <c r="BUK117" s="47"/>
      <c r="BUL117" s="47"/>
      <c r="BUM117" s="47"/>
      <c r="BUN117" s="47"/>
      <c r="BUO117" s="47"/>
      <c r="BUP117" s="47"/>
      <c r="BUQ117" s="47"/>
      <c r="BUR117" s="47"/>
      <c r="BUS117" s="47"/>
      <c r="BUT117" s="47"/>
      <c r="BUU117" s="47"/>
      <c r="BUV117" s="47"/>
      <c r="BUW117" s="47"/>
      <c r="BUX117" s="47"/>
      <c r="BUY117" s="47"/>
      <c r="BUZ117" s="47"/>
      <c r="BVA117" s="47"/>
      <c r="BVB117" s="47"/>
      <c r="BVC117" s="47"/>
      <c r="BVD117" s="47"/>
      <c r="BVE117" s="47"/>
      <c r="BVF117" s="47"/>
      <c r="BVG117" s="47"/>
      <c r="BVH117" s="47"/>
      <c r="BVI117" s="47"/>
      <c r="BVJ117" s="47"/>
      <c r="BVK117" s="47"/>
      <c r="BVL117" s="47"/>
      <c r="BVM117" s="47"/>
      <c r="BVN117" s="47"/>
      <c r="BVO117" s="47"/>
      <c r="BVP117" s="47"/>
      <c r="BVQ117" s="47"/>
      <c r="BVR117" s="47"/>
      <c r="BVS117" s="47"/>
      <c r="BVT117" s="47"/>
      <c r="BVU117" s="47"/>
      <c r="BVV117" s="47"/>
      <c r="BVW117" s="47"/>
      <c r="BVX117" s="47"/>
      <c r="BVY117" s="47"/>
      <c r="BVZ117" s="47"/>
      <c r="BWA117" s="47"/>
      <c r="BWB117" s="47"/>
      <c r="BWC117" s="47"/>
      <c r="BWD117" s="47"/>
      <c r="BWE117" s="47"/>
      <c r="BWF117" s="47"/>
      <c r="BWG117" s="47"/>
      <c r="BWH117" s="47"/>
      <c r="BWI117" s="47"/>
      <c r="BWJ117" s="47"/>
      <c r="BWK117" s="47"/>
      <c r="BWL117" s="47"/>
      <c r="BWM117" s="47"/>
      <c r="BWN117" s="47"/>
      <c r="BWO117" s="47"/>
      <c r="BWP117" s="47"/>
      <c r="BWQ117" s="47"/>
      <c r="BWR117" s="47"/>
      <c r="BWS117" s="47"/>
      <c r="BWT117" s="47"/>
      <c r="BWU117" s="47"/>
      <c r="BWV117" s="47"/>
      <c r="BWW117" s="47"/>
      <c r="BWX117" s="47"/>
      <c r="BWY117" s="47"/>
      <c r="BWZ117" s="47"/>
      <c r="BXA117" s="47"/>
      <c r="BXB117" s="47"/>
      <c r="BXC117" s="47"/>
      <c r="BXD117" s="47"/>
      <c r="BXE117" s="47"/>
      <c r="BXF117" s="47"/>
      <c r="BXG117" s="47"/>
      <c r="BXH117" s="47"/>
      <c r="BXI117" s="47"/>
      <c r="BXJ117" s="47"/>
      <c r="BXK117" s="47"/>
      <c r="BXL117" s="47"/>
      <c r="BXM117" s="47"/>
      <c r="BXN117" s="47"/>
      <c r="BXO117" s="47"/>
      <c r="BXP117" s="47"/>
      <c r="BXQ117" s="47"/>
      <c r="BXR117" s="47"/>
      <c r="BXS117" s="47"/>
      <c r="BXT117" s="47"/>
      <c r="BXU117" s="47"/>
      <c r="BXV117" s="47"/>
      <c r="BXW117" s="47"/>
      <c r="BXX117" s="47"/>
      <c r="BXY117" s="47"/>
      <c r="BXZ117" s="47"/>
      <c r="BYA117" s="47"/>
      <c r="BYB117" s="47"/>
      <c r="BYC117" s="47"/>
      <c r="BYD117" s="47"/>
      <c r="BYE117" s="47"/>
      <c r="BYF117" s="47"/>
      <c r="BYG117" s="47"/>
      <c r="BYH117" s="47"/>
      <c r="BYI117" s="47"/>
      <c r="BYJ117" s="47"/>
      <c r="BYK117" s="47"/>
      <c r="BYL117" s="47"/>
      <c r="BYM117" s="47"/>
      <c r="BYN117" s="47"/>
      <c r="BYO117" s="47"/>
      <c r="BYP117" s="47"/>
      <c r="BYQ117" s="47"/>
      <c r="BYR117" s="47"/>
      <c r="BYS117" s="47"/>
      <c r="BYT117" s="47"/>
      <c r="BYU117" s="47"/>
      <c r="BYV117" s="47"/>
      <c r="BYW117" s="47"/>
      <c r="BYX117" s="47"/>
      <c r="BYY117" s="47"/>
      <c r="BYZ117" s="47"/>
      <c r="BZA117" s="47"/>
      <c r="BZB117" s="47"/>
      <c r="BZC117" s="47"/>
      <c r="BZD117" s="47"/>
      <c r="BZE117" s="47"/>
      <c r="BZF117" s="47"/>
      <c r="BZG117" s="47"/>
      <c r="BZH117" s="47"/>
      <c r="BZI117" s="47"/>
      <c r="BZJ117" s="47"/>
      <c r="BZK117" s="47"/>
      <c r="BZL117" s="47"/>
      <c r="BZM117" s="47"/>
      <c r="BZN117" s="47"/>
      <c r="BZO117" s="47"/>
      <c r="BZP117" s="47"/>
      <c r="BZQ117" s="47"/>
      <c r="BZR117" s="47"/>
      <c r="BZS117" s="47"/>
      <c r="BZT117" s="47"/>
      <c r="BZU117" s="47"/>
      <c r="BZV117" s="47"/>
      <c r="BZW117" s="47"/>
      <c r="BZX117" s="47"/>
      <c r="BZY117" s="47"/>
      <c r="BZZ117" s="47"/>
      <c r="CAA117" s="47"/>
      <c r="CAB117" s="47"/>
      <c r="CAC117" s="47"/>
      <c r="CAD117" s="47"/>
      <c r="CAE117" s="47"/>
      <c r="CAF117" s="47"/>
      <c r="CAG117" s="47"/>
      <c r="CAH117" s="47"/>
      <c r="CAI117" s="47"/>
      <c r="CAJ117" s="47"/>
      <c r="CAK117" s="47"/>
      <c r="CAL117" s="47"/>
      <c r="CAM117" s="47"/>
      <c r="CAN117" s="47"/>
      <c r="CAO117" s="47"/>
      <c r="CAP117" s="47"/>
      <c r="CAQ117" s="47"/>
      <c r="CAR117" s="47"/>
      <c r="CAS117" s="47"/>
      <c r="CAT117" s="47"/>
      <c r="CAU117" s="47"/>
      <c r="CAV117" s="47"/>
      <c r="CAW117" s="47"/>
      <c r="CAX117" s="47"/>
      <c r="CAY117" s="47"/>
      <c r="CAZ117" s="47"/>
      <c r="CBA117" s="47"/>
      <c r="CBB117" s="47"/>
      <c r="CBC117" s="47"/>
      <c r="CBD117" s="47"/>
      <c r="CBE117" s="47"/>
      <c r="CBF117" s="47"/>
      <c r="CBG117" s="47"/>
      <c r="CBH117" s="47"/>
    </row>
    <row r="118" spans="1:2088" x14ac:dyDescent="0.2">
      <c r="A118" s="13" t="s">
        <v>128</v>
      </c>
      <c r="B118" s="59" t="str">
        <f t="shared" ref="B118" si="20">IFERROR(IF(B109="yes",$A$109,IF(B110="yes",$A$110,IF(B111="yes",$A$111,IF(B112="yes",$A$112,IF(B113="yes",$A$113,IF(B116="yes",$A$116,"")))))), "")</f>
        <v/>
      </c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  <c r="DS118" s="47"/>
      <c r="DT118" s="47"/>
      <c r="DU118" s="47"/>
      <c r="DV118" s="47"/>
      <c r="DW118" s="47"/>
      <c r="DX118" s="47"/>
      <c r="DY118" s="47"/>
      <c r="DZ118" s="47"/>
      <c r="EA118" s="47"/>
      <c r="EB118" s="47"/>
      <c r="EC118" s="47"/>
      <c r="ED118" s="47"/>
      <c r="EE118" s="47"/>
      <c r="EF118" s="47"/>
      <c r="EG118" s="47"/>
      <c r="EH118" s="47"/>
      <c r="EI118" s="47"/>
      <c r="EJ118" s="47"/>
      <c r="EK118" s="47"/>
      <c r="EL118" s="47"/>
      <c r="EM118" s="47"/>
      <c r="EN118" s="47"/>
      <c r="EO118" s="47"/>
      <c r="EP118" s="47"/>
      <c r="EQ118" s="47"/>
      <c r="ER118" s="47"/>
      <c r="ES118" s="47"/>
      <c r="ET118" s="47"/>
      <c r="EU118" s="47"/>
      <c r="EV118" s="47"/>
      <c r="EW118" s="47"/>
      <c r="EX118" s="47"/>
      <c r="EY118" s="47"/>
      <c r="EZ118" s="47"/>
      <c r="FA118" s="47"/>
      <c r="FB118" s="47"/>
      <c r="FC118" s="47"/>
      <c r="FD118" s="47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7"/>
      <c r="FP118" s="47"/>
      <c r="FQ118" s="47"/>
      <c r="FR118" s="47"/>
      <c r="FS118" s="47"/>
      <c r="FT118" s="47"/>
      <c r="FU118" s="47"/>
      <c r="FV118" s="47"/>
      <c r="FW118" s="47"/>
      <c r="FX118" s="47"/>
      <c r="FY118" s="47"/>
      <c r="FZ118" s="47"/>
      <c r="GA118" s="47"/>
      <c r="GB118" s="47"/>
      <c r="GC118" s="47"/>
      <c r="GD118" s="47"/>
      <c r="GE118" s="47"/>
      <c r="GF118" s="47"/>
      <c r="GG118" s="47"/>
      <c r="GH118" s="47"/>
      <c r="GI118" s="47"/>
      <c r="GJ118" s="47"/>
      <c r="GK118" s="47"/>
      <c r="GL118" s="47"/>
      <c r="GM118" s="47"/>
      <c r="GN118" s="47"/>
      <c r="GO118" s="47"/>
      <c r="GP118" s="47"/>
      <c r="GQ118" s="47"/>
      <c r="GR118" s="47"/>
      <c r="GS118" s="47"/>
      <c r="GT118" s="47"/>
      <c r="GU118" s="47"/>
      <c r="GV118" s="47"/>
      <c r="GW118" s="47"/>
      <c r="GX118" s="47"/>
      <c r="GY118" s="47"/>
      <c r="GZ118" s="47"/>
      <c r="HA118" s="47"/>
      <c r="HB118" s="47"/>
      <c r="HC118" s="47"/>
      <c r="HD118" s="47"/>
      <c r="HE118" s="47"/>
      <c r="HF118" s="47"/>
      <c r="HG118" s="47"/>
      <c r="HH118" s="47"/>
      <c r="HI118" s="47"/>
      <c r="HJ118" s="47"/>
      <c r="HK118" s="47"/>
      <c r="HL118" s="47"/>
      <c r="HM118" s="47"/>
      <c r="HN118" s="47"/>
      <c r="HO118" s="47"/>
      <c r="HP118" s="47"/>
      <c r="HQ118" s="47"/>
      <c r="HR118" s="47"/>
      <c r="HS118" s="47"/>
      <c r="HT118" s="47"/>
      <c r="HU118" s="47"/>
      <c r="HV118" s="47"/>
      <c r="HW118" s="47"/>
      <c r="HX118" s="47"/>
      <c r="HY118" s="47"/>
      <c r="HZ118" s="47"/>
      <c r="IA118" s="47"/>
      <c r="IB118" s="47"/>
      <c r="IC118" s="47"/>
      <c r="ID118" s="47"/>
      <c r="IE118" s="47"/>
      <c r="IF118" s="47"/>
      <c r="IG118" s="47"/>
      <c r="IH118" s="47"/>
      <c r="II118" s="47"/>
      <c r="IJ118" s="47"/>
      <c r="IK118" s="47"/>
      <c r="IL118" s="47"/>
      <c r="IM118" s="47"/>
      <c r="IN118" s="47"/>
      <c r="IO118" s="47"/>
      <c r="IP118" s="47"/>
      <c r="IQ118" s="47"/>
      <c r="IR118" s="47"/>
      <c r="IS118" s="47"/>
      <c r="IT118" s="47"/>
      <c r="IU118" s="47"/>
      <c r="IV118" s="47"/>
      <c r="IW118" s="47"/>
      <c r="IX118" s="47"/>
      <c r="IY118" s="47"/>
      <c r="IZ118" s="47"/>
      <c r="JA118" s="47"/>
      <c r="JB118" s="47"/>
      <c r="JC118" s="47"/>
      <c r="JD118" s="47"/>
      <c r="JE118" s="47"/>
      <c r="JF118" s="47"/>
      <c r="JG118" s="47"/>
      <c r="JH118" s="47"/>
      <c r="JI118" s="47"/>
      <c r="JJ118" s="47"/>
      <c r="JK118" s="47"/>
      <c r="JL118" s="47"/>
      <c r="JM118" s="47"/>
      <c r="JN118" s="47"/>
      <c r="JO118" s="47"/>
      <c r="JP118" s="47"/>
      <c r="JQ118" s="47"/>
      <c r="JR118" s="47"/>
      <c r="JS118" s="47"/>
      <c r="JT118" s="47"/>
      <c r="JU118" s="47"/>
      <c r="JV118" s="47"/>
      <c r="JW118" s="47"/>
      <c r="JX118" s="47"/>
      <c r="JY118" s="47"/>
      <c r="JZ118" s="47"/>
      <c r="KA118" s="47"/>
      <c r="KB118" s="47"/>
      <c r="KC118" s="47"/>
      <c r="KD118" s="47"/>
      <c r="KE118" s="47"/>
      <c r="KF118" s="47"/>
      <c r="KG118" s="47"/>
      <c r="KH118" s="47"/>
      <c r="KI118" s="47"/>
      <c r="KJ118" s="47"/>
      <c r="KK118" s="47"/>
      <c r="KL118" s="47"/>
      <c r="KM118" s="47"/>
      <c r="KN118" s="47"/>
      <c r="KO118" s="47"/>
      <c r="KP118" s="47"/>
      <c r="KQ118" s="47"/>
      <c r="KR118" s="47"/>
      <c r="KS118" s="47"/>
      <c r="KT118" s="47"/>
      <c r="KU118" s="47"/>
      <c r="KV118" s="47"/>
      <c r="KW118" s="47"/>
      <c r="KX118" s="47"/>
      <c r="KY118" s="47"/>
      <c r="KZ118" s="47"/>
      <c r="LA118" s="47"/>
      <c r="LB118" s="47"/>
      <c r="LC118" s="47"/>
      <c r="LD118" s="47"/>
      <c r="LE118" s="47"/>
      <c r="LF118" s="47"/>
      <c r="LG118" s="47"/>
      <c r="LH118" s="47"/>
      <c r="LI118" s="47"/>
      <c r="LJ118" s="47"/>
      <c r="LK118" s="47"/>
      <c r="LL118" s="47"/>
      <c r="LM118" s="47"/>
      <c r="LN118" s="47"/>
      <c r="LO118" s="47"/>
      <c r="LP118" s="47"/>
      <c r="LQ118" s="47"/>
      <c r="LR118" s="47"/>
      <c r="LS118" s="47"/>
      <c r="LT118" s="47"/>
      <c r="LU118" s="47"/>
      <c r="LV118" s="47"/>
      <c r="LW118" s="47"/>
      <c r="LX118" s="47"/>
      <c r="LY118" s="47"/>
      <c r="LZ118" s="47"/>
      <c r="MA118" s="47"/>
      <c r="MB118" s="47"/>
      <c r="MC118" s="47"/>
      <c r="MD118" s="47"/>
      <c r="ME118" s="47"/>
      <c r="MF118" s="47"/>
      <c r="MG118" s="47"/>
      <c r="MH118" s="47"/>
      <c r="MI118" s="47"/>
      <c r="MJ118" s="47"/>
      <c r="MK118" s="47"/>
      <c r="ML118" s="47"/>
      <c r="MM118" s="47"/>
      <c r="MN118" s="47"/>
      <c r="MO118" s="47"/>
      <c r="MP118" s="47"/>
      <c r="MQ118" s="47"/>
      <c r="MR118" s="47"/>
      <c r="MS118" s="47"/>
      <c r="MT118" s="47"/>
      <c r="MU118" s="47"/>
      <c r="MV118" s="47"/>
      <c r="MW118" s="47"/>
      <c r="MX118" s="47"/>
      <c r="MY118" s="47"/>
      <c r="MZ118" s="47"/>
      <c r="NA118" s="47"/>
      <c r="NB118" s="47"/>
      <c r="NC118" s="47"/>
      <c r="ND118" s="47"/>
      <c r="NE118" s="47"/>
      <c r="NF118" s="47"/>
      <c r="NG118" s="47"/>
      <c r="NH118" s="47"/>
      <c r="NI118" s="47"/>
      <c r="NJ118" s="47"/>
      <c r="NK118" s="47"/>
      <c r="NL118" s="47"/>
      <c r="NM118" s="47"/>
      <c r="NN118" s="47"/>
      <c r="NO118" s="47"/>
      <c r="NP118" s="47"/>
      <c r="NQ118" s="47"/>
      <c r="NR118" s="47"/>
      <c r="NS118" s="47"/>
      <c r="NT118" s="47"/>
      <c r="NU118" s="47"/>
      <c r="NV118" s="47"/>
      <c r="NW118" s="47"/>
      <c r="NX118" s="47"/>
      <c r="NY118" s="47"/>
      <c r="NZ118" s="47"/>
      <c r="OA118" s="47"/>
      <c r="OB118" s="47"/>
      <c r="OC118" s="47"/>
      <c r="OD118" s="47"/>
      <c r="OE118" s="47"/>
      <c r="OF118" s="47"/>
      <c r="OG118" s="47"/>
      <c r="OH118" s="47"/>
      <c r="OI118" s="47"/>
      <c r="OJ118" s="47"/>
      <c r="OK118" s="47"/>
      <c r="OL118" s="47"/>
      <c r="OM118" s="47"/>
      <c r="ON118" s="47"/>
      <c r="OO118" s="47"/>
      <c r="OP118" s="47"/>
      <c r="OQ118" s="47"/>
      <c r="OR118" s="47"/>
      <c r="OS118" s="47"/>
      <c r="OT118" s="47"/>
      <c r="OU118" s="47"/>
      <c r="OV118" s="47"/>
      <c r="OW118" s="47"/>
      <c r="OX118" s="47"/>
      <c r="OY118" s="47"/>
      <c r="OZ118" s="47"/>
      <c r="PA118" s="47"/>
      <c r="PB118" s="47"/>
      <c r="PC118" s="47"/>
      <c r="PD118" s="47"/>
      <c r="PE118" s="47"/>
      <c r="PF118" s="47"/>
      <c r="PG118" s="47"/>
      <c r="PH118" s="47"/>
      <c r="PI118" s="47"/>
      <c r="PJ118" s="47"/>
      <c r="PK118" s="47"/>
      <c r="PL118" s="47"/>
      <c r="PM118" s="47"/>
      <c r="PN118" s="47"/>
      <c r="PO118" s="47"/>
      <c r="PP118" s="47"/>
      <c r="PQ118" s="47"/>
      <c r="PR118" s="47"/>
      <c r="PS118" s="47"/>
      <c r="PT118" s="47"/>
      <c r="PU118" s="47"/>
      <c r="PV118" s="47"/>
      <c r="PW118" s="47"/>
      <c r="PX118" s="47"/>
      <c r="PY118" s="47"/>
      <c r="PZ118" s="47"/>
      <c r="QA118" s="47"/>
      <c r="QB118" s="47"/>
      <c r="QC118" s="47"/>
      <c r="QD118" s="47"/>
      <c r="QE118" s="47"/>
      <c r="QF118" s="47"/>
      <c r="QG118" s="47"/>
      <c r="QH118" s="47"/>
      <c r="QI118" s="47"/>
      <c r="QJ118" s="47"/>
      <c r="QK118" s="47"/>
      <c r="QL118" s="47"/>
      <c r="QM118" s="47"/>
      <c r="QN118" s="47"/>
      <c r="QO118" s="47"/>
      <c r="QP118" s="47"/>
      <c r="QQ118" s="47"/>
      <c r="QR118" s="47"/>
      <c r="QS118" s="47"/>
      <c r="QT118" s="47"/>
      <c r="QU118" s="47"/>
      <c r="QV118" s="47"/>
      <c r="QW118" s="47"/>
      <c r="QX118" s="47"/>
      <c r="QY118" s="47"/>
      <c r="QZ118" s="47"/>
      <c r="RA118" s="47"/>
      <c r="RB118" s="47"/>
      <c r="RC118" s="47"/>
      <c r="RD118" s="47"/>
      <c r="RE118" s="47"/>
      <c r="RF118" s="47"/>
      <c r="RG118" s="47"/>
      <c r="RH118" s="47"/>
      <c r="RI118" s="47"/>
      <c r="RJ118" s="47"/>
      <c r="RK118" s="47"/>
      <c r="RL118" s="47"/>
      <c r="RM118" s="47"/>
      <c r="RN118" s="47"/>
      <c r="RO118" s="47"/>
      <c r="RP118" s="47"/>
      <c r="RQ118" s="47"/>
      <c r="RR118" s="47"/>
      <c r="RS118" s="47"/>
      <c r="RT118" s="47"/>
      <c r="RU118" s="47"/>
      <c r="RV118" s="47"/>
      <c r="RW118" s="47"/>
      <c r="RX118" s="47"/>
      <c r="RY118" s="47"/>
      <c r="RZ118" s="47"/>
      <c r="SA118" s="47"/>
      <c r="SB118" s="47"/>
      <c r="SC118" s="47"/>
      <c r="SD118" s="47"/>
      <c r="SE118" s="47"/>
      <c r="SF118" s="47"/>
      <c r="SG118" s="47"/>
      <c r="SH118" s="47"/>
      <c r="SI118" s="47"/>
      <c r="SJ118" s="47"/>
      <c r="SK118" s="47"/>
      <c r="SL118" s="47"/>
      <c r="SM118" s="47"/>
      <c r="SN118" s="47"/>
      <c r="SO118" s="47"/>
      <c r="SP118" s="47"/>
      <c r="SQ118" s="47"/>
      <c r="SR118" s="47"/>
      <c r="SS118" s="47"/>
      <c r="ST118" s="47"/>
      <c r="SU118" s="47"/>
      <c r="SV118" s="47"/>
      <c r="SW118" s="47"/>
      <c r="SX118" s="47"/>
      <c r="SY118" s="47"/>
      <c r="SZ118" s="47"/>
      <c r="TA118" s="47"/>
      <c r="TB118" s="47"/>
      <c r="TC118" s="47"/>
      <c r="TD118" s="47"/>
      <c r="TE118" s="47"/>
      <c r="TF118" s="47"/>
      <c r="TG118" s="47"/>
      <c r="TH118" s="47"/>
      <c r="TI118" s="47"/>
      <c r="TJ118" s="47"/>
      <c r="TK118" s="47"/>
      <c r="TL118" s="47"/>
      <c r="TM118" s="47"/>
      <c r="TN118" s="47"/>
      <c r="TO118" s="47"/>
      <c r="TP118" s="47"/>
      <c r="TQ118" s="47"/>
      <c r="TR118" s="47"/>
      <c r="TS118" s="47"/>
      <c r="TT118" s="47"/>
      <c r="TU118" s="47"/>
      <c r="TV118" s="47"/>
      <c r="TW118" s="47"/>
      <c r="TX118" s="47"/>
      <c r="TY118" s="47"/>
      <c r="TZ118" s="47"/>
      <c r="UA118" s="47"/>
      <c r="UB118" s="47"/>
      <c r="UC118" s="47"/>
      <c r="UD118" s="47"/>
      <c r="UE118" s="47"/>
      <c r="UF118" s="47"/>
      <c r="UG118" s="47"/>
      <c r="UH118" s="47"/>
      <c r="UI118" s="47"/>
      <c r="UJ118" s="47"/>
      <c r="UK118" s="47"/>
      <c r="UL118" s="47"/>
      <c r="UM118" s="47"/>
      <c r="UN118" s="47"/>
      <c r="UO118" s="47"/>
      <c r="UP118" s="47"/>
      <c r="UQ118" s="47"/>
      <c r="UR118" s="47"/>
      <c r="US118" s="47"/>
      <c r="UT118" s="47"/>
      <c r="UU118" s="47"/>
      <c r="UV118" s="47"/>
      <c r="UW118" s="47"/>
      <c r="UX118" s="47"/>
      <c r="UY118" s="47"/>
      <c r="UZ118" s="47"/>
      <c r="VA118" s="47"/>
      <c r="VB118" s="47"/>
      <c r="VC118" s="47"/>
      <c r="VD118" s="47"/>
      <c r="VE118" s="47"/>
      <c r="VF118" s="47"/>
      <c r="VG118" s="47"/>
      <c r="VH118" s="47"/>
      <c r="VI118" s="47"/>
      <c r="VJ118" s="47"/>
      <c r="VK118" s="47"/>
      <c r="VL118" s="47"/>
      <c r="VM118" s="47"/>
      <c r="VN118" s="47"/>
      <c r="VO118" s="47"/>
      <c r="VP118" s="47"/>
      <c r="VQ118" s="47"/>
      <c r="VR118" s="47"/>
      <c r="VS118" s="47"/>
      <c r="VT118" s="47"/>
      <c r="VU118" s="47"/>
      <c r="VV118" s="47"/>
      <c r="VW118" s="47"/>
      <c r="VX118" s="47"/>
      <c r="VY118" s="47"/>
      <c r="VZ118" s="47"/>
      <c r="WA118" s="47"/>
      <c r="WB118" s="47"/>
      <c r="WC118" s="47"/>
      <c r="WD118" s="47"/>
      <c r="WE118" s="47"/>
      <c r="WF118" s="47"/>
      <c r="WG118" s="47"/>
      <c r="WH118" s="47"/>
      <c r="WI118" s="47"/>
      <c r="WJ118" s="47"/>
      <c r="WK118" s="47"/>
      <c r="WL118" s="47"/>
      <c r="WM118" s="47"/>
      <c r="WN118" s="47"/>
      <c r="WO118" s="47"/>
      <c r="WP118" s="47"/>
      <c r="WQ118" s="47"/>
      <c r="WR118" s="47"/>
      <c r="WS118" s="47"/>
      <c r="WT118" s="47"/>
      <c r="WU118" s="47"/>
      <c r="WV118" s="47"/>
      <c r="WW118" s="47"/>
      <c r="WX118" s="47"/>
      <c r="WY118" s="47"/>
      <c r="WZ118" s="47"/>
      <c r="XA118" s="47"/>
      <c r="XB118" s="47"/>
      <c r="XC118" s="47"/>
      <c r="XD118" s="47"/>
      <c r="XE118" s="47"/>
      <c r="XF118" s="47"/>
      <c r="XG118" s="47"/>
      <c r="XH118" s="47"/>
      <c r="XI118" s="47"/>
      <c r="XJ118" s="47"/>
      <c r="XK118" s="47"/>
      <c r="XL118" s="47"/>
      <c r="XM118" s="47"/>
      <c r="XN118" s="47"/>
      <c r="XO118" s="47"/>
      <c r="XP118" s="47"/>
      <c r="XQ118" s="47"/>
      <c r="XR118" s="47"/>
      <c r="XS118" s="47"/>
      <c r="XT118" s="47"/>
      <c r="XU118" s="47"/>
      <c r="XV118" s="47"/>
      <c r="XW118" s="47"/>
      <c r="XX118" s="47"/>
      <c r="XY118" s="47"/>
      <c r="XZ118" s="47"/>
      <c r="YA118" s="47"/>
      <c r="YB118" s="47"/>
      <c r="YC118" s="47"/>
      <c r="YD118" s="47"/>
      <c r="YE118" s="47"/>
      <c r="YF118" s="47"/>
      <c r="YG118" s="47"/>
      <c r="YH118" s="47"/>
      <c r="YI118" s="47"/>
      <c r="YJ118" s="47"/>
      <c r="YK118" s="47"/>
      <c r="YL118" s="47"/>
      <c r="YM118" s="47"/>
      <c r="YN118" s="47"/>
      <c r="YO118" s="47"/>
      <c r="YP118" s="47"/>
      <c r="YQ118" s="47"/>
      <c r="YR118" s="47"/>
      <c r="YS118" s="47"/>
      <c r="YT118" s="47"/>
      <c r="YU118" s="47"/>
      <c r="YV118" s="47"/>
      <c r="YW118" s="47"/>
      <c r="YX118" s="47"/>
      <c r="YY118" s="47"/>
      <c r="YZ118" s="47"/>
      <c r="ZA118" s="47"/>
      <c r="ZB118" s="47"/>
      <c r="ZC118" s="47"/>
      <c r="ZD118" s="47"/>
      <c r="ZE118" s="47"/>
      <c r="ZF118" s="47"/>
      <c r="ZG118" s="47"/>
      <c r="ZH118" s="47"/>
      <c r="ZI118" s="47"/>
      <c r="ZJ118" s="47"/>
      <c r="ZK118" s="47"/>
      <c r="ZL118" s="47"/>
      <c r="ZM118" s="47"/>
      <c r="ZN118" s="47"/>
      <c r="ZO118" s="47"/>
      <c r="ZP118" s="47"/>
      <c r="ZQ118" s="47"/>
      <c r="ZR118" s="47"/>
      <c r="ZS118" s="47"/>
      <c r="ZT118" s="47"/>
      <c r="ZU118" s="47"/>
      <c r="ZV118" s="47"/>
      <c r="ZW118" s="47"/>
      <c r="ZX118" s="47"/>
      <c r="ZY118" s="47"/>
      <c r="ZZ118" s="47"/>
      <c r="AAA118" s="47"/>
      <c r="AAB118" s="47"/>
      <c r="AAC118" s="47"/>
      <c r="AAD118" s="47"/>
      <c r="AAE118" s="47"/>
      <c r="AAF118" s="47"/>
      <c r="AAG118" s="47"/>
      <c r="AAH118" s="47"/>
      <c r="AAI118" s="47"/>
      <c r="AAJ118" s="47"/>
      <c r="AAK118" s="47"/>
      <c r="AAL118" s="47"/>
      <c r="AAM118" s="47"/>
      <c r="AAN118" s="47"/>
      <c r="AAO118" s="47"/>
      <c r="AAP118" s="47"/>
      <c r="AAQ118" s="47"/>
      <c r="AAR118" s="47"/>
      <c r="AAS118" s="47"/>
      <c r="AAT118" s="47"/>
      <c r="AAU118" s="47"/>
      <c r="AAV118" s="47"/>
      <c r="AAW118" s="47"/>
      <c r="AAX118" s="47"/>
      <c r="AAY118" s="47"/>
      <c r="AAZ118" s="47"/>
      <c r="ABA118" s="47"/>
      <c r="ABB118" s="47"/>
      <c r="ABC118" s="47"/>
      <c r="ABD118" s="47"/>
      <c r="ABE118" s="47"/>
      <c r="ABF118" s="47"/>
      <c r="ABG118" s="47"/>
      <c r="ABH118" s="47"/>
      <c r="ABI118" s="47"/>
      <c r="ABJ118" s="47"/>
      <c r="ABK118" s="47"/>
      <c r="ABL118" s="47"/>
      <c r="ABM118" s="47"/>
      <c r="ABN118" s="47"/>
      <c r="ABO118" s="47"/>
      <c r="ABP118" s="47"/>
      <c r="ABQ118" s="47"/>
      <c r="ABR118" s="47"/>
      <c r="ABS118" s="47"/>
      <c r="ABT118" s="47"/>
      <c r="ABU118" s="47"/>
      <c r="ABV118" s="47"/>
      <c r="ABW118" s="47"/>
      <c r="ABX118" s="47"/>
      <c r="ABY118" s="47"/>
      <c r="ABZ118" s="47"/>
      <c r="ACA118" s="47"/>
      <c r="ACB118" s="47"/>
      <c r="ACC118" s="47"/>
      <c r="ACD118" s="47"/>
      <c r="ACE118" s="47"/>
      <c r="ACF118" s="47"/>
      <c r="ACG118" s="47"/>
      <c r="ACH118" s="47"/>
      <c r="ACI118" s="47"/>
      <c r="ACJ118" s="47"/>
      <c r="ACK118" s="47"/>
      <c r="ACL118" s="47"/>
      <c r="ACM118" s="47"/>
      <c r="ACN118" s="47"/>
      <c r="ACO118" s="47"/>
      <c r="ACP118" s="47"/>
      <c r="ACQ118" s="47"/>
      <c r="ACR118" s="47"/>
      <c r="ACS118" s="47"/>
      <c r="ACT118" s="47"/>
      <c r="ACU118" s="47"/>
      <c r="ACV118" s="47"/>
      <c r="ACW118" s="47"/>
      <c r="ACX118" s="47"/>
      <c r="ACY118" s="47"/>
      <c r="ACZ118" s="47"/>
      <c r="ADA118" s="47"/>
      <c r="ADB118" s="47"/>
      <c r="ADC118" s="47"/>
      <c r="ADD118" s="47"/>
      <c r="ADE118" s="47"/>
      <c r="ADF118" s="47"/>
      <c r="ADG118" s="47"/>
      <c r="ADH118" s="47"/>
      <c r="ADI118" s="47"/>
      <c r="ADJ118" s="47"/>
      <c r="ADK118" s="47"/>
      <c r="ADL118" s="47"/>
      <c r="ADM118" s="47"/>
      <c r="ADN118" s="47"/>
      <c r="ADO118" s="47"/>
      <c r="ADP118" s="47"/>
      <c r="ADQ118" s="47"/>
      <c r="ADR118" s="47"/>
      <c r="ADS118" s="47"/>
      <c r="ADT118" s="47"/>
      <c r="ADU118" s="47"/>
      <c r="ADV118" s="47"/>
      <c r="ADW118" s="47"/>
      <c r="ADX118" s="47"/>
      <c r="ADY118" s="47"/>
      <c r="ADZ118" s="47"/>
      <c r="AEA118" s="47"/>
      <c r="AEB118" s="47"/>
      <c r="AEC118" s="47"/>
      <c r="AED118" s="47"/>
      <c r="AEE118" s="47"/>
      <c r="AEF118" s="47"/>
      <c r="AEG118" s="47"/>
      <c r="AEH118" s="47"/>
      <c r="AEI118" s="47"/>
      <c r="AEJ118" s="47"/>
      <c r="AEK118" s="47"/>
      <c r="AEL118" s="47"/>
      <c r="AEM118" s="47"/>
      <c r="AEN118" s="47"/>
      <c r="AEO118" s="47"/>
      <c r="AEP118" s="47"/>
      <c r="AEQ118" s="47"/>
      <c r="AER118" s="47"/>
      <c r="AES118" s="47"/>
      <c r="AET118" s="47"/>
      <c r="AEU118" s="47"/>
      <c r="AEV118" s="47"/>
      <c r="AEW118" s="47"/>
      <c r="AEX118" s="47"/>
      <c r="AEY118" s="47"/>
      <c r="AEZ118" s="47"/>
      <c r="AFA118" s="47"/>
      <c r="AFB118" s="47"/>
      <c r="AFC118" s="47"/>
      <c r="AFD118" s="47"/>
      <c r="AFE118" s="47"/>
      <c r="AFF118" s="47"/>
      <c r="AFG118" s="47"/>
      <c r="AFH118" s="47"/>
      <c r="AFI118" s="47"/>
      <c r="AFJ118" s="47"/>
      <c r="AFK118" s="47"/>
      <c r="AFL118" s="47"/>
      <c r="AFM118" s="47"/>
      <c r="AFN118" s="47"/>
      <c r="AFO118" s="47"/>
      <c r="AFP118" s="47"/>
      <c r="AFQ118" s="47"/>
      <c r="AFR118" s="47"/>
      <c r="AFS118" s="47"/>
      <c r="AFT118" s="47"/>
      <c r="AFU118" s="47"/>
      <c r="AFV118" s="47"/>
      <c r="AFW118" s="47"/>
      <c r="AFX118" s="47"/>
      <c r="AFY118" s="47"/>
      <c r="AFZ118" s="47"/>
      <c r="AGA118" s="47"/>
      <c r="AGB118" s="47"/>
      <c r="AGC118" s="47"/>
      <c r="AGD118" s="47"/>
      <c r="AGE118" s="47"/>
      <c r="AGF118" s="47"/>
      <c r="AGG118" s="47"/>
      <c r="AGH118" s="47"/>
      <c r="AGI118" s="47"/>
      <c r="AGJ118" s="47"/>
      <c r="AGK118" s="47"/>
      <c r="AGL118" s="47"/>
      <c r="AGM118" s="47"/>
      <c r="AGN118" s="47"/>
      <c r="AGO118" s="47"/>
      <c r="AGP118" s="47"/>
      <c r="AGQ118" s="47"/>
      <c r="AGR118" s="47"/>
      <c r="AGS118" s="47"/>
      <c r="AGT118" s="47"/>
      <c r="AGU118" s="47"/>
      <c r="AGV118" s="47"/>
      <c r="AGW118" s="47"/>
      <c r="AGX118" s="47"/>
      <c r="AGY118" s="47"/>
      <c r="AGZ118" s="47"/>
      <c r="AHA118" s="47"/>
      <c r="AHB118" s="47"/>
      <c r="AHC118" s="47"/>
      <c r="AHD118" s="47"/>
      <c r="AHE118" s="47"/>
      <c r="AHF118" s="47"/>
      <c r="AHG118" s="47"/>
      <c r="AHH118" s="47"/>
      <c r="AHI118" s="47"/>
      <c r="AHJ118" s="47"/>
      <c r="AHK118" s="47"/>
      <c r="AHL118" s="47"/>
      <c r="AHM118" s="47"/>
      <c r="AHN118" s="47"/>
      <c r="AHO118" s="47"/>
      <c r="AHP118" s="47"/>
      <c r="AHQ118" s="47"/>
      <c r="AHR118" s="47"/>
      <c r="AHS118" s="47"/>
      <c r="AHT118" s="47"/>
      <c r="AHU118" s="47"/>
      <c r="AHV118" s="47"/>
      <c r="AHW118" s="47"/>
      <c r="AHX118" s="47"/>
      <c r="AHY118" s="47"/>
      <c r="AHZ118" s="47"/>
      <c r="AIA118" s="47"/>
      <c r="AIB118" s="47"/>
      <c r="AIC118" s="47"/>
      <c r="AID118" s="47"/>
      <c r="AIE118" s="47"/>
      <c r="AIF118" s="47"/>
      <c r="AIG118" s="47"/>
      <c r="AIH118" s="47"/>
      <c r="AII118" s="47"/>
      <c r="AIJ118" s="47"/>
      <c r="AIK118" s="47"/>
      <c r="AIL118" s="47"/>
      <c r="AIM118" s="47"/>
      <c r="AIN118" s="47"/>
      <c r="AIO118" s="47"/>
      <c r="AIP118" s="47"/>
      <c r="AIQ118" s="47"/>
      <c r="AIR118" s="47"/>
      <c r="AIS118" s="47"/>
      <c r="AIT118" s="47"/>
      <c r="AIU118" s="47"/>
      <c r="AIV118" s="47"/>
      <c r="AIW118" s="47"/>
      <c r="AIX118" s="47"/>
      <c r="AIY118" s="47"/>
      <c r="AIZ118" s="47"/>
      <c r="AJA118" s="47"/>
      <c r="AJB118" s="47"/>
      <c r="AJC118" s="47"/>
      <c r="AJD118" s="47"/>
      <c r="AJE118" s="47"/>
      <c r="AJF118" s="47"/>
      <c r="AJG118" s="47"/>
      <c r="AJH118" s="47"/>
      <c r="AJI118" s="47"/>
      <c r="AJJ118" s="47"/>
      <c r="AJK118" s="47"/>
      <c r="AJL118" s="47"/>
      <c r="AJM118" s="47"/>
      <c r="AJN118" s="47"/>
      <c r="AJO118" s="47"/>
      <c r="AJP118" s="47"/>
      <c r="AJQ118" s="47"/>
      <c r="AJR118" s="47"/>
      <c r="AJS118" s="47"/>
      <c r="AJT118" s="47"/>
      <c r="AJU118" s="47"/>
      <c r="AJV118" s="47"/>
      <c r="AJW118" s="47"/>
      <c r="AJX118" s="47"/>
      <c r="AJY118" s="47"/>
      <c r="AJZ118" s="47"/>
      <c r="AKA118" s="47"/>
      <c r="AKB118" s="47"/>
      <c r="AKC118" s="47"/>
      <c r="AKD118" s="47"/>
      <c r="AKE118" s="47"/>
      <c r="AKF118" s="47"/>
      <c r="AKG118" s="47"/>
      <c r="AKH118" s="47"/>
      <c r="AKI118" s="47"/>
      <c r="AKJ118" s="47"/>
      <c r="AKK118" s="47"/>
      <c r="AKL118" s="47"/>
      <c r="AKM118" s="47"/>
      <c r="AKN118" s="47"/>
      <c r="AKO118" s="47"/>
      <c r="AKP118" s="47"/>
      <c r="AKQ118" s="47"/>
      <c r="AKR118" s="47"/>
      <c r="AKS118" s="47"/>
      <c r="AKT118" s="47"/>
      <c r="AKU118" s="47"/>
      <c r="AKV118" s="47"/>
      <c r="AKW118" s="47"/>
      <c r="AKX118" s="47"/>
      <c r="AKY118" s="47"/>
      <c r="AKZ118" s="47"/>
      <c r="ALA118" s="47"/>
      <c r="ALB118" s="47"/>
      <c r="ALC118" s="47"/>
      <c r="ALD118" s="47"/>
      <c r="ALE118" s="47"/>
      <c r="ALF118" s="47"/>
      <c r="ALG118" s="47"/>
      <c r="ALH118" s="47"/>
      <c r="ALI118" s="47"/>
      <c r="ALJ118" s="47"/>
      <c r="ALK118" s="47"/>
      <c r="ALL118" s="47"/>
      <c r="ALM118" s="47"/>
      <c r="ALN118" s="47"/>
      <c r="ALO118" s="47"/>
      <c r="ALP118" s="47"/>
      <c r="ALQ118" s="47"/>
      <c r="ALR118" s="47"/>
      <c r="ALS118" s="47"/>
      <c r="ALT118" s="47"/>
      <c r="ALU118" s="47"/>
      <c r="ALV118" s="47"/>
      <c r="ALW118" s="47"/>
      <c r="ALX118" s="47"/>
      <c r="ALY118" s="47"/>
      <c r="ALZ118" s="47"/>
      <c r="AMA118" s="47"/>
      <c r="AMB118" s="47"/>
      <c r="AMC118" s="47"/>
      <c r="AMD118" s="47"/>
      <c r="AME118" s="47"/>
      <c r="AMF118" s="47"/>
      <c r="AMG118" s="47"/>
      <c r="AMH118" s="47"/>
      <c r="AMI118" s="47"/>
      <c r="AMJ118" s="47"/>
      <c r="AMK118" s="47"/>
      <c r="AML118" s="47"/>
      <c r="AMM118" s="47"/>
      <c r="AMN118" s="47"/>
      <c r="AMO118" s="47"/>
      <c r="AMP118" s="47"/>
      <c r="AMQ118" s="47"/>
      <c r="AMR118" s="47"/>
      <c r="AMS118" s="47"/>
      <c r="AMT118" s="47"/>
      <c r="AMU118" s="47"/>
      <c r="AMV118" s="47"/>
      <c r="AMW118" s="47"/>
      <c r="AMX118" s="47"/>
      <c r="AMY118" s="47"/>
      <c r="AMZ118" s="47"/>
      <c r="ANA118" s="47"/>
      <c r="ANB118" s="47"/>
      <c r="ANC118" s="47"/>
      <c r="AND118" s="47"/>
      <c r="ANE118" s="47"/>
      <c r="ANF118" s="47"/>
      <c r="ANG118" s="47"/>
      <c r="ANH118" s="47"/>
      <c r="ANI118" s="47"/>
      <c r="ANJ118" s="47"/>
      <c r="ANK118" s="47"/>
      <c r="ANL118" s="47"/>
      <c r="ANM118" s="47"/>
      <c r="ANN118" s="47"/>
      <c r="ANO118" s="47"/>
      <c r="ANP118" s="47"/>
      <c r="ANQ118" s="47"/>
      <c r="ANR118" s="47"/>
      <c r="ANS118" s="47"/>
      <c r="ANT118" s="47"/>
      <c r="ANU118" s="47"/>
      <c r="ANV118" s="47"/>
      <c r="ANW118" s="47"/>
      <c r="ANX118" s="47"/>
      <c r="ANY118" s="47"/>
      <c r="ANZ118" s="47"/>
      <c r="AOA118" s="47"/>
      <c r="AOB118" s="47"/>
      <c r="AOC118" s="47"/>
      <c r="AOD118" s="47"/>
      <c r="AOE118" s="47"/>
      <c r="AOF118" s="47"/>
      <c r="AOG118" s="47"/>
      <c r="AOH118" s="47"/>
      <c r="AOI118" s="47"/>
      <c r="AOJ118" s="47"/>
      <c r="AOK118" s="47"/>
      <c r="AOL118" s="47"/>
      <c r="AOM118" s="47"/>
      <c r="AON118" s="47"/>
      <c r="AOO118" s="47"/>
      <c r="AOP118" s="47"/>
      <c r="AOQ118" s="47"/>
      <c r="AOR118" s="47"/>
      <c r="AOS118" s="47"/>
      <c r="AOT118" s="47"/>
      <c r="AOU118" s="47"/>
      <c r="AOV118" s="47"/>
      <c r="AOW118" s="47"/>
      <c r="AOX118" s="47"/>
      <c r="AOY118" s="47"/>
      <c r="AOZ118" s="47"/>
      <c r="APA118" s="47"/>
      <c r="APB118" s="47"/>
      <c r="APC118" s="47"/>
      <c r="APD118" s="47"/>
      <c r="APE118" s="47"/>
      <c r="APF118" s="47"/>
      <c r="APG118" s="47"/>
      <c r="APH118" s="47"/>
      <c r="API118" s="47"/>
      <c r="APJ118" s="47"/>
      <c r="APK118" s="47"/>
      <c r="APL118" s="47"/>
      <c r="APM118" s="47"/>
      <c r="APN118" s="47"/>
      <c r="APO118" s="47"/>
      <c r="APP118" s="47"/>
      <c r="APQ118" s="47"/>
      <c r="APR118" s="47"/>
      <c r="APS118" s="47"/>
      <c r="APT118" s="47"/>
      <c r="APU118" s="47"/>
      <c r="APV118" s="47"/>
      <c r="APW118" s="47"/>
      <c r="APX118" s="47"/>
      <c r="APY118" s="47"/>
      <c r="APZ118" s="47"/>
      <c r="AQA118" s="47"/>
      <c r="AQB118" s="47"/>
      <c r="AQC118" s="47"/>
      <c r="AQD118" s="47"/>
      <c r="AQE118" s="47"/>
      <c r="AQF118" s="47"/>
      <c r="AQG118" s="47"/>
      <c r="AQH118" s="47"/>
      <c r="AQI118" s="47"/>
      <c r="AQJ118" s="47"/>
      <c r="AQK118" s="47"/>
      <c r="AQL118" s="47"/>
      <c r="AQM118" s="47"/>
      <c r="AQN118" s="47"/>
      <c r="AQO118" s="47"/>
      <c r="AQP118" s="47"/>
      <c r="AQQ118" s="47"/>
      <c r="AQR118" s="47"/>
      <c r="AQS118" s="47"/>
      <c r="AQT118" s="47"/>
      <c r="AQU118" s="47"/>
      <c r="AQV118" s="47"/>
      <c r="AQW118" s="47"/>
      <c r="AQX118" s="47"/>
      <c r="AQY118" s="47"/>
      <c r="AQZ118" s="47"/>
      <c r="ARA118" s="47"/>
      <c r="ARB118" s="47"/>
      <c r="ARC118" s="47"/>
      <c r="ARD118" s="47"/>
      <c r="ARE118" s="47"/>
      <c r="ARF118" s="47"/>
      <c r="ARG118" s="47"/>
      <c r="ARH118" s="47"/>
      <c r="ARI118" s="47"/>
      <c r="ARJ118" s="47"/>
      <c r="ARK118" s="47"/>
      <c r="ARL118" s="47"/>
      <c r="ARM118" s="47"/>
      <c r="ARN118" s="47"/>
      <c r="ARO118" s="47"/>
      <c r="ARP118" s="47"/>
      <c r="ARQ118" s="47"/>
      <c r="ARR118" s="47"/>
      <c r="ARS118" s="47"/>
      <c r="ART118" s="47"/>
      <c r="ARU118" s="47"/>
      <c r="ARV118" s="47"/>
      <c r="ARW118" s="47"/>
      <c r="ARX118" s="47"/>
      <c r="ARY118" s="47"/>
      <c r="ARZ118" s="47"/>
      <c r="ASA118" s="47"/>
      <c r="ASB118" s="47"/>
      <c r="ASC118" s="47"/>
      <c r="ASD118" s="47"/>
      <c r="ASE118" s="47"/>
      <c r="ASF118" s="47"/>
      <c r="ASG118" s="47"/>
      <c r="ASH118" s="47"/>
      <c r="ASI118" s="47"/>
      <c r="ASJ118" s="47"/>
      <c r="ASK118" s="47"/>
      <c r="ASL118" s="47"/>
      <c r="ASM118" s="47"/>
      <c r="ASN118" s="47"/>
      <c r="ASO118" s="47"/>
      <c r="ASP118" s="47"/>
      <c r="ASQ118" s="47"/>
      <c r="ASR118" s="47"/>
      <c r="ASS118" s="47"/>
      <c r="AST118" s="47"/>
      <c r="ASU118" s="47"/>
      <c r="ASV118" s="47"/>
      <c r="ASW118" s="47"/>
      <c r="ASX118" s="47"/>
      <c r="ASY118" s="47"/>
      <c r="ASZ118" s="47"/>
      <c r="ATA118" s="47"/>
      <c r="ATB118" s="47"/>
      <c r="ATC118" s="47"/>
      <c r="ATD118" s="47"/>
      <c r="ATE118" s="47"/>
      <c r="ATF118" s="47"/>
      <c r="ATG118" s="47"/>
      <c r="ATH118" s="47"/>
      <c r="ATI118" s="47"/>
      <c r="ATJ118" s="47"/>
      <c r="ATK118" s="47"/>
      <c r="ATL118" s="47"/>
      <c r="ATM118" s="47"/>
      <c r="ATN118" s="47"/>
      <c r="ATO118" s="47"/>
      <c r="ATP118" s="47"/>
      <c r="ATQ118" s="47"/>
      <c r="ATR118" s="47"/>
      <c r="ATS118" s="47"/>
      <c r="ATT118" s="47"/>
      <c r="ATU118" s="47"/>
      <c r="ATV118" s="47"/>
      <c r="ATW118" s="47"/>
      <c r="ATX118" s="47"/>
      <c r="ATY118" s="47"/>
      <c r="ATZ118" s="47"/>
      <c r="AUA118" s="47"/>
      <c r="AUB118" s="47"/>
      <c r="AUC118" s="47"/>
      <c r="AUD118" s="47"/>
      <c r="AUE118" s="47"/>
      <c r="AUF118" s="47"/>
      <c r="AUG118" s="47"/>
      <c r="AUH118" s="47"/>
      <c r="AUI118" s="47"/>
      <c r="AUJ118" s="47"/>
      <c r="AUK118" s="47"/>
      <c r="AUL118" s="47"/>
      <c r="AUM118" s="47"/>
      <c r="AUN118" s="47"/>
      <c r="AUO118" s="47"/>
      <c r="AUP118" s="47"/>
      <c r="AUQ118" s="47"/>
      <c r="AUR118" s="47"/>
      <c r="AUS118" s="47"/>
      <c r="AUT118" s="47"/>
      <c r="AUU118" s="47"/>
      <c r="AUV118" s="47"/>
      <c r="AUW118" s="47"/>
      <c r="AUX118" s="47"/>
      <c r="AUY118" s="47"/>
      <c r="AUZ118" s="47"/>
      <c r="AVA118" s="47"/>
      <c r="AVB118" s="47"/>
      <c r="AVC118" s="47"/>
      <c r="AVD118" s="47"/>
      <c r="AVE118" s="47"/>
      <c r="AVF118" s="47"/>
      <c r="AVG118" s="47"/>
      <c r="AVH118" s="47"/>
      <c r="AVI118" s="47"/>
      <c r="AVJ118" s="47"/>
      <c r="AVK118" s="47"/>
      <c r="AVL118" s="47"/>
      <c r="AVM118" s="47"/>
      <c r="AVN118" s="47"/>
      <c r="AVO118" s="47"/>
      <c r="AVP118" s="47"/>
      <c r="AVQ118" s="47"/>
      <c r="AVR118" s="47"/>
      <c r="AVS118" s="47"/>
      <c r="AVT118" s="47"/>
      <c r="AVU118" s="47"/>
      <c r="AVV118" s="47"/>
      <c r="AVW118" s="47"/>
      <c r="AVX118" s="47"/>
      <c r="AVY118" s="47"/>
      <c r="AVZ118" s="47"/>
      <c r="AWA118" s="47"/>
      <c r="AWB118" s="47"/>
      <c r="AWC118" s="47"/>
      <c r="AWD118" s="47"/>
      <c r="AWE118" s="47"/>
      <c r="AWF118" s="47"/>
      <c r="AWG118" s="47"/>
      <c r="AWH118" s="47"/>
      <c r="AWI118" s="47"/>
      <c r="AWJ118" s="47"/>
      <c r="AWK118" s="47"/>
      <c r="AWL118" s="47"/>
      <c r="AWM118" s="47"/>
      <c r="AWN118" s="47"/>
      <c r="AWO118" s="47"/>
      <c r="AWP118" s="47"/>
      <c r="AWQ118" s="47"/>
      <c r="AWR118" s="47"/>
      <c r="AWS118" s="47"/>
      <c r="AWT118" s="47"/>
      <c r="AWU118" s="47"/>
      <c r="AWV118" s="47"/>
      <c r="AWW118" s="47"/>
      <c r="AWX118" s="47"/>
      <c r="AWY118" s="47"/>
      <c r="AWZ118" s="47"/>
      <c r="AXA118" s="47"/>
      <c r="AXB118" s="47"/>
      <c r="AXC118" s="47"/>
      <c r="AXD118" s="47"/>
      <c r="AXE118" s="47"/>
      <c r="AXF118" s="47"/>
      <c r="AXG118" s="47"/>
      <c r="AXH118" s="47"/>
      <c r="AXI118" s="47"/>
      <c r="AXJ118" s="47"/>
      <c r="AXK118" s="47"/>
      <c r="AXL118" s="47"/>
      <c r="AXM118" s="47"/>
      <c r="AXN118" s="47"/>
      <c r="AXO118" s="47"/>
      <c r="AXP118" s="47"/>
      <c r="AXQ118" s="47"/>
      <c r="AXR118" s="47"/>
      <c r="AXS118" s="47"/>
      <c r="AXT118" s="47"/>
      <c r="AXU118" s="47"/>
      <c r="AXV118" s="47"/>
      <c r="AXW118" s="47"/>
      <c r="AXX118" s="47"/>
      <c r="AXY118" s="47"/>
      <c r="AXZ118" s="47"/>
      <c r="AYA118" s="47"/>
      <c r="AYB118" s="47"/>
      <c r="AYC118" s="47"/>
      <c r="AYD118" s="47"/>
      <c r="AYE118" s="47"/>
      <c r="AYF118" s="47"/>
      <c r="AYG118" s="47"/>
      <c r="AYH118" s="47"/>
      <c r="AYI118" s="47"/>
      <c r="AYJ118" s="47"/>
      <c r="AYK118" s="47"/>
      <c r="AYL118" s="47"/>
      <c r="AYM118" s="47"/>
      <c r="AYN118" s="47"/>
      <c r="AYO118" s="47"/>
      <c r="AYP118" s="47"/>
      <c r="AYQ118" s="47"/>
      <c r="AYR118" s="47"/>
      <c r="AYS118" s="47"/>
      <c r="AYT118" s="47"/>
      <c r="AYU118" s="47"/>
      <c r="AYV118" s="47"/>
      <c r="AYW118" s="47"/>
      <c r="AYX118" s="47"/>
      <c r="AYY118" s="47"/>
      <c r="AYZ118" s="47"/>
      <c r="AZA118" s="47"/>
      <c r="AZB118" s="47"/>
      <c r="AZC118" s="47"/>
      <c r="AZD118" s="47"/>
      <c r="AZE118" s="47"/>
      <c r="AZF118" s="47"/>
      <c r="AZG118" s="47"/>
      <c r="AZH118" s="47"/>
      <c r="AZI118" s="47"/>
      <c r="AZJ118" s="47"/>
      <c r="AZK118" s="47"/>
      <c r="AZL118" s="47"/>
      <c r="AZM118" s="47"/>
      <c r="AZN118" s="47"/>
      <c r="AZO118" s="47"/>
      <c r="AZP118" s="47"/>
      <c r="AZQ118" s="47"/>
      <c r="AZR118" s="47"/>
      <c r="AZS118" s="47"/>
      <c r="AZT118" s="47"/>
      <c r="AZU118" s="47"/>
      <c r="AZV118" s="47"/>
      <c r="AZW118" s="47"/>
      <c r="AZX118" s="47"/>
      <c r="AZY118" s="47"/>
      <c r="AZZ118" s="47"/>
      <c r="BAA118" s="47"/>
      <c r="BAB118" s="47"/>
      <c r="BAC118" s="47"/>
      <c r="BAD118" s="47"/>
      <c r="BAE118" s="47"/>
      <c r="BAF118" s="47"/>
      <c r="BAG118" s="47"/>
      <c r="BAH118" s="47"/>
      <c r="BAI118" s="47"/>
      <c r="BAJ118" s="47"/>
      <c r="BAK118" s="47"/>
      <c r="BAL118" s="47"/>
      <c r="BAM118" s="47"/>
      <c r="BAN118" s="47"/>
      <c r="BAO118" s="47"/>
      <c r="BAP118" s="47"/>
      <c r="BAQ118" s="47"/>
      <c r="BAR118" s="47"/>
      <c r="BAS118" s="47"/>
      <c r="BAT118" s="47"/>
      <c r="BAU118" s="47"/>
      <c r="BAV118" s="47"/>
      <c r="BAW118" s="47"/>
      <c r="BAX118" s="47"/>
      <c r="BAY118" s="47"/>
      <c r="BAZ118" s="47"/>
      <c r="BBA118" s="47"/>
      <c r="BBB118" s="47"/>
      <c r="BBC118" s="47"/>
      <c r="BBD118" s="47"/>
      <c r="BBE118" s="47"/>
      <c r="BBF118" s="47"/>
      <c r="BBG118" s="47"/>
      <c r="BBH118" s="47"/>
      <c r="BBI118" s="47"/>
      <c r="BBJ118" s="47"/>
      <c r="BBK118" s="47"/>
      <c r="BBL118" s="47"/>
      <c r="BBM118" s="47"/>
      <c r="BBN118" s="47"/>
      <c r="BBO118" s="47"/>
      <c r="BBP118" s="47"/>
      <c r="BBQ118" s="47"/>
      <c r="BBR118" s="47"/>
      <c r="BBS118" s="47"/>
      <c r="BBT118" s="47"/>
      <c r="BBU118" s="47"/>
      <c r="BBV118" s="47"/>
      <c r="BBW118" s="47"/>
      <c r="BBX118" s="47"/>
      <c r="BBY118" s="47"/>
      <c r="BBZ118" s="47"/>
      <c r="BCA118" s="47"/>
      <c r="BCB118" s="47"/>
      <c r="BCC118" s="47"/>
      <c r="BCD118" s="47"/>
      <c r="BCE118" s="47"/>
      <c r="BCF118" s="47"/>
      <c r="BCG118" s="47"/>
      <c r="BCH118" s="47"/>
      <c r="BCI118" s="47"/>
      <c r="BCJ118" s="47"/>
      <c r="BCK118" s="47"/>
      <c r="BCL118" s="47"/>
      <c r="BCM118" s="47"/>
      <c r="BCN118" s="47"/>
      <c r="BCO118" s="47"/>
      <c r="BCP118" s="47"/>
      <c r="BCQ118" s="47"/>
      <c r="BCR118" s="47"/>
      <c r="BCS118" s="47"/>
      <c r="BCT118" s="47"/>
      <c r="BCU118" s="47"/>
      <c r="BCV118" s="47"/>
      <c r="BCW118" s="47"/>
      <c r="BCX118" s="47"/>
      <c r="BCY118" s="47"/>
      <c r="BCZ118" s="47"/>
      <c r="BDA118" s="47"/>
      <c r="BDB118" s="47"/>
      <c r="BDC118" s="47"/>
      <c r="BDD118" s="47"/>
      <c r="BDE118" s="47"/>
      <c r="BDF118" s="47"/>
      <c r="BDG118" s="47"/>
      <c r="BDH118" s="47"/>
      <c r="BDI118" s="47"/>
      <c r="BDJ118" s="47"/>
      <c r="BDK118" s="47"/>
      <c r="BDL118" s="47"/>
      <c r="BDM118" s="47"/>
      <c r="BDN118" s="47"/>
      <c r="BDO118" s="47"/>
      <c r="BDP118" s="47"/>
      <c r="BDQ118" s="47"/>
      <c r="BDR118" s="47"/>
      <c r="BDS118" s="47"/>
      <c r="BDT118" s="47"/>
      <c r="BDU118" s="47"/>
      <c r="BDV118" s="47"/>
      <c r="BDW118" s="47"/>
      <c r="BDX118" s="47"/>
      <c r="BDY118" s="47"/>
      <c r="BDZ118" s="47"/>
      <c r="BEA118" s="47"/>
      <c r="BEB118" s="47"/>
      <c r="BEC118" s="47"/>
      <c r="BED118" s="47"/>
      <c r="BEE118" s="47"/>
      <c r="BEF118" s="47"/>
      <c r="BEG118" s="47"/>
      <c r="BEH118" s="47"/>
      <c r="BEI118" s="47"/>
      <c r="BEJ118" s="47"/>
      <c r="BEK118" s="47"/>
      <c r="BEL118" s="47"/>
      <c r="BEM118" s="47"/>
      <c r="BEN118" s="47"/>
      <c r="BEO118" s="47"/>
      <c r="BEP118" s="47"/>
      <c r="BEQ118" s="47"/>
      <c r="BER118" s="47"/>
      <c r="BES118" s="47"/>
      <c r="BET118" s="47"/>
      <c r="BEU118" s="47"/>
      <c r="BEV118" s="47"/>
      <c r="BEW118" s="47"/>
      <c r="BEX118" s="47"/>
      <c r="BEY118" s="47"/>
      <c r="BEZ118" s="47"/>
      <c r="BFA118" s="47"/>
      <c r="BFB118" s="47"/>
      <c r="BFC118" s="47"/>
      <c r="BFD118" s="47"/>
      <c r="BFE118" s="47"/>
      <c r="BFF118" s="47"/>
      <c r="BFG118" s="47"/>
      <c r="BFH118" s="47"/>
      <c r="BFI118" s="47"/>
      <c r="BFJ118" s="47"/>
      <c r="BFK118" s="47"/>
      <c r="BFL118" s="47"/>
      <c r="BFM118" s="47"/>
      <c r="BFN118" s="47"/>
      <c r="BFO118" s="47"/>
      <c r="BFP118" s="47"/>
      <c r="BFQ118" s="47"/>
      <c r="BFR118" s="47"/>
      <c r="BFS118" s="47"/>
      <c r="BFT118" s="47"/>
      <c r="BFU118" s="47"/>
      <c r="BFV118" s="47"/>
      <c r="BFW118" s="47"/>
      <c r="BFX118" s="47"/>
      <c r="BFY118" s="47"/>
      <c r="BFZ118" s="47"/>
      <c r="BGA118" s="47"/>
      <c r="BGB118" s="47"/>
      <c r="BGC118" s="47"/>
      <c r="BGD118" s="47"/>
      <c r="BGE118" s="47"/>
      <c r="BGF118" s="47"/>
      <c r="BGG118" s="47"/>
      <c r="BGH118" s="47"/>
      <c r="BGI118" s="47"/>
      <c r="BGJ118" s="47"/>
      <c r="BGK118" s="47"/>
      <c r="BGL118" s="47"/>
      <c r="BGM118" s="47"/>
      <c r="BGN118" s="47"/>
      <c r="BGO118" s="47"/>
      <c r="BGP118" s="47"/>
      <c r="BGQ118" s="47"/>
      <c r="BGR118" s="47"/>
      <c r="BGS118" s="47"/>
      <c r="BGT118" s="47"/>
      <c r="BGU118" s="47"/>
      <c r="BGV118" s="47"/>
      <c r="BGW118" s="47"/>
      <c r="BGX118" s="47"/>
      <c r="BGY118" s="47"/>
      <c r="BGZ118" s="47"/>
      <c r="BHA118" s="47"/>
      <c r="BHB118" s="47"/>
      <c r="BHC118" s="47"/>
      <c r="BHD118" s="47"/>
      <c r="BHE118" s="47"/>
      <c r="BHF118" s="47"/>
      <c r="BHG118" s="47"/>
      <c r="BHH118" s="47"/>
      <c r="BHI118" s="47"/>
      <c r="BHJ118" s="47"/>
      <c r="BHK118" s="47"/>
      <c r="BHL118" s="47"/>
      <c r="BHM118" s="47"/>
      <c r="BHN118" s="47"/>
      <c r="BHO118" s="47"/>
      <c r="BHP118" s="47"/>
      <c r="BHQ118" s="47"/>
      <c r="BHR118" s="47"/>
      <c r="BHS118" s="47"/>
      <c r="BHT118" s="47"/>
      <c r="BHU118" s="47"/>
      <c r="BHV118" s="47"/>
      <c r="BHW118" s="47"/>
      <c r="BHX118" s="47"/>
      <c r="BHY118" s="47"/>
      <c r="BHZ118" s="47"/>
      <c r="BIA118" s="47"/>
      <c r="BIB118" s="47"/>
      <c r="BIC118" s="47"/>
      <c r="BID118" s="47"/>
      <c r="BIE118" s="47"/>
      <c r="BIF118" s="47"/>
      <c r="BIG118" s="47"/>
      <c r="BIH118" s="47"/>
      <c r="BII118" s="47"/>
      <c r="BIJ118" s="47"/>
      <c r="BIK118" s="47"/>
      <c r="BIL118" s="47"/>
      <c r="BIM118" s="47"/>
      <c r="BIN118" s="47"/>
      <c r="BIO118" s="47"/>
      <c r="BIP118" s="47"/>
      <c r="BIQ118" s="47"/>
      <c r="BIR118" s="47"/>
      <c r="BIS118" s="47"/>
      <c r="BIT118" s="47"/>
      <c r="BIU118" s="47"/>
      <c r="BIV118" s="47"/>
      <c r="BIW118" s="47"/>
      <c r="BIX118" s="47"/>
      <c r="BIY118" s="47"/>
      <c r="BIZ118" s="47"/>
      <c r="BJA118" s="47"/>
      <c r="BJB118" s="47"/>
      <c r="BJC118" s="47"/>
      <c r="BJD118" s="47"/>
      <c r="BJE118" s="47"/>
      <c r="BJF118" s="47"/>
      <c r="BJG118" s="47"/>
      <c r="BJH118" s="47"/>
      <c r="BJI118" s="47"/>
      <c r="BJJ118" s="47"/>
      <c r="BJK118" s="47"/>
      <c r="BJL118" s="47"/>
      <c r="BJM118" s="47"/>
      <c r="BJN118" s="47"/>
      <c r="BJO118" s="47"/>
      <c r="BJP118" s="47"/>
      <c r="BJQ118" s="47"/>
      <c r="BJR118" s="47"/>
      <c r="BJS118" s="47"/>
      <c r="BJT118" s="47"/>
      <c r="BJU118" s="47"/>
      <c r="BJV118" s="47"/>
      <c r="BJW118" s="47"/>
      <c r="BJX118" s="47"/>
      <c r="BJY118" s="47"/>
      <c r="BJZ118" s="47"/>
      <c r="BKA118" s="47"/>
      <c r="BKB118" s="47"/>
      <c r="BKC118" s="47"/>
      <c r="BKD118" s="47"/>
      <c r="BKE118" s="47"/>
      <c r="BKF118" s="47"/>
      <c r="BKG118" s="47"/>
      <c r="BKH118" s="47"/>
      <c r="BKI118" s="47"/>
      <c r="BKJ118" s="47"/>
      <c r="BKK118" s="47"/>
      <c r="BKL118" s="47"/>
      <c r="BKM118" s="47"/>
      <c r="BKN118" s="47"/>
      <c r="BKO118" s="47"/>
      <c r="BKP118" s="47"/>
      <c r="BKQ118" s="47"/>
      <c r="BKR118" s="47"/>
      <c r="BKS118" s="47"/>
      <c r="BKT118" s="47"/>
      <c r="BKU118" s="47"/>
      <c r="BKV118" s="47"/>
      <c r="BKW118" s="47"/>
      <c r="BKX118" s="47"/>
      <c r="BKY118" s="47"/>
      <c r="BKZ118" s="47"/>
      <c r="BLA118" s="47"/>
      <c r="BLB118" s="47"/>
      <c r="BLC118" s="47"/>
      <c r="BLD118" s="47"/>
      <c r="BLE118" s="47"/>
      <c r="BLF118" s="47"/>
      <c r="BLG118" s="47"/>
      <c r="BLH118" s="47"/>
      <c r="BLI118" s="47"/>
      <c r="BLJ118" s="47"/>
      <c r="BLK118" s="47"/>
      <c r="BLL118" s="47"/>
      <c r="BLM118" s="47"/>
      <c r="BLN118" s="47"/>
      <c r="BLO118" s="47"/>
      <c r="BLP118" s="47"/>
      <c r="BLQ118" s="47"/>
      <c r="BLR118" s="47"/>
      <c r="BLS118" s="47"/>
      <c r="BLT118" s="47"/>
      <c r="BLU118" s="47"/>
      <c r="BLV118" s="47"/>
      <c r="BLW118" s="47"/>
      <c r="BLX118" s="47"/>
      <c r="BLY118" s="47"/>
      <c r="BLZ118" s="47"/>
      <c r="BMA118" s="47"/>
      <c r="BMB118" s="47"/>
      <c r="BMC118" s="47"/>
      <c r="BMD118" s="47"/>
      <c r="BME118" s="47"/>
      <c r="BMF118" s="47"/>
      <c r="BMG118" s="47"/>
      <c r="BMH118" s="47"/>
      <c r="BMI118" s="47"/>
      <c r="BMJ118" s="47"/>
      <c r="BMK118" s="47"/>
      <c r="BML118" s="47"/>
      <c r="BMM118" s="47"/>
      <c r="BMN118" s="47"/>
      <c r="BMO118" s="47"/>
      <c r="BMP118" s="47"/>
      <c r="BMQ118" s="47"/>
      <c r="BMR118" s="47"/>
      <c r="BMS118" s="47"/>
      <c r="BMT118" s="47"/>
      <c r="BMU118" s="47"/>
      <c r="BMV118" s="47"/>
      <c r="BMW118" s="47"/>
      <c r="BMX118" s="47"/>
      <c r="BMY118" s="47"/>
      <c r="BMZ118" s="47"/>
      <c r="BNA118" s="47"/>
      <c r="BNB118" s="47"/>
      <c r="BNC118" s="47"/>
      <c r="BND118" s="47"/>
      <c r="BNE118" s="47"/>
      <c r="BNF118" s="47"/>
      <c r="BNG118" s="47"/>
      <c r="BNH118" s="47"/>
      <c r="BNI118" s="47"/>
      <c r="BNJ118" s="47"/>
      <c r="BNK118" s="47"/>
      <c r="BNL118" s="47"/>
      <c r="BNM118" s="47"/>
      <c r="BNN118" s="47"/>
      <c r="BNO118" s="47"/>
      <c r="BNP118" s="47"/>
      <c r="BNQ118" s="47"/>
      <c r="BNR118" s="47"/>
      <c r="BNS118" s="47"/>
      <c r="BNT118" s="47"/>
      <c r="BNU118" s="47"/>
      <c r="BNV118" s="47"/>
      <c r="BNW118" s="47"/>
      <c r="BNX118" s="47"/>
      <c r="BNY118" s="47"/>
      <c r="BNZ118" s="47"/>
      <c r="BOA118" s="47"/>
      <c r="BOB118" s="47"/>
      <c r="BOC118" s="47"/>
      <c r="BOD118" s="47"/>
      <c r="BOE118" s="47"/>
      <c r="BOF118" s="47"/>
      <c r="BOG118" s="47"/>
      <c r="BOH118" s="47"/>
      <c r="BOI118" s="47"/>
      <c r="BOJ118" s="47"/>
      <c r="BOK118" s="47"/>
      <c r="BOL118" s="47"/>
      <c r="BOM118" s="47"/>
      <c r="BON118" s="47"/>
      <c r="BOO118" s="47"/>
      <c r="BOP118" s="47"/>
      <c r="BOQ118" s="47"/>
      <c r="BOR118" s="47"/>
      <c r="BOS118" s="47"/>
      <c r="BOT118" s="47"/>
      <c r="BOU118" s="47"/>
      <c r="BOV118" s="47"/>
      <c r="BOW118" s="47"/>
      <c r="BOX118" s="47"/>
      <c r="BOY118" s="47"/>
      <c r="BOZ118" s="47"/>
      <c r="BPA118" s="47"/>
      <c r="BPB118" s="47"/>
      <c r="BPC118" s="47"/>
      <c r="BPD118" s="47"/>
      <c r="BPE118" s="47"/>
      <c r="BPF118" s="47"/>
      <c r="BPG118" s="47"/>
      <c r="BPH118" s="47"/>
      <c r="BPI118" s="47"/>
      <c r="BPJ118" s="47"/>
      <c r="BPK118" s="47"/>
      <c r="BPL118" s="47"/>
      <c r="BPM118" s="47"/>
      <c r="BPN118" s="47"/>
      <c r="BPO118" s="47"/>
      <c r="BPP118" s="47"/>
      <c r="BPQ118" s="47"/>
      <c r="BPR118" s="47"/>
      <c r="BPS118" s="47"/>
      <c r="BPT118" s="47"/>
      <c r="BPU118" s="47"/>
      <c r="BPV118" s="47"/>
      <c r="BPW118" s="47"/>
      <c r="BPX118" s="47"/>
      <c r="BPY118" s="47"/>
      <c r="BPZ118" s="47"/>
      <c r="BQA118" s="47"/>
      <c r="BQB118" s="47"/>
      <c r="BQC118" s="47"/>
      <c r="BQD118" s="47"/>
      <c r="BQE118" s="47"/>
      <c r="BQF118" s="47"/>
      <c r="BQG118" s="47"/>
      <c r="BQH118" s="47"/>
      <c r="BQI118" s="47"/>
      <c r="BQJ118" s="47"/>
      <c r="BQK118" s="47"/>
      <c r="BQL118" s="47"/>
      <c r="BQM118" s="47"/>
      <c r="BQN118" s="47"/>
      <c r="BQO118" s="47"/>
      <c r="BQP118" s="47"/>
      <c r="BQQ118" s="47"/>
      <c r="BQR118" s="47"/>
      <c r="BQS118" s="47"/>
      <c r="BQT118" s="47"/>
      <c r="BQU118" s="47"/>
      <c r="BQV118" s="47"/>
      <c r="BQW118" s="47"/>
      <c r="BQX118" s="47"/>
      <c r="BQY118" s="47"/>
      <c r="BQZ118" s="47"/>
      <c r="BRA118" s="47"/>
      <c r="BRB118" s="47"/>
      <c r="BRC118" s="47"/>
      <c r="BRD118" s="47"/>
      <c r="BRE118" s="47"/>
      <c r="BRF118" s="47"/>
      <c r="BRG118" s="47"/>
      <c r="BRH118" s="47"/>
      <c r="BRI118" s="47"/>
      <c r="BRJ118" s="47"/>
      <c r="BRK118" s="47"/>
      <c r="BRL118" s="47"/>
      <c r="BRM118" s="47"/>
      <c r="BRN118" s="47"/>
      <c r="BRO118" s="47"/>
      <c r="BRP118" s="47"/>
      <c r="BRQ118" s="47"/>
      <c r="BRR118" s="47"/>
      <c r="BRS118" s="47"/>
      <c r="BRT118" s="47"/>
      <c r="BRU118" s="47"/>
      <c r="BRV118" s="47"/>
      <c r="BRW118" s="47"/>
      <c r="BRX118" s="47"/>
      <c r="BRY118" s="47"/>
      <c r="BRZ118" s="47"/>
      <c r="BSA118" s="47"/>
      <c r="BSB118" s="47"/>
      <c r="BSC118" s="47"/>
      <c r="BSD118" s="47"/>
      <c r="BSE118" s="47"/>
      <c r="BSF118" s="47"/>
      <c r="BSG118" s="47"/>
      <c r="BSH118" s="47"/>
      <c r="BSI118" s="47"/>
      <c r="BSJ118" s="47"/>
      <c r="BSK118" s="47"/>
      <c r="BSL118" s="47"/>
      <c r="BSM118" s="47"/>
      <c r="BSN118" s="47"/>
      <c r="BSO118" s="47"/>
      <c r="BSP118" s="47"/>
      <c r="BSQ118" s="47"/>
      <c r="BSR118" s="47"/>
      <c r="BSS118" s="47"/>
      <c r="BST118" s="47"/>
      <c r="BSU118" s="47"/>
      <c r="BSV118" s="47"/>
      <c r="BSW118" s="47"/>
      <c r="BSX118" s="47"/>
      <c r="BSY118" s="47"/>
      <c r="BSZ118" s="47"/>
      <c r="BTA118" s="47"/>
      <c r="BTB118" s="47"/>
      <c r="BTC118" s="47"/>
      <c r="BTD118" s="47"/>
      <c r="BTE118" s="47"/>
      <c r="BTF118" s="47"/>
      <c r="BTG118" s="47"/>
      <c r="BTH118" s="47"/>
      <c r="BTI118" s="47"/>
      <c r="BTJ118" s="47"/>
      <c r="BTK118" s="47"/>
      <c r="BTL118" s="47"/>
      <c r="BTM118" s="47"/>
      <c r="BTN118" s="47"/>
      <c r="BTO118" s="47"/>
      <c r="BTP118" s="47"/>
      <c r="BTQ118" s="47"/>
      <c r="BTR118" s="47"/>
      <c r="BTS118" s="47"/>
      <c r="BTT118" s="47"/>
      <c r="BTU118" s="47"/>
      <c r="BTV118" s="47"/>
      <c r="BTW118" s="47"/>
      <c r="BTX118" s="47"/>
      <c r="BTY118" s="47"/>
      <c r="BTZ118" s="47"/>
      <c r="BUA118" s="47"/>
      <c r="BUB118" s="47"/>
      <c r="BUC118" s="47"/>
      <c r="BUD118" s="47"/>
      <c r="BUE118" s="47"/>
      <c r="BUF118" s="47"/>
      <c r="BUG118" s="47"/>
      <c r="BUH118" s="47"/>
      <c r="BUI118" s="47"/>
      <c r="BUJ118" s="47"/>
      <c r="BUK118" s="47"/>
      <c r="BUL118" s="47"/>
      <c r="BUM118" s="47"/>
      <c r="BUN118" s="47"/>
      <c r="BUO118" s="47"/>
      <c r="BUP118" s="47"/>
      <c r="BUQ118" s="47"/>
      <c r="BUR118" s="47"/>
      <c r="BUS118" s="47"/>
      <c r="BUT118" s="47"/>
      <c r="BUU118" s="47"/>
      <c r="BUV118" s="47"/>
      <c r="BUW118" s="47"/>
      <c r="BUX118" s="47"/>
      <c r="BUY118" s="47"/>
      <c r="BUZ118" s="47"/>
      <c r="BVA118" s="47"/>
      <c r="BVB118" s="47"/>
      <c r="BVC118" s="47"/>
      <c r="BVD118" s="47"/>
      <c r="BVE118" s="47"/>
      <c r="BVF118" s="47"/>
      <c r="BVG118" s="47"/>
      <c r="BVH118" s="47"/>
      <c r="BVI118" s="47"/>
      <c r="BVJ118" s="47"/>
      <c r="BVK118" s="47"/>
      <c r="BVL118" s="47"/>
      <c r="BVM118" s="47"/>
      <c r="BVN118" s="47"/>
      <c r="BVO118" s="47"/>
      <c r="BVP118" s="47"/>
      <c r="BVQ118" s="47"/>
      <c r="BVR118" s="47"/>
      <c r="BVS118" s="47"/>
      <c r="BVT118" s="47"/>
      <c r="BVU118" s="47"/>
      <c r="BVV118" s="47"/>
      <c r="BVW118" s="47"/>
      <c r="BVX118" s="47"/>
      <c r="BVY118" s="47"/>
      <c r="BVZ118" s="47"/>
      <c r="BWA118" s="47"/>
      <c r="BWB118" s="47"/>
      <c r="BWC118" s="47"/>
      <c r="BWD118" s="47"/>
      <c r="BWE118" s="47"/>
      <c r="BWF118" s="47"/>
      <c r="BWG118" s="47"/>
      <c r="BWH118" s="47"/>
      <c r="BWI118" s="47"/>
      <c r="BWJ118" s="47"/>
      <c r="BWK118" s="47"/>
      <c r="BWL118" s="47"/>
      <c r="BWM118" s="47"/>
      <c r="BWN118" s="47"/>
      <c r="BWO118" s="47"/>
      <c r="BWP118" s="47"/>
      <c r="BWQ118" s="47"/>
      <c r="BWR118" s="47"/>
      <c r="BWS118" s="47"/>
      <c r="BWT118" s="47"/>
      <c r="BWU118" s="47"/>
      <c r="BWV118" s="47"/>
      <c r="BWW118" s="47"/>
      <c r="BWX118" s="47"/>
      <c r="BWY118" s="47"/>
      <c r="BWZ118" s="47"/>
      <c r="BXA118" s="47"/>
      <c r="BXB118" s="47"/>
      <c r="BXC118" s="47"/>
      <c r="BXD118" s="47"/>
      <c r="BXE118" s="47"/>
      <c r="BXF118" s="47"/>
      <c r="BXG118" s="47"/>
      <c r="BXH118" s="47"/>
      <c r="BXI118" s="47"/>
      <c r="BXJ118" s="47"/>
      <c r="BXK118" s="47"/>
      <c r="BXL118" s="47"/>
      <c r="BXM118" s="47"/>
      <c r="BXN118" s="47"/>
      <c r="BXO118" s="47"/>
      <c r="BXP118" s="47"/>
      <c r="BXQ118" s="47"/>
      <c r="BXR118" s="47"/>
      <c r="BXS118" s="47"/>
      <c r="BXT118" s="47"/>
      <c r="BXU118" s="47"/>
      <c r="BXV118" s="47"/>
      <c r="BXW118" s="47"/>
      <c r="BXX118" s="47"/>
      <c r="BXY118" s="47"/>
      <c r="BXZ118" s="47"/>
      <c r="BYA118" s="47"/>
      <c r="BYB118" s="47"/>
      <c r="BYC118" s="47"/>
      <c r="BYD118" s="47"/>
      <c r="BYE118" s="47"/>
      <c r="BYF118" s="47"/>
      <c r="BYG118" s="47"/>
      <c r="BYH118" s="47"/>
      <c r="BYI118" s="47"/>
      <c r="BYJ118" s="47"/>
      <c r="BYK118" s="47"/>
      <c r="BYL118" s="47"/>
      <c r="BYM118" s="47"/>
      <c r="BYN118" s="47"/>
      <c r="BYO118" s="47"/>
      <c r="BYP118" s="47"/>
      <c r="BYQ118" s="47"/>
      <c r="BYR118" s="47"/>
      <c r="BYS118" s="47"/>
      <c r="BYT118" s="47"/>
      <c r="BYU118" s="47"/>
      <c r="BYV118" s="47"/>
      <c r="BYW118" s="47"/>
      <c r="BYX118" s="47"/>
      <c r="BYY118" s="47"/>
      <c r="BYZ118" s="47"/>
      <c r="BZA118" s="47"/>
      <c r="BZB118" s="47"/>
      <c r="BZC118" s="47"/>
      <c r="BZD118" s="47"/>
      <c r="BZE118" s="47"/>
      <c r="BZF118" s="47"/>
      <c r="BZG118" s="47"/>
      <c r="BZH118" s="47"/>
      <c r="BZI118" s="47"/>
      <c r="BZJ118" s="47"/>
      <c r="BZK118" s="47"/>
      <c r="BZL118" s="47"/>
      <c r="BZM118" s="47"/>
      <c r="BZN118" s="47"/>
      <c r="BZO118" s="47"/>
      <c r="BZP118" s="47"/>
      <c r="BZQ118" s="47"/>
      <c r="BZR118" s="47"/>
      <c r="BZS118" s="47"/>
      <c r="BZT118" s="47"/>
      <c r="BZU118" s="47"/>
      <c r="BZV118" s="47"/>
      <c r="BZW118" s="47"/>
      <c r="BZX118" s="47"/>
      <c r="BZY118" s="47"/>
      <c r="BZZ118" s="47"/>
      <c r="CAA118" s="47"/>
      <c r="CAB118" s="47"/>
      <c r="CAC118" s="47"/>
      <c r="CAD118" s="47"/>
      <c r="CAE118" s="47"/>
      <c r="CAF118" s="47"/>
      <c r="CAG118" s="47"/>
      <c r="CAH118" s="47"/>
      <c r="CAI118" s="47"/>
      <c r="CAJ118" s="47"/>
      <c r="CAK118" s="47"/>
      <c r="CAL118" s="47"/>
      <c r="CAM118" s="47"/>
      <c r="CAN118" s="47"/>
      <c r="CAO118" s="47"/>
      <c r="CAP118" s="47"/>
      <c r="CAQ118" s="47"/>
      <c r="CAR118" s="47"/>
      <c r="CAS118" s="47"/>
      <c r="CAT118" s="47"/>
      <c r="CAU118" s="47"/>
      <c r="CAV118" s="47"/>
      <c r="CAW118" s="47"/>
      <c r="CAX118" s="47"/>
      <c r="CAY118" s="47"/>
      <c r="CAZ118" s="47"/>
      <c r="CBA118" s="47"/>
      <c r="CBB118" s="47"/>
      <c r="CBC118" s="47"/>
      <c r="CBD118" s="47"/>
      <c r="CBE118" s="47"/>
      <c r="CBF118" s="47"/>
      <c r="CBG118" s="47"/>
      <c r="CBH118" s="47"/>
    </row>
    <row r="119" spans="1:2088" x14ac:dyDescent="0.2">
      <c r="A119" s="13" t="s">
        <v>129</v>
      </c>
      <c r="B119" s="59" t="str">
        <f t="shared" ref="B119" si="21">IFERROR(IF(B109="yes",$A$109,IF(B110="yes",$A$110,IF(B111="yes",$A$111,IF(B112="yes",$A$112,IF(B115="yes",$A$115,""))))), "")</f>
        <v/>
      </c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  <c r="DS119" s="47"/>
      <c r="DT119" s="47"/>
      <c r="DU119" s="47"/>
      <c r="DV119" s="47"/>
      <c r="DW119" s="47"/>
      <c r="DX119" s="47"/>
      <c r="DY119" s="47"/>
      <c r="DZ119" s="47"/>
      <c r="EA119" s="47"/>
      <c r="EB119" s="47"/>
      <c r="EC119" s="47"/>
      <c r="ED119" s="47"/>
      <c r="EE119" s="47"/>
      <c r="EF119" s="47"/>
      <c r="EG119" s="47"/>
      <c r="EH119" s="47"/>
      <c r="EI119" s="47"/>
      <c r="EJ119" s="47"/>
      <c r="EK119" s="47"/>
      <c r="EL119" s="47"/>
      <c r="EM119" s="47"/>
      <c r="EN119" s="47"/>
      <c r="EO119" s="47"/>
      <c r="EP119" s="47"/>
      <c r="EQ119" s="47"/>
      <c r="ER119" s="47"/>
      <c r="ES119" s="47"/>
      <c r="ET119" s="47"/>
      <c r="EU119" s="47"/>
      <c r="EV119" s="47"/>
      <c r="EW119" s="47"/>
      <c r="EX119" s="47"/>
      <c r="EY119" s="47"/>
      <c r="EZ119" s="47"/>
      <c r="FA119" s="47"/>
      <c r="FB119" s="47"/>
      <c r="FC119" s="47"/>
      <c r="FD119" s="47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7"/>
      <c r="FP119" s="47"/>
      <c r="FQ119" s="47"/>
      <c r="FR119" s="47"/>
      <c r="FS119" s="47"/>
      <c r="FT119" s="47"/>
      <c r="FU119" s="47"/>
      <c r="FV119" s="47"/>
      <c r="FW119" s="47"/>
      <c r="FX119" s="47"/>
      <c r="FY119" s="47"/>
      <c r="FZ119" s="47"/>
      <c r="GA119" s="47"/>
      <c r="GB119" s="47"/>
      <c r="GC119" s="47"/>
      <c r="GD119" s="47"/>
      <c r="GE119" s="47"/>
      <c r="GF119" s="47"/>
      <c r="GG119" s="47"/>
      <c r="GH119" s="47"/>
      <c r="GI119" s="47"/>
      <c r="GJ119" s="47"/>
      <c r="GK119" s="47"/>
      <c r="GL119" s="47"/>
      <c r="GM119" s="47"/>
      <c r="GN119" s="47"/>
      <c r="GO119" s="47"/>
      <c r="GP119" s="47"/>
      <c r="GQ119" s="47"/>
      <c r="GR119" s="47"/>
      <c r="GS119" s="47"/>
      <c r="GT119" s="47"/>
      <c r="GU119" s="47"/>
      <c r="GV119" s="47"/>
      <c r="GW119" s="47"/>
      <c r="GX119" s="47"/>
      <c r="GY119" s="47"/>
      <c r="GZ119" s="47"/>
      <c r="HA119" s="47"/>
      <c r="HB119" s="47"/>
      <c r="HC119" s="47"/>
      <c r="HD119" s="47"/>
      <c r="HE119" s="47"/>
      <c r="HF119" s="47"/>
      <c r="HG119" s="47"/>
      <c r="HH119" s="47"/>
      <c r="HI119" s="47"/>
      <c r="HJ119" s="47"/>
      <c r="HK119" s="47"/>
      <c r="HL119" s="47"/>
      <c r="HM119" s="47"/>
      <c r="HN119" s="47"/>
      <c r="HO119" s="47"/>
      <c r="HP119" s="47"/>
      <c r="HQ119" s="47"/>
      <c r="HR119" s="47"/>
      <c r="HS119" s="47"/>
      <c r="HT119" s="47"/>
      <c r="HU119" s="47"/>
      <c r="HV119" s="47"/>
      <c r="HW119" s="47"/>
      <c r="HX119" s="47"/>
      <c r="HY119" s="47"/>
      <c r="HZ119" s="47"/>
      <c r="IA119" s="47"/>
      <c r="IB119" s="47"/>
      <c r="IC119" s="47"/>
      <c r="ID119" s="47"/>
      <c r="IE119" s="47"/>
      <c r="IF119" s="47"/>
      <c r="IG119" s="47"/>
      <c r="IH119" s="47"/>
      <c r="II119" s="47"/>
      <c r="IJ119" s="47"/>
      <c r="IK119" s="47"/>
      <c r="IL119" s="47"/>
      <c r="IM119" s="47"/>
      <c r="IN119" s="47"/>
      <c r="IO119" s="47"/>
      <c r="IP119" s="47"/>
      <c r="IQ119" s="47"/>
      <c r="IR119" s="47"/>
      <c r="IS119" s="47"/>
      <c r="IT119" s="47"/>
      <c r="IU119" s="47"/>
      <c r="IV119" s="47"/>
      <c r="IW119" s="47"/>
      <c r="IX119" s="47"/>
      <c r="IY119" s="47"/>
      <c r="IZ119" s="47"/>
      <c r="JA119" s="47"/>
      <c r="JB119" s="47"/>
      <c r="JC119" s="47"/>
      <c r="JD119" s="47"/>
      <c r="JE119" s="47"/>
      <c r="JF119" s="47"/>
      <c r="JG119" s="47"/>
      <c r="JH119" s="47"/>
      <c r="JI119" s="47"/>
      <c r="JJ119" s="47"/>
      <c r="JK119" s="47"/>
      <c r="JL119" s="47"/>
      <c r="JM119" s="47"/>
      <c r="JN119" s="47"/>
      <c r="JO119" s="47"/>
      <c r="JP119" s="47"/>
      <c r="JQ119" s="47"/>
      <c r="JR119" s="47"/>
      <c r="JS119" s="47"/>
      <c r="JT119" s="47"/>
      <c r="JU119" s="47"/>
      <c r="JV119" s="47"/>
      <c r="JW119" s="47"/>
      <c r="JX119" s="47"/>
      <c r="JY119" s="47"/>
      <c r="JZ119" s="47"/>
      <c r="KA119" s="47"/>
      <c r="KB119" s="47"/>
      <c r="KC119" s="47"/>
      <c r="KD119" s="47"/>
      <c r="KE119" s="47"/>
      <c r="KF119" s="47"/>
      <c r="KG119" s="47"/>
      <c r="KH119" s="47"/>
      <c r="KI119" s="47"/>
      <c r="KJ119" s="47"/>
      <c r="KK119" s="47"/>
      <c r="KL119" s="47"/>
      <c r="KM119" s="47"/>
      <c r="KN119" s="47"/>
      <c r="KO119" s="47"/>
      <c r="KP119" s="47"/>
      <c r="KQ119" s="47"/>
      <c r="KR119" s="47"/>
      <c r="KS119" s="47"/>
      <c r="KT119" s="47"/>
      <c r="KU119" s="47"/>
      <c r="KV119" s="47"/>
      <c r="KW119" s="47"/>
      <c r="KX119" s="47"/>
      <c r="KY119" s="47"/>
      <c r="KZ119" s="47"/>
      <c r="LA119" s="47"/>
      <c r="LB119" s="47"/>
      <c r="LC119" s="47"/>
      <c r="LD119" s="47"/>
      <c r="LE119" s="47"/>
      <c r="LF119" s="47"/>
      <c r="LG119" s="47"/>
      <c r="LH119" s="47"/>
      <c r="LI119" s="47"/>
      <c r="LJ119" s="47"/>
      <c r="LK119" s="47"/>
      <c r="LL119" s="47"/>
      <c r="LM119" s="47"/>
      <c r="LN119" s="47"/>
      <c r="LO119" s="47"/>
      <c r="LP119" s="47"/>
      <c r="LQ119" s="47"/>
      <c r="LR119" s="47"/>
      <c r="LS119" s="47"/>
      <c r="LT119" s="47"/>
      <c r="LU119" s="47"/>
      <c r="LV119" s="47"/>
      <c r="LW119" s="47"/>
      <c r="LX119" s="47"/>
      <c r="LY119" s="47"/>
      <c r="LZ119" s="47"/>
      <c r="MA119" s="47"/>
      <c r="MB119" s="47"/>
      <c r="MC119" s="47"/>
      <c r="MD119" s="47"/>
      <c r="ME119" s="47"/>
      <c r="MF119" s="47"/>
      <c r="MG119" s="47"/>
      <c r="MH119" s="47"/>
      <c r="MI119" s="47"/>
      <c r="MJ119" s="47"/>
      <c r="MK119" s="47"/>
      <c r="ML119" s="47"/>
      <c r="MM119" s="47"/>
      <c r="MN119" s="47"/>
      <c r="MO119" s="47"/>
      <c r="MP119" s="47"/>
      <c r="MQ119" s="47"/>
      <c r="MR119" s="47"/>
      <c r="MS119" s="47"/>
      <c r="MT119" s="47"/>
      <c r="MU119" s="47"/>
      <c r="MV119" s="47"/>
      <c r="MW119" s="47"/>
      <c r="MX119" s="47"/>
      <c r="MY119" s="47"/>
      <c r="MZ119" s="47"/>
      <c r="NA119" s="47"/>
      <c r="NB119" s="47"/>
      <c r="NC119" s="47"/>
      <c r="ND119" s="47"/>
      <c r="NE119" s="47"/>
      <c r="NF119" s="47"/>
      <c r="NG119" s="47"/>
      <c r="NH119" s="47"/>
      <c r="NI119" s="47"/>
      <c r="NJ119" s="47"/>
      <c r="NK119" s="47"/>
      <c r="NL119" s="47"/>
      <c r="NM119" s="47"/>
      <c r="NN119" s="47"/>
      <c r="NO119" s="47"/>
      <c r="NP119" s="47"/>
      <c r="NQ119" s="47"/>
      <c r="NR119" s="47"/>
      <c r="NS119" s="47"/>
      <c r="NT119" s="47"/>
      <c r="NU119" s="47"/>
      <c r="NV119" s="47"/>
      <c r="NW119" s="47"/>
      <c r="NX119" s="47"/>
      <c r="NY119" s="47"/>
      <c r="NZ119" s="47"/>
      <c r="OA119" s="47"/>
      <c r="OB119" s="47"/>
      <c r="OC119" s="47"/>
      <c r="OD119" s="47"/>
      <c r="OE119" s="47"/>
      <c r="OF119" s="47"/>
      <c r="OG119" s="47"/>
      <c r="OH119" s="47"/>
      <c r="OI119" s="47"/>
      <c r="OJ119" s="47"/>
      <c r="OK119" s="47"/>
      <c r="OL119" s="47"/>
      <c r="OM119" s="47"/>
      <c r="ON119" s="47"/>
      <c r="OO119" s="47"/>
      <c r="OP119" s="47"/>
      <c r="OQ119" s="47"/>
      <c r="OR119" s="47"/>
      <c r="OS119" s="47"/>
      <c r="OT119" s="47"/>
      <c r="OU119" s="47"/>
      <c r="OV119" s="47"/>
      <c r="OW119" s="47"/>
      <c r="OX119" s="47"/>
      <c r="OY119" s="47"/>
      <c r="OZ119" s="47"/>
      <c r="PA119" s="47"/>
      <c r="PB119" s="47"/>
      <c r="PC119" s="47"/>
      <c r="PD119" s="47"/>
      <c r="PE119" s="47"/>
      <c r="PF119" s="47"/>
      <c r="PG119" s="47"/>
      <c r="PH119" s="47"/>
      <c r="PI119" s="47"/>
      <c r="PJ119" s="47"/>
      <c r="PK119" s="47"/>
      <c r="PL119" s="47"/>
      <c r="PM119" s="47"/>
      <c r="PN119" s="47"/>
      <c r="PO119" s="47"/>
      <c r="PP119" s="47"/>
      <c r="PQ119" s="47"/>
      <c r="PR119" s="47"/>
      <c r="PS119" s="47"/>
      <c r="PT119" s="47"/>
      <c r="PU119" s="47"/>
      <c r="PV119" s="47"/>
      <c r="PW119" s="47"/>
      <c r="PX119" s="47"/>
      <c r="PY119" s="47"/>
      <c r="PZ119" s="47"/>
      <c r="QA119" s="47"/>
      <c r="QB119" s="47"/>
      <c r="QC119" s="47"/>
      <c r="QD119" s="47"/>
      <c r="QE119" s="47"/>
      <c r="QF119" s="47"/>
      <c r="QG119" s="47"/>
      <c r="QH119" s="47"/>
      <c r="QI119" s="47"/>
      <c r="QJ119" s="47"/>
      <c r="QK119" s="47"/>
      <c r="QL119" s="47"/>
      <c r="QM119" s="47"/>
      <c r="QN119" s="47"/>
      <c r="QO119" s="47"/>
      <c r="QP119" s="47"/>
      <c r="QQ119" s="47"/>
      <c r="QR119" s="47"/>
      <c r="QS119" s="47"/>
      <c r="QT119" s="47"/>
      <c r="QU119" s="47"/>
      <c r="QV119" s="47"/>
      <c r="QW119" s="47"/>
      <c r="QX119" s="47"/>
      <c r="QY119" s="47"/>
      <c r="QZ119" s="47"/>
      <c r="RA119" s="47"/>
      <c r="RB119" s="47"/>
      <c r="RC119" s="47"/>
      <c r="RD119" s="47"/>
      <c r="RE119" s="47"/>
      <c r="RF119" s="47"/>
      <c r="RG119" s="47"/>
      <c r="RH119" s="47"/>
      <c r="RI119" s="47"/>
      <c r="RJ119" s="47"/>
      <c r="RK119" s="47"/>
      <c r="RL119" s="47"/>
      <c r="RM119" s="47"/>
      <c r="RN119" s="47"/>
      <c r="RO119" s="47"/>
      <c r="RP119" s="47"/>
      <c r="RQ119" s="47"/>
      <c r="RR119" s="47"/>
      <c r="RS119" s="47"/>
      <c r="RT119" s="47"/>
      <c r="RU119" s="47"/>
      <c r="RV119" s="47"/>
      <c r="RW119" s="47"/>
      <c r="RX119" s="47"/>
      <c r="RY119" s="47"/>
      <c r="RZ119" s="47"/>
      <c r="SA119" s="47"/>
      <c r="SB119" s="47"/>
      <c r="SC119" s="47"/>
      <c r="SD119" s="47"/>
      <c r="SE119" s="47"/>
      <c r="SF119" s="47"/>
      <c r="SG119" s="47"/>
      <c r="SH119" s="47"/>
      <c r="SI119" s="47"/>
      <c r="SJ119" s="47"/>
      <c r="SK119" s="47"/>
      <c r="SL119" s="47"/>
      <c r="SM119" s="47"/>
      <c r="SN119" s="47"/>
      <c r="SO119" s="47"/>
      <c r="SP119" s="47"/>
      <c r="SQ119" s="47"/>
      <c r="SR119" s="47"/>
      <c r="SS119" s="47"/>
      <c r="ST119" s="47"/>
      <c r="SU119" s="47"/>
      <c r="SV119" s="47"/>
      <c r="SW119" s="47"/>
      <c r="SX119" s="47"/>
      <c r="SY119" s="47"/>
      <c r="SZ119" s="47"/>
      <c r="TA119" s="47"/>
      <c r="TB119" s="47"/>
      <c r="TC119" s="47"/>
      <c r="TD119" s="47"/>
      <c r="TE119" s="47"/>
      <c r="TF119" s="47"/>
      <c r="TG119" s="47"/>
      <c r="TH119" s="47"/>
      <c r="TI119" s="47"/>
      <c r="TJ119" s="47"/>
      <c r="TK119" s="47"/>
      <c r="TL119" s="47"/>
      <c r="TM119" s="47"/>
      <c r="TN119" s="47"/>
      <c r="TO119" s="47"/>
      <c r="TP119" s="47"/>
      <c r="TQ119" s="47"/>
      <c r="TR119" s="47"/>
      <c r="TS119" s="47"/>
      <c r="TT119" s="47"/>
      <c r="TU119" s="47"/>
      <c r="TV119" s="47"/>
      <c r="TW119" s="47"/>
      <c r="TX119" s="47"/>
      <c r="TY119" s="47"/>
      <c r="TZ119" s="47"/>
      <c r="UA119" s="47"/>
      <c r="UB119" s="47"/>
      <c r="UC119" s="47"/>
      <c r="UD119" s="47"/>
      <c r="UE119" s="47"/>
      <c r="UF119" s="47"/>
      <c r="UG119" s="47"/>
      <c r="UH119" s="47"/>
      <c r="UI119" s="47"/>
      <c r="UJ119" s="47"/>
      <c r="UK119" s="47"/>
      <c r="UL119" s="47"/>
      <c r="UM119" s="47"/>
      <c r="UN119" s="47"/>
      <c r="UO119" s="47"/>
      <c r="UP119" s="47"/>
      <c r="UQ119" s="47"/>
      <c r="UR119" s="47"/>
      <c r="US119" s="47"/>
      <c r="UT119" s="47"/>
      <c r="UU119" s="47"/>
      <c r="UV119" s="47"/>
      <c r="UW119" s="47"/>
      <c r="UX119" s="47"/>
      <c r="UY119" s="47"/>
      <c r="UZ119" s="47"/>
      <c r="VA119" s="47"/>
      <c r="VB119" s="47"/>
      <c r="VC119" s="47"/>
      <c r="VD119" s="47"/>
      <c r="VE119" s="47"/>
      <c r="VF119" s="47"/>
      <c r="VG119" s="47"/>
      <c r="VH119" s="47"/>
      <c r="VI119" s="47"/>
      <c r="VJ119" s="47"/>
      <c r="VK119" s="47"/>
      <c r="VL119" s="47"/>
      <c r="VM119" s="47"/>
      <c r="VN119" s="47"/>
      <c r="VO119" s="47"/>
      <c r="VP119" s="47"/>
      <c r="VQ119" s="47"/>
      <c r="VR119" s="47"/>
      <c r="VS119" s="47"/>
      <c r="VT119" s="47"/>
      <c r="VU119" s="47"/>
      <c r="VV119" s="47"/>
      <c r="VW119" s="47"/>
      <c r="VX119" s="47"/>
      <c r="VY119" s="47"/>
      <c r="VZ119" s="47"/>
      <c r="WA119" s="47"/>
      <c r="WB119" s="47"/>
      <c r="WC119" s="47"/>
      <c r="WD119" s="47"/>
      <c r="WE119" s="47"/>
      <c r="WF119" s="47"/>
      <c r="WG119" s="47"/>
      <c r="WH119" s="47"/>
      <c r="WI119" s="47"/>
      <c r="WJ119" s="47"/>
      <c r="WK119" s="47"/>
      <c r="WL119" s="47"/>
      <c r="WM119" s="47"/>
      <c r="WN119" s="47"/>
      <c r="WO119" s="47"/>
      <c r="WP119" s="47"/>
      <c r="WQ119" s="47"/>
      <c r="WR119" s="47"/>
      <c r="WS119" s="47"/>
      <c r="WT119" s="47"/>
      <c r="WU119" s="47"/>
      <c r="WV119" s="47"/>
      <c r="WW119" s="47"/>
      <c r="WX119" s="47"/>
      <c r="WY119" s="47"/>
      <c r="WZ119" s="47"/>
      <c r="XA119" s="47"/>
      <c r="XB119" s="47"/>
      <c r="XC119" s="47"/>
      <c r="XD119" s="47"/>
      <c r="XE119" s="47"/>
      <c r="XF119" s="47"/>
      <c r="XG119" s="47"/>
      <c r="XH119" s="47"/>
      <c r="XI119" s="47"/>
      <c r="XJ119" s="47"/>
      <c r="XK119" s="47"/>
      <c r="XL119" s="47"/>
      <c r="XM119" s="47"/>
      <c r="XN119" s="47"/>
      <c r="XO119" s="47"/>
      <c r="XP119" s="47"/>
      <c r="XQ119" s="47"/>
      <c r="XR119" s="47"/>
      <c r="XS119" s="47"/>
      <c r="XT119" s="47"/>
      <c r="XU119" s="47"/>
      <c r="XV119" s="47"/>
      <c r="XW119" s="47"/>
      <c r="XX119" s="47"/>
      <c r="XY119" s="47"/>
      <c r="XZ119" s="47"/>
      <c r="YA119" s="47"/>
      <c r="YB119" s="47"/>
      <c r="YC119" s="47"/>
      <c r="YD119" s="47"/>
      <c r="YE119" s="47"/>
      <c r="YF119" s="47"/>
      <c r="YG119" s="47"/>
      <c r="YH119" s="47"/>
      <c r="YI119" s="47"/>
      <c r="YJ119" s="47"/>
      <c r="YK119" s="47"/>
      <c r="YL119" s="47"/>
      <c r="YM119" s="47"/>
      <c r="YN119" s="47"/>
      <c r="YO119" s="47"/>
      <c r="YP119" s="47"/>
      <c r="YQ119" s="47"/>
      <c r="YR119" s="47"/>
      <c r="YS119" s="47"/>
      <c r="YT119" s="47"/>
      <c r="YU119" s="47"/>
      <c r="YV119" s="47"/>
      <c r="YW119" s="47"/>
      <c r="YX119" s="47"/>
      <c r="YY119" s="47"/>
      <c r="YZ119" s="47"/>
      <c r="ZA119" s="47"/>
      <c r="ZB119" s="47"/>
      <c r="ZC119" s="47"/>
      <c r="ZD119" s="47"/>
      <c r="ZE119" s="47"/>
      <c r="ZF119" s="47"/>
      <c r="ZG119" s="47"/>
      <c r="ZH119" s="47"/>
      <c r="ZI119" s="47"/>
      <c r="ZJ119" s="47"/>
      <c r="ZK119" s="47"/>
      <c r="ZL119" s="47"/>
      <c r="ZM119" s="47"/>
      <c r="ZN119" s="47"/>
      <c r="ZO119" s="47"/>
      <c r="ZP119" s="47"/>
      <c r="ZQ119" s="47"/>
      <c r="ZR119" s="47"/>
      <c r="ZS119" s="47"/>
      <c r="ZT119" s="47"/>
      <c r="ZU119" s="47"/>
      <c r="ZV119" s="47"/>
      <c r="ZW119" s="47"/>
      <c r="ZX119" s="47"/>
      <c r="ZY119" s="47"/>
      <c r="ZZ119" s="47"/>
      <c r="AAA119" s="47"/>
      <c r="AAB119" s="47"/>
      <c r="AAC119" s="47"/>
      <c r="AAD119" s="47"/>
      <c r="AAE119" s="47"/>
      <c r="AAF119" s="47"/>
      <c r="AAG119" s="47"/>
      <c r="AAH119" s="47"/>
      <c r="AAI119" s="47"/>
      <c r="AAJ119" s="47"/>
      <c r="AAK119" s="47"/>
      <c r="AAL119" s="47"/>
      <c r="AAM119" s="47"/>
      <c r="AAN119" s="47"/>
      <c r="AAO119" s="47"/>
      <c r="AAP119" s="47"/>
      <c r="AAQ119" s="47"/>
      <c r="AAR119" s="47"/>
      <c r="AAS119" s="47"/>
      <c r="AAT119" s="47"/>
      <c r="AAU119" s="47"/>
      <c r="AAV119" s="47"/>
      <c r="AAW119" s="47"/>
      <c r="AAX119" s="47"/>
      <c r="AAY119" s="47"/>
      <c r="AAZ119" s="47"/>
      <c r="ABA119" s="47"/>
      <c r="ABB119" s="47"/>
      <c r="ABC119" s="47"/>
      <c r="ABD119" s="47"/>
      <c r="ABE119" s="47"/>
      <c r="ABF119" s="47"/>
      <c r="ABG119" s="47"/>
      <c r="ABH119" s="47"/>
      <c r="ABI119" s="47"/>
      <c r="ABJ119" s="47"/>
      <c r="ABK119" s="47"/>
      <c r="ABL119" s="47"/>
      <c r="ABM119" s="47"/>
      <c r="ABN119" s="47"/>
      <c r="ABO119" s="47"/>
      <c r="ABP119" s="47"/>
      <c r="ABQ119" s="47"/>
      <c r="ABR119" s="47"/>
      <c r="ABS119" s="47"/>
      <c r="ABT119" s="47"/>
      <c r="ABU119" s="47"/>
      <c r="ABV119" s="47"/>
      <c r="ABW119" s="47"/>
      <c r="ABX119" s="47"/>
      <c r="ABY119" s="47"/>
      <c r="ABZ119" s="47"/>
      <c r="ACA119" s="47"/>
      <c r="ACB119" s="47"/>
      <c r="ACC119" s="47"/>
      <c r="ACD119" s="47"/>
      <c r="ACE119" s="47"/>
      <c r="ACF119" s="47"/>
      <c r="ACG119" s="47"/>
      <c r="ACH119" s="47"/>
      <c r="ACI119" s="47"/>
      <c r="ACJ119" s="47"/>
      <c r="ACK119" s="47"/>
      <c r="ACL119" s="47"/>
      <c r="ACM119" s="47"/>
      <c r="ACN119" s="47"/>
      <c r="ACO119" s="47"/>
      <c r="ACP119" s="47"/>
      <c r="ACQ119" s="47"/>
      <c r="ACR119" s="47"/>
      <c r="ACS119" s="47"/>
      <c r="ACT119" s="47"/>
      <c r="ACU119" s="47"/>
      <c r="ACV119" s="47"/>
      <c r="ACW119" s="47"/>
      <c r="ACX119" s="47"/>
      <c r="ACY119" s="47"/>
      <c r="ACZ119" s="47"/>
      <c r="ADA119" s="47"/>
      <c r="ADB119" s="47"/>
      <c r="ADC119" s="47"/>
      <c r="ADD119" s="47"/>
      <c r="ADE119" s="47"/>
      <c r="ADF119" s="47"/>
      <c r="ADG119" s="47"/>
      <c r="ADH119" s="47"/>
      <c r="ADI119" s="47"/>
      <c r="ADJ119" s="47"/>
      <c r="ADK119" s="47"/>
      <c r="ADL119" s="47"/>
      <c r="ADM119" s="47"/>
      <c r="ADN119" s="47"/>
      <c r="ADO119" s="47"/>
      <c r="ADP119" s="47"/>
      <c r="ADQ119" s="47"/>
      <c r="ADR119" s="47"/>
      <c r="ADS119" s="47"/>
      <c r="ADT119" s="47"/>
      <c r="ADU119" s="47"/>
      <c r="ADV119" s="47"/>
      <c r="ADW119" s="47"/>
      <c r="ADX119" s="47"/>
      <c r="ADY119" s="47"/>
      <c r="ADZ119" s="47"/>
      <c r="AEA119" s="47"/>
      <c r="AEB119" s="47"/>
      <c r="AEC119" s="47"/>
      <c r="AED119" s="47"/>
      <c r="AEE119" s="47"/>
      <c r="AEF119" s="47"/>
      <c r="AEG119" s="47"/>
      <c r="AEH119" s="47"/>
      <c r="AEI119" s="47"/>
      <c r="AEJ119" s="47"/>
      <c r="AEK119" s="47"/>
      <c r="AEL119" s="47"/>
      <c r="AEM119" s="47"/>
      <c r="AEN119" s="47"/>
      <c r="AEO119" s="47"/>
      <c r="AEP119" s="47"/>
      <c r="AEQ119" s="47"/>
      <c r="AER119" s="47"/>
      <c r="AES119" s="47"/>
      <c r="AET119" s="47"/>
      <c r="AEU119" s="47"/>
      <c r="AEV119" s="47"/>
      <c r="AEW119" s="47"/>
      <c r="AEX119" s="47"/>
      <c r="AEY119" s="47"/>
      <c r="AEZ119" s="47"/>
      <c r="AFA119" s="47"/>
      <c r="AFB119" s="47"/>
      <c r="AFC119" s="47"/>
      <c r="AFD119" s="47"/>
      <c r="AFE119" s="47"/>
      <c r="AFF119" s="47"/>
      <c r="AFG119" s="47"/>
      <c r="AFH119" s="47"/>
      <c r="AFI119" s="47"/>
      <c r="AFJ119" s="47"/>
      <c r="AFK119" s="47"/>
      <c r="AFL119" s="47"/>
      <c r="AFM119" s="47"/>
      <c r="AFN119" s="47"/>
      <c r="AFO119" s="47"/>
      <c r="AFP119" s="47"/>
      <c r="AFQ119" s="47"/>
      <c r="AFR119" s="47"/>
      <c r="AFS119" s="47"/>
      <c r="AFT119" s="47"/>
      <c r="AFU119" s="47"/>
      <c r="AFV119" s="47"/>
      <c r="AFW119" s="47"/>
      <c r="AFX119" s="47"/>
      <c r="AFY119" s="47"/>
      <c r="AFZ119" s="47"/>
      <c r="AGA119" s="47"/>
      <c r="AGB119" s="47"/>
      <c r="AGC119" s="47"/>
      <c r="AGD119" s="47"/>
      <c r="AGE119" s="47"/>
      <c r="AGF119" s="47"/>
      <c r="AGG119" s="47"/>
      <c r="AGH119" s="47"/>
      <c r="AGI119" s="47"/>
      <c r="AGJ119" s="47"/>
      <c r="AGK119" s="47"/>
      <c r="AGL119" s="47"/>
      <c r="AGM119" s="47"/>
      <c r="AGN119" s="47"/>
      <c r="AGO119" s="47"/>
      <c r="AGP119" s="47"/>
      <c r="AGQ119" s="47"/>
      <c r="AGR119" s="47"/>
      <c r="AGS119" s="47"/>
      <c r="AGT119" s="47"/>
      <c r="AGU119" s="47"/>
      <c r="AGV119" s="47"/>
      <c r="AGW119" s="47"/>
      <c r="AGX119" s="47"/>
      <c r="AGY119" s="47"/>
      <c r="AGZ119" s="47"/>
      <c r="AHA119" s="47"/>
      <c r="AHB119" s="47"/>
      <c r="AHC119" s="47"/>
      <c r="AHD119" s="47"/>
      <c r="AHE119" s="47"/>
      <c r="AHF119" s="47"/>
      <c r="AHG119" s="47"/>
      <c r="AHH119" s="47"/>
      <c r="AHI119" s="47"/>
      <c r="AHJ119" s="47"/>
      <c r="AHK119" s="47"/>
      <c r="AHL119" s="47"/>
      <c r="AHM119" s="47"/>
      <c r="AHN119" s="47"/>
      <c r="AHO119" s="47"/>
      <c r="AHP119" s="47"/>
      <c r="AHQ119" s="47"/>
      <c r="AHR119" s="47"/>
      <c r="AHS119" s="47"/>
      <c r="AHT119" s="47"/>
      <c r="AHU119" s="47"/>
      <c r="AHV119" s="47"/>
      <c r="AHW119" s="47"/>
      <c r="AHX119" s="47"/>
      <c r="AHY119" s="47"/>
      <c r="AHZ119" s="47"/>
      <c r="AIA119" s="47"/>
      <c r="AIB119" s="47"/>
      <c r="AIC119" s="47"/>
      <c r="AID119" s="47"/>
      <c r="AIE119" s="47"/>
      <c r="AIF119" s="47"/>
      <c r="AIG119" s="47"/>
      <c r="AIH119" s="47"/>
      <c r="AII119" s="47"/>
      <c r="AIJ119" s="47"/>
      <c r="AIK119" s="47"/>
      <c r="AIL119" s="47"/>
      <c r="AIM119" s="47"/>
      <c r="AIN119" s="47"/>
      <c r="AIO119" s="47"/>
      <c r="AIP119" s="47"/>
      <c r="AIQ119" s="47"/>
      <c r="AIR119" s="47"/>
      <c r="AIS119" s="47"/>
      <c r="AIT119" s="47"/>
      <c r="AIU119" s="47"/>
      <c r="AIV119" s="47"/>
      <c r="AIW119" s="47"/>
      <c r="AIX119" s="47"/>
      <c r="AIY119" s="47"/>
      <c r="AIZ119" s="47"/>
      <c r="AJA119" s="47"/>
      <c r="AJB119" s="47"/>
      <c r="AJC119" s="47"/>
      <c r="AJD119" s="47"/>
      <c r="AJE119" s="47"/>
      <c r="AJF119" s="47"/>
      <c r="AJG119" s="47"/>
      <c r="AJH119" s="47"/>
      <c r="AJI119" s="47"/>
      <c r="AJJ119" s="47"/>
      <c r="AJK119" s="47"/>
      <c r="AJL119" s="47"/>
      <c r="AJM119" s="47"/>
      <c r="AJN119" s="47"/>
      <c r="AJO119" s="47"/>
      <c r="AJP119" s="47"/>
      <c r="AJQ119" s="47"/>
      <c r="AJR119" s="47"/>
      <c r="AJS119" s="47"/>
      <c r="AJT119" s="47"/>
      <c r="AJU119" s="47"/>
      <c r="AJV119" s="47"/>
      <c r="AJW119" s="47"/>
      <c r="AJX119" s="47"/>
      <c r="AJY119" s="47"/>
      <c r="AJZ119" s="47"/>
      <c r="AKA119" s="47"/>
      <c r="AKB119" s="47"/>
      <c r="AKC119" s="47"/>
      <c r="AKD119" s="47"/>
      <c r="AKE119" s="47"/>
      <c r="AKF119" s="47"/>
      <c r="AKG119" s="47"/>
      <c r="AKH119" s="47"/>
      <c r="AKI119" s="47"/>
      <c r="AKJ119" s="47"/>
      <c r="AKK119" s="47"/>
      <c r="AKL119" s="47"/>
      <c r="AKM119" s="47"/>
      <c r="AKN119" s="47"/>
      <c r="AKO119" s="47"/>
      <c r="AKP119" s="47"/>
      <c r="AKQ119" s="47"/>
      <c r="AKR119" s="47"/>
      <c r="AKS119" s="47"/>
      <c r="AKT119" s="47"/>
      <c r="AKU119" s="47"/>
      <c r="AKV119" s="47"/>
      <c r="AKW119" s="47"/>
      <c r="AKX119" s="47"/>
      <c r="AKY119" s="47"/>
      <c r="AKZ119" s="47"/>
      <c r="ALA119" s="47"/>
      <c r="ALB119" s="47"/>
      <c r="ALC119" s="47"/>
      <c r="ALD119" s="47"/>
      <c r="ALE119" s="47"/>
      <c r="ALF119" s="47"/>
      <c r="ALG119" s="47"/>
      <c r="ALH119" s="47"/>
      <c r="ALI119" s="47"/>
      <c r="ALJ119" s="47"/>
      <c r="ALK119" s="47"/>
      <c r="ALL119" s="47"/>
      <c r="ALM119" s="47"/>
      <c r="ALN119" s="47"/>
      <c r="ALO119" s="47"/>
      <c r="ALP119" s="47"/>
      <c r="ALQ119" s="47"/>
      <c r="ALR119" s="47"/>
      <c r="ALS119" s="47"/>
      <c r="ALT119" s="47"/>
      <c r="ALU119" s="47"/>
      <c r="ALV119" s="47"/>
      <c r="ALW119" s="47"/>
      <c r="ALX119" s="47"/>
      <c r="ALY119" s="47"/>
      <c r="ALZ119" s="47"/>
      <c r="AMA119" s="47"/>
      <c r="AMB119" s="47"/>
      <c r="AMC119" s="47"/>
      <c r="AMD119" s="47"/>
      <c r="AME119" s="47"/>
      <c r="AMF119" s="47"/>
      <c r="AMG119" s="47"/>
      <c r="AMH119" s="47"/>
      <c r="AMI119" s="47"/>
      <c r="AMJ119" s="47"/>
      <c r="AMK119" s="47"/>
      <c r="AML119" s="47"/>
      <c r="AMM119" s="47"/>
      <c r="AMN119" s="47"/>
      <c r="AMO119" s="47"/>
      <c r="AMP119" s="47"/>
      <c r="AMQ119" s="47"/>
      <c r="AMR119" s="47"/>
      <c r="AMS119" s="47"/>
      <c r="AMT119" s="47"/>
      <c r="AMU119" s="47"/>
      <c r="AMV119" s="47"/>
      <c r="AMW119" s="47"/>
      <c r="AMX119" s="47"/>
      <c r="AMY119" s="47"/>
      <c r="AMZ119" s="47"/>
      <c r="ANA119" s="47"/>
      <c r="ANB119" s="47"/>
      <c r="ANC119" s="47"/>
      <c r="AND119" s="47"/>
      <c r="ANE119" s="47"/>
      <c r="ANF119" s="47"/>
      <c r="ANG119" s="47"/>
      <c r="ANH119" s="47"/>
      <c r="ANI119" s="47"/>
      <c r="ANJ119" s="47"/>
      <c r="ANK119" s="47"/>
      <c r="ANL119" s="47"/>
      <c r="ANM119" s="47"/>
      <c r="ANN119" s="47"/>
      <c r="ANO119" s="47"/>
      <c r="ANP119" s="47"/>
      <c r="ANQ119" s="47"/>
      <c r="ANR119" s="47"/>
      <c r="ANS119" s="47"/>
      <c r="ANT119" s="47"/>
      <c r="ANU119" s="47"/>
      <c r="ANV119" s="47"/>
      <c r="ANW119" s="47"/>
      <c r="ANX119" s="47"/>
      <c r="ANY119" s="47"/>
      <c r="ANZ119" s="47"/>
      <c r="AOA119" s="47"/>
      <c r="AOB119" s="47"/>
      <c r="AOC119" s="47"/>
      <c r="AOD119" s="47"/>
      <c r="AOE119" s="47"/>
      <c r="AOF119" s="47"/>
      <c r="AOG119" s="47"/>
      <c r="AOH119" s="47"/>
      <c r="AOI119" s="47"/>
      <c r="AOJ119" s="47"/>
      <c r="AOK119" s="47"/>
      <c r="AOL119" s="47"/>
      <c r="AOM119" s="47"/>
      <c r="AON119" s="47"/>
      <c r="AOO119" s="47"/>
      <c r="AOP119" s="47"/>
      <c r="AOQ119" s="47"/>
      <c r="AOR119" s="47"/>
      <c r="AOS119" s="47"/>
      <c r="AOT119" s="47"/>
      <c r="AOU119" s="47"/>
      <c r="AOV119" s="47"/>
      <c r="AOW119" s="47"/>
      <c r="AOX119" s="47"/>
      <c r="AOY119" s="47"/>
      <c r="AOZ119" s="47"/>
      <c r="APA119" s="47"/>
      <c r="APB119" s="47"/>
      <c r="APC119" s="47"/>
      <c r="APD119" s="47"/>
      <c r="APE119" s="47"/>
      <c r="APF119" s="47"/>
      <c r="APG119" s="47"/>
      <c r="APH119" s="47"/>
      <c r="API119" s="47"/>
      <c r="APJ119" s="47"/>
      <c r="APK119" s="47"/>
      <c r="APL119" s="47"/>
      <c r="APM119" s="47"/>
      <c r="APN119" s="47"/>
      <c r="APO119" s="47"/>
      <c r="APP119" s="47"/>
      <c r="APQ119" s="47"/>
      <c r="APR119" s="47"/>
      <c r="APS119" s="47"/>
      <c r="APT119" s="47"/>
      <c r="APU119" s="47"/>
      <c r="APV119" s="47"/>
      <c r="APW119" s="47"/>
      <c r="APX119" s="47"/>
      <c r="APY119" s="47"/>
      <c r="APZ119" s="47"/>
      <c r="AQA119" s="47"/>
      <c r="AQB119" s="47"/>
      <c r="AQC119" s="47"/>
      <c r="AQD119" s="47"/>
      <c r="AQE119" s="47"/>
      <c r="AQF119" s="47"/>
      <c r="AQG119" s="47"/>
      <c r="AQH119" s="47"/>
      <c r="AQI119" s="47"/>
      <c r="AQJ119" s="47"/>
      <c r="AQK119" s="47"/>
      <c r="AQL119" s="47"/>
      <c r="AQM119" s="47"/>
      <c r="AQN119" s="47"/>
      <c r="AQO119" s="47"/>
      <c r="AQP119" s="47"/>
      <c r="AQQ119" s="47"/>
      <c r="AQR119" s="47"/>
      <c r="AQS119" s="47"/>
      <c r="AQT119" s="47"/>
      <c r="AQU119" s="47"/>
      <c r="AQV119" s="47"/>
      <c r="AQW119" s="47"/>
      <c r="AQX119" s="47"/>
      <c r="AQY119" s="47"/>
      <c r="AQZ119" s="47"/>
      <c r="ARA119" s="47"/>
      <c r="ARB119" s="47"/>
      <c r="ARC119" s="47"/>
      <c r="ARD119" s="47"/>
      <c r="ARE119" s="47"/>
      <c r="ARF119" s="47"/>
      <c r="ARG119" s="47"/>
      <c r="ARH119" s="47"/>
      <c r="ARI119" s="47"/>
      <c r="ARJ119" s="47"/>
      <c r="ARK119" s="47"/>
      <c r="ARL119" s="47"/>
      <c r="ARM119" s="47"/>
      <c r="ARN119" s="47"/>
      <c r="ARO119" s="47"/>
      <c r="ARP119" s="47"/>
      <c r="ARQ119" s="47"/>
      <c r="ARR119" s="47"/>
      <c r="ARS119" s="47"/>
      <c r="ART119" s="47"/>
      <c r="ARU119" s="47"/>
      <c r="ARV119" s="47"/>
      <c r="ARW119" s="47"/>
      <c r="ARX119" s="47"/>
      <c r="ARY119" s="47"/>
      <c r="ARZ119" s="47"/>
      <c r="ASA119" s="47"/>
      <c r="ASB119" s="47"/>
      <c r="ASC119" s="47"/>
      <c r="ASD119" s="47"/>
      <c r="ASE119" s="47"/>
      <c r="ASF119" s="47"/>
      <c r="ASG119" s="47"/>
      <c r="ASH119" s="47"/>
      <c r="ASI119" s="47"/>
      <c r="ASJ119" s="47"/>
      <c r="ASK119" s="47"/>
      <c r="ASL119" s="47"/>
      <c r="ASM119" s="47"/>
      <c r="ASN119" s="47"/>
      <c r="ASO119" s="47"/>
      <c r="ASP119" s="47"/>
      <c r="ASQ119" s="47"/>
      <c r="ASR119" s="47"/>
      <c r="ASS119" s="47"/>
      <c r="AST119" s="47"/>
      <c r="ASU119" s="47"/>
      <c r="ASV119" s="47"/>
      <c r="ASW119" s="47"/>
      <c r="ASX119" s="47"/>
      <c r="ASY119" s="47"/>
      <c r="ASZ119" s="47"/>
      <c r="ATA119" s="47"/>
      <c r="ATB119" s="47"/>
      <c r="ATC119" s="47"/>
      <c r="ATD119" s="47"/>
      <c r="ATE119" s="47"/>
      <c r="ATF119" s="47"/>
      <c r="ATG119" s="47"/>
      <c r="ATH119" s="47"/>
      <c r="ATI119" s="47"/>
      <c r="ATJ119" s="47"/>
      <c r="ATK119" s="47"/>
      <c r="ATL119" s="47"/>
      <c r="ATM119" s="47"/>
      <c r="ATN119" s="47"/>
      <c r="ATO119" s="47"/>
      <c r="ATP119" s="47"/>
      <c r="ATQ119" s="47"/>
      <c r="ATR119" s="47"/>
      <c r="ATS119" s="47"/>
      <c r="ATT119" s="47"/>
      <c r="ATU119" s="47"/>
      <c r="ATV119" s="47"/>
      <c r="ATW119" s="47"/>
      <c r="ATX119" s="47"/>
      <c r="ATY119" s="47"/>
      <c r="ATZ119" s="47"/>
      <c r="AUA119" s="47"/>
      <c r="AUB119" s="47"/>
      <c r="AUC119" s="47"/>
      <c r="AUD119" s="47"/>
      <c r="AUE119" s="47"/>
      <c r="AUF119" s="47"/>
      <c r="AUG119" s="47"/>
      <c r="AUH119" s="47"/>
      <c r="AUI119" s="47"/>
      <c r="AUJ119" s="47"/>
      <c r="AUK119" s="47"/>
      <c r="AUL119" s="47"/>
      <c r="AUM119" s="47"/>
      <c r="AUN119" s="47"/>
      <c r="AUO119" s="47"/>
      <c r="AUP119" s="47"/>
      <c r="AUQ119" s="47"/>
      <c r="AUR119" s="47"/>
      <c r="AUS119" s="47"/>
      <c r="AUT119" s="47"/>
      <c r="AUU119" s="47"/>
      <c r="AUV119" s="47"/>
      <c r="AUW119" s="47"/>
      <c r="AUX119" s="47"/>
      <c r="AUY119" s="47"/>
      <c r="AUZ119" s="47"/>
      <c r="AVA119" s="47"/>
      <c r="AVB119" s="47"/>
      <c r="AVC119" s="47"/>
      <c r="AVD119" s="47"/>
      <c r="AVE119" s="47"/>
      <c r="AVF119" s="47"/>
      <c r="AVG119" s="47"/>
      <c r="AVH119" s="47"/>
      <c r="AVI119" s="47"/>
      <c r="AVJ119" s="47"/>
      <c r="AVK119" s="47"/>
      <c r="AVL119" s="47"/>
      <c r="AVM119" s="47"/>
      <c r="AVN119" s="47"/>
      <c r="AVO119" s="47"/>
      <c r="AVP119" s="47"/>
      <c r="AVQ119" s="47"/>
      <c r="AVR119" s="47"/>
      <c r="AVS119" s="47"/>
      <c r="AVT119" s="47"/>
      <c r="AVU119" s="47"/>
      <c r="AVV119" s="47"/>
      <c r="AVW119" s="47"/>
      <c r="AVX119" s="47"/>
      <c r="AVY119" s="47"/>
      <c r="AVZ119" s="47"/>
      <c r="AWA119" s="47"/>
      <c r="AWB119" s="47"/>
      <c r="AWC119" s="47"/>
      <c r="AWD119" s="47"/>
      <c r="AWE119" s="47"/>
      <c r="AWF119" s="47"/>
      <c r="AWG119" s="47"/>
      <c r="AWH119" s="47"/>
      <c r="AWI119" s="47"/>
      <c r="AWJ119" s="47"/>
      <c r="AWK119" s="47"/>
      <c r="AWL119" s="47"/>
      <c r="AWM119" s="47"/>
      <c r="AWN119" s="47"/>
      <c r="AWO119" s="47"/>
      <c r="AWP119" s="47"/>
      <c r="AWQ119" s="47"/>
      <c r="AWR119" s="47"/>
      <c r="AWS119" s="47"/>
      <c r="AWT119" s="47"/>
      <c r="AWU119" s="47"/>
      <c r="AWV119" s="47"/>
      <c r="AWW119" s="47"/>
      <c r="AWX119" s="47"/>
      <c r="AWY119" s="47"/>
      <c r="AWZ119" s="47"/>
      <c r="AXA119" s="47"/>
      <c r="AXB119" s="47"/>
      <c r="AXC119" s="47"/>
      <c r="AXD119" s="47"/>
      <c r="AXE119" s="47"/>
      <c r="AXF119" s="47"/>
      <c r="AXG119" s="47"/>
      <c r="AXH119" s="47"/>
      <c r="AXI119" s="47"/>
      <c r="AXJ119" s="47"/>
      <c r="AXK119" s="47"/>
      <c r="AXL119" s="47"/>
      <c r="AXM119" s="47"/>
      <c r="AXN119" s="47"/>
      <c r="AXO119" s="47"/>
      <c r="AXP119" s="47"/>
      <c r="AXQ119" s="47"/>
      <c r="AXR119" s="47"/>
      <c r="AXS119" s="47"/>
      <c r="AXT119" s="47"/>
      <c r="AXU119" s="47"/>
      <c r="AXV119" s="47"/>
      <c r="AXW119" s="47"/>
      <c r="AXX119" s="47"/>
      <c r="AXY119" s="47"/>
      <c r="AXZ119" s="47"/>
      <c r="AYA119" s="47"/>
      <c r="AYB119" s="47"/>
      <c r="AYC119" s="47"/>
      <c r="AYD119" s="47"/>
      <c r="AYE119" s="47"/>
      <c r="AYF119" s="47"/>
      <c r="AYG119" s="47"/>
      <c r="AYH119" s="47"/>
      <c r="AYI119" s="47"/>
      <c r="AYJ119" s="47"/>
      <c r="AYK119" s="47"/>
      <c r="AYL119" s="47"/>
      <c r="AYM119" s="47"/>
      <c r="AYN119" s="47"/>
      <c r="AYO119" s="47"/>
      <c r="AYP119" s="47"/>
      <c r="AYQ119" s="47"/>
      <c r="AYR119" s="47"/>
      <c r="AYS119" s="47"/>
      <c r="AYT119" s="47"/>
      <c r="AYU119" s="47"/>
      <c r="AYV119" s="47"/>
      <c r="AYW119" s="47"/>
      <c r="AYX119" s="47"/>
      <c r="AYY119" s="47"/>
      <c r="AYZ119" s="47"/>
      <c r="AZA119" s="47"/>
      <c r="AZB119" s="47"/>
      <c r="AZC119" s="47"/>
      <c r="AZD119" s="47"/>
      <c r="AZE119" s="47"/>
      <c r="AZF119" s="47"/>
      <c r="AZG119" s="47"/>
      <c r="AZH119" s="47"/>
      <c r="AZI119" s="47"/>
      <c r="AZJ119" s="47"/>
      <c r="AZK119" s="47"/>
      <c r="AZL119" s="47"/>
      <c r="AZM119" s="47"/>
      <c r="AZN119" s="47"/>
      <c r="AZO119" s="47"/>
      <c r="AZP119" s="47"/>
      <c r="AZQ119" s="47"/>
      <c r="AZR119" s="47"/>
      <c r="AZS119" s="47"/>
      <c r="AZT119" s="47"/>
      <c r="AZU119" s="47"/>
      <c r="AZV119" s="47"/>
      <c r="AZW119" s="47"/>
      <c r="AZX119" s="47"/>
      <c r="AZY119" s="47"/>
      <c r="AZZ119" s="47"/>
      <c r="BAA119" s="47"/>
      <c r="BAB119" s="47"/>
      <c r="BAC119" s="47"/>
      <c r="BAD119" s="47"/>
      <c r="BAE119" s="47"/>
      <c r="BAF119" s="47"/>
      <c r="BAG119" s="47"/>
      <c r="BAH119" s="47"/>
      <c r="BAI119" s="47"/>
      <c r="BAJ119" s="47"/>
      <c r="BAK119" s="47"/>
      <c r="BAL119" s="47"/>
      <c r="BAM119" s="47"/>
      <c r="BAN119" s="47"/>
      <c r="BAO119" s="47"/>
      <c r="BAP119" s="47"/>
      <c r="BAQ119" s="47"/>
      <c r="BAR119" s="47"/>
      <c r="BAS119" s="47"/>
      <c r="BAT119" s="47"/>
      <c r="BAU119" s="47"/>
      <c r="BAV119" s="47"/>
      <c r="BAW119" s="47"/>
      <c r="BAX119" s="47"/>
      <c r="BAY119" s="47"/>
      <c r="BAZ119" s="47"/>
      <c r="BBA119" s="47"/>
      <c r="BBB119" s="47"/>
      <c r="BBC119" s="47"/>
      <c r="BBD119" s="47"/>
      <c r="BBE119" s="47"/>
      <c r="BBF119" s="47"/>
      <c r="BBG119" s="47"/>
      <c r="BBH119" s="47"/>
      <c r="BBI119" s="47"/>
      <c r="BBJ119" s="47"/>
      <c r="BBK119" s="47"/>
      <c r="BBL119" s="47"/>
      <c r="BBM119" s="47"/>
      <c r="BBN119" s="47"/>
      <c r="BBO119" s="47"/>
      <c r="BBP119" s="47"/>
      <c r="BBQ119" s="47"/>
      <c r="BBR119" s="47"/>
      <c r="BBS119" s="47"/>
      <c r="BBT119" s="47"/>
      <c r="BBU119" s="47"/>
      <c r="BBV119" s="47"/>
      <c r="BBW119" s="47"/>
      <c r="BBX119" s="47"/>
      <c r="BBY119" s="47"/>
      <c r="BBZ119" s="47"/>
      <c r="BCA119" s="47"/>
      <c r="BCB119" s="47"/>
      <c r="BCC119" s="47"/>
      <c r="BCD119" s="47"/>
      <c r="BCE119" s="47"/>
      <c r="BCF119" s="47"/>
      <c r="BCG119" s="47"/>
      <c r="BCH119" s="47"/>
      <c r="BCI119" s="47"/>
      <c r="BCJ119" s="47"/>
      <c r="BCK119" s="47"/>
      <c r="BCL119" s="47"/>
      <c r="BCM119" s="47"/>
      <c r="BCN119" s="47"/>
      <c r="BCO119" s="47"/>
      <c r="BCP119" s="47"/>
      <c r="BCQ119" s="47"/>
      <c r="BCR119" s="47"/>
      <c r="BCS119" s="47"/>
      <c r="BCT119" s="47"/>
      <c r="BCU119" s="47"/>
      <c r="BCV119" s="47"/>
      <c r="BCW119" s="47"/>
      <c r="BCX119" s="47"/>
      <c r="BCY119" s="47"/>
      <c r="BCZ119" s="47"/>
      <c r="BDA119" s="47"/>
      <c r="BDB119" s="47"/>
      <c r="BDC119" s="47"/>
      <c r="BDD119" s="47"/>
      <c r="BDE119" s="47"/>
      <c r="BDF119" s="47"/>
      <c r="BDG119" s="47"/>
      <c r="BDH119" s="47"/>
      <c r="BDI119" s="47"/>
      <c r="BDJ119" s="47"/>
      <c r="BDK119" s="47"/>
      <c r="BDL119" s="47"/>
      <c r="BDM119" s="47"/>
      <c r="BDN119" s="47"/>
      <c r="BDO119" s="47"/>
      <c r="BDP119" s="47"/>
      <c r="BDQ119" s="47"/>
      <c r="BDR119" s="47"/>
      <c r="BDS119" s="47"/>
      <c r="BDT119" s="47"/>
      <c r="BDU119" s="47"/>
      <c r="BDV119" s="47"/>
      <c r="BDW119" s="47"/>
      <c r="BDX119" s="47"/>
      <c r="BDY119" s="47"/>
      <c r="BDZ119" s="47"/>
      <c r="BEA119" s="47"/>
      <c r="BEB119" s="47"/>
      <c r="BEC119" s="47"/>
      <c r="BED119" s="47"/>
      <c r="BEE119" s="47"/>
      <c r="BEF119" s="47"/>
      <c r="BEG119" s="47"/>
      <c r="BEH119" s="47"/>
      <c r="BEI119" s="47"/>
      <c r="BEJ119" s="47"/>
      <c r="BEK119" s="47"/>
      <c r="BEL119" s="47"/>
      <c r="BEM119" s="47"/>
      <c r="BEN119" s="47"/>
      <c r="BEO119" s="47"/>
      <c r="BEP119" s="47"/>
      <c r="BEQ119" s="47"/>
      <c r="BER119" s="47"/>
      <c r="BES119" s="47"/>
      <c r="BET119" s="47"/>
      <c r="BEU119" s="47"/>
      <c r="BEV119" s="47"/>
      <c r="BEW119" s="47"/>
      <c r="BEX119" s="47"/>
      <c r="BEY119" s="47"/>
      <c r="BEZ119" s="47"/>
      <c r="BFA119" s="47"/>
      <c r="BFB119" s="47"/>
      <c r="BFC119" s="47"/>
      <c r="BFD119" s="47"/>
      <c r="BFE119" s="47"/>
      <c r="BFF119" s="47"/>
      <c r="BFG119" s="47"/>
      <c r="BFH119" s="47"/>
      <c r="BFI119" s="47"/>
      <c r="BFJ119" s="47"/>
      <c r="BFK119" s="47"/>
      <c r="BFL119" s="47"/>
      <c r="BFM119" s="47"/>
      <c r="BFN119" s="47"/>
      <c r="BFO119" s="47"/>
      <c r="BFP119" s="47"/>
      <c r="BFQ119" s="47"/>
      <c r="BFR119" s="47"/>
      <c r="BFS119" s="47"/>
      <c r="BFT119" s="47"/>
      <c r="BFU119" s="47"/>
      <c r="BFV119" s="47"/>
      <c r="BFW119" s="47"/>
      <c r="BFX119" s="47"/>
      <c r="BFY119" s="47"/>
      <c r="BFZ119" s="47"/>
      <c r="BGA119" s="47"/>
      <c r="BGB119" s="47"/>
      <c r="BGC119" s="47"/>
      <c r="BGD119" s="47"/>
      <c r="BGE119" s="47"/>
      <c r="BGF119" s="47"/>
      <c r="BGG119" s="47"/>
      <c r="BGH119" s="47"/>
      <c r="BGI119" s="47"/>
      <c r="BGJ119" s="47"/>
      <c r="BGK119" s="47"/>
      <c r="BGL119" s="47"/>
      <c r="BGM119" s="47"/>
      <c r="BGN119" s="47"/>
      <c r="BGO119" s="47"/>
      <c r="BGP119" s="47"/>
      <c r="BGQ119" s="47"/>
      <c r="BGR119" s="47"/>
      <c r="BGS119" s="47"/>
      <c r="BGT119" s="47"/>
      <c r="BGU119" s="47"/>
      <c r="BGV119" s="47"/>
      <c r="BGW119" s="47"/>
      <c r="BGX119" s="47"/>
      <c r="BGY119" s="47"/>
      <c r="BGZ119" s="47"/>
      <c r="BHA119" s="47"/>
      <c r="BHB119" s="47"/>
      <c r="BHC119" s="47"/>
      <c r="BHD119" s="47"/>
      <c r="BHE119" s="47"/>
      <c r="BHF119" s="47"/>
      <c r="BHG119" s="47"/>
      <c r="BHH119" s="47"/>
      <c r="BHI119" s="47"/>
      <c r="BHJ119" s="47"/>
      <c r="BHK119" s="47"/>
      <c r="BHL119" s="47"/>
      <c r="BHM119" s="47"/>
      <c r="BHN119" s="47"/>
      <c r="BHO119" s="47"/>
      <c r="BHP119" s="47"/>
      <c r="BHQ119" s="47"/>
      <c r="BHR119" s="47"/>
      <c r="BHS119" s="47"/>
      <c r="BHT119" s="47"/>
      <c r="BHU119" s="47"/>
      <c r="BHV119" s="47"/>
      <c r="BHW119" s="47"/>
      <c r="BHX119" s="47"/>
      <c r="BHY119" s="47"/>
      <c r="BHZ119" s="47"/>
      <c r="BIA119" s="47"/>
      <c r="BIB119" s="47"/>
      <c r="BIC119" s="47"/>
      <c r="BID119" s="47"/>
      <c r="BIE119" s="47"/>
      <c r="BIF119" s="47"/>
      <c r="BIG119" s="47"/>
      <c r="BIH119" s="47"/>
      <c r="BII119" s="47"/>
      <c r="BIJ119" s="47"/>
      <c r="BIK119" s="47"/>
      <c r="BIL119" s="47"/>
      <c r="BIM119" s="47"/>
      <c r="BIN119" s="47"/>
      <c r="BIO119" s="47"/>
      <c r="BIP119" s="47"/>
      <c r="BIQ119" s="47"/>
      <c r="BIR119" s="47"/>
      <c r="BIS119" s="47"/>
      <c r="BIT119" s="47"/>
      <c r="BIU119" s="47"/>
      <c r="BIV119" s="47"/>
      <c r="BIW119" s="47"/>
      <c r="BIX119" s="47"/>
      <c r="BIY119" s="47"/>
      <c r="BIZ119" s="47"/>
      <c r="BJA119" s="47"/>
      <c r="BJB119" s="47"/>
      <c r="BJC119" s="47"/>
      <c r="BJD119" s="47"/>
      <c r="BJE119" s="47"/>
      <c r="BJF119" s="47"/>
      <c r="BJG119" s="47"/>
      <c r="BJH119" s="47"/>
      <c r="BJI119" s="47"/>
      <c r="BJJ119" s="47"/>
      <c r="BJK119" s="47"/>
      <c r="BJL119" s="47"/>
      <c r="BJM119" s="47"/>
      <c r="BJN119" s="47"/>
      <c r="BJO119" s="47"/>
      <c r="BJP119" s="47"/>
      <c r="BJQ119" s="47"/>
      <c r="BJR119" s="47"/>
      <c r="BJS119" s="47"/>
      <c r="BJT119" s="47"/>
      <c r="BJU119" s="47"/>
      <c r="BJV119" s="47"/>
      <c r="BJW119" s="47"/>
      <c r="BJX119" s="47"/>
      <c r="BJY119" s="47"/>
      <c r="BJZ119" s="47"/>
      <c r="BKA119" s="47"/>
      <c r="BKB119" s="47"/>
      <c r="BKC119" s="47"/>
      <c r="BKD119" s="47"/>
      <c r="BKE119" s="47"/>
      <c r="BKF119" s="47"/>
      <c r="BKG119" s="47"/>
      <c r="BKH119" s="47"/>
      <c r="BKI119" s="47"/>
      <c r="BKJ119" s="47"/>
      <c r="BKK119" s="47"/>
      <c r="BKL119" s="47"/>
      <c r="BKM119" s="47"/>
      <c r="BKN119" s="47"/>
      <c r="BKO119" s="47"/>
      <c r="BKP119" s="47"/>
      <c r="BKQ119" s="47"/>
      <c r="BKR119" s="47"/>
      <c r="BKS119" s="47"/>
      <c r="BKT119" s="47"/>
      <c r="BKU119" s="47"/>
      <c r="BKV119" s="47"/>
      <c r="BKW119" s="47"/>
      <c r="BKX119" s="47"/>
      <c r="BKY119" s="47"/>
      <c r="BKZ119" s="47"/>
      <c r="BLA119" s="47"/>
      <c r="BLB119" s="47"/>
      <c r="BLC119" s="47"/>
      <c r="BLD119" s="47"/>
      <c r="BLE119" s="47"/>
      <c r="BLF119" s="47"/>
      <c r="BLG119" s="47"/>
      <c r="BLH119" s="47"/>
      <c r="BLI119" s="47"/>
      <c r="BLJ119" s="47"/>
      <c r="BLK119" s="47"/>
      <c r="BLL119" s="47"/>
      <c r="BLM119" s="47"/>
      <c r="BLN119" s="47"/>
      <c r="BLO119" s="47"/>
      <c r="BLP119" s="47"/>
      <c r="BLQ119" s="47"/>
      <c r="BLR119" s="47"/>
      <c r="BLS119" s="47"/>
      <c r="BLT119" s="47"/>
      <c r="BLU119" s="47"/>
      <c r="BLV119" s="47"/>
      <c r="BLW119" s="47"/>
      <c r="BLX119" s="47"/>
      <c r="BLY119" s="47"/>
      <c r="BLZ119" s="47"/>
      <c r="BMA119" s="47"/>
      <c r="BMB119" s="47"/>
      <c r="BMC119" s="47"/>
      <c r="BMD119" s="47"/>
      <c r="BME119" s="47"/>
      <c r="BMF119" s="47"/>
      <c r="BMG119" s="47"/>
      <c r="BMH119" s="47"/>
      <c r="BMI119" s="47"/>
      <c r="BMJ119" s="47"/>
      <c r="BMK119" s="47"/>
      <c r="BML119" s="47"/>
      <c r="BMM119" s="47"/>
      <c r="BMN119" s="47"/>
      <c r="BMO119" s="47"/>
      <c r="BMP119" s="47"/>
      <c r="BMQ119" s="47"/>
      <c r="BMR119" s="47"/>
      <c r="BMS119" s="47"/>
      <c r="BMT119" s="47"/>
      <c r="BMU119" s="47"/>
      <c r="BMV119" s="47"/>
      <c r="BMW119" s="47"/>
      <c r="BMX119" s="47"/>
      <c r="BMY119" s="47"/>
      <c r="BMZ119" s="47"/>
      <c r="BNA119" s="47"/>
      <c r="BNB119" s="47"/>
      <c r="BNC119" s="47"/>
      <c r="BND119" s="47"/>
      <c r="BNE119" s="47"/>
      <c r="BNF119" s="47"/>
      <c r="BNG119" s="47"/>
      <c r="BNH119" s="47"/>
      <c r="BNI119" s="47"/>
      <c r="BNJ119" s="47"/>
      <c r="BNK119" s="47"/>
      <c r="BNL119" s="47"/>
      <c r="BNM119" s="47"/>
      <c r="BNN119" s="47"/>
      <c r="BNO119" s="47"/>
      <c r="BNP119" s="47"/>
      <c r="BNQ119" s="47"/>
      <c r="BNR119" s="47"/>
      <c r="BNS119" s="47"/>
      <c r="BNT119" s="47"/>
      <c r="BNU119" s="47"/>
      <c r="BNV119" s="47"/>
      <c r="BNW119" s="47"/>
      <c r="BNX119" s="47"/>
      <c r="BNY119" s="47"/>
      <c r="BNZ119" s="47"/>
      <c r="BOA119" s="47"/>
      <c r="BOB119" s="47"/>
      <c r="BOC119" s="47"/>
      <c r="BOD119" s="47"/>
      <c r="BOE119" s="47"/>
      <c r="BOF119" s="47"/>
      <c r="BOG119" s="47"/>
      <c r="BOH119" s="47"/>
      <c r="BOI119" s="47"/>
      <c r="BOJ119" s="47"/>
      <c r="BOK119" s="47"/>
      <c r="BOL119" s="47"/>
      <c r="BOM119" s="47"/>
      <c r="BON119" s="47"/>
      <c r="BOO119" s="47"/>
      <c r="BOP119" s="47"/>
      <c r="BOQ119" s="47"/>
      <c r="BOR119" s="47"/>
      <c r="BOS119" s="47"/>
      <c r="BOT119" s="47"/>
      <c r="BOU119" s="47"/>
      <c r="BOV119" s="47"/>
      <c r="BOW119" s="47"/>
      <c r="BOX119" s="47"/>
      <c r="BOY119" s="47"/>
      <c r="BOZ119" s="47"/>
      <c r="BPA119" s="47"/>
      <c r="BPB119" s="47"/>
      <c r="BPC119" s="47"/>
      <c r="BPD119" s="47"/>
      <c r="BPE119" s="47"/>
      <c r="BPF119" s="47"/>
      <c r="BPG119" s="47"/>
      <c r="BPH119" s="47"/>
      <c r="BPI119" s="47"/>
      <c r="BPJ119" s="47"/>
      <c r="BPK119" s="47"/>
      <c r="BPL119" s="47"/>
      <c r="BPM119" s="47"/>
      <c r="BPN119" s="47"/>
      <c r="BPO119" s="47"/>
      <c r="BPP119" s="47"/>
      <c r="BPQ119" s="47"/>
      <c r="BPR119" s="47"/>
      <c r="BPS119" s="47"/>
      <c r="BPT119" s="47"/>
      <c r="BPU119" s="47"/>
      <c r="BPV119" s="47"/>
      <c r="BPW119" s="47"/>
      <c r="BPX119" s="47"/>
      <c r="BPY119" s="47"/>
      <c r="BPZ119" s="47"/>
      <c r="BQA119" s="47"/>
      <c r="BQB119" s="47"/>
      <c r="BQC119" s="47"/>
      <c r="BQD119" s="47"/>
      <c r="BQE119" s="47"/>
      <c r="BQF119" s="47"/>
      <c r="BQG119" s="47"/>
      <c r="BQH119" s="47"/>
      <c r="BQI119" s="47"/>
      <c r="BQJ119" s="47"/>
      <c r="BQK119" s="47"/>
      <c r="BQL119" s="47"/>
      <c r="BQM119" s="47"/>
      <c r="BQN119" s="47"/>
      <c r="BQO119" s="47"/>
      <c r="BQP119" s="47"/>
      <c r="BQQ119" s="47"/>
      <c r="BQR119" s="47"/>
      <c r="BQS119" s="47"/>
      <c r="BQT119" s="47"/>
      <c r="BQU119" s="47"/>
      <c r="BQV119" s="47"/>
      <c r="BQW119" s="47"/>
      <c r="BQX119" s="47"/>
      <c r="BQY119" s="47"/>
      <c r="BQZ119" s="47"/>
      <c r="BRA119" s="47"/>
      <c r="BRB119" s="47"/>
      <c r="BRC119" s="47"/>
      <c r="BRD119" s="47"/>
      <c r="BRE119" s="47"/>
      <c r="BRF119" s="47"/>
      <c r="BRG119" s="47"/>
      <c r="BRH119" s="47"/>
      <c r="BRI119" s="47"/>
      <c r="BRJ119" s="47"/>
      <c r="BRK119" s="47"/>
      <c r="BRL119" s="47"/>
      <c r="BRM119" s="47"/>
      <c r="BRN119" s="47"/>
      <c r="BRO119" s="47"/>
      <c r="BRP119" s="47"/>
      <c r="BRQ119" s="47"/>
      <c r="BRR119" s="47"/>
      <c r="BRS119" s="47"/>
      <c r="BRT119" s="47"/>
      <c r="BRU119" s="47"/>
      <c r="BRV119" s="47"/>
      <c r="BRW119" s="47"/>
      <c r="BRX119" s="47"/>
      <c r="BRY119" s="47"/>
      <c r="BRZ119" s="47"/>
      <c r="BSA119" s="47"/>
      <c r="BSB119" s="47"/>
      <c r="BSC119" s="47"/>
      <c r="BSD119" s="47"/>
      <c r="BSE119" s="47"/>
      <c r="BSF119" s="47"/>
      <c r="BSG119" s="47"/>
      <c r="BSH119" s="47"/>
      <c r="BSI119" s="47"/>
      <c r="BSJ119" s="47"/>
      <c r="BSK119" s="47"/>
      <c r="BSL119" s="47"/>
      <c r="BSM119" s="47"/>
      <c r="BSN119" s="47"/>
      <c r="BSO119" s="47"/>
      <c r="BSP119" s="47"/>
      <c r="BSQ119" s="47"/>
      <c r="BSR119" s="47"/>
      <c r="BSS119" s="47"/>
      <c r="BST119" s="47"/>
      <c r="BSU119" s="47"/>
      <c r="BSV119" s="47"/>
      <c r="BSW119" s="47"/>
      <c r="BSX119" s="47"/>
      <c r="BSY119" s="47"/>
      <c r="BSZ119" s="47"/>
      <c r="BTA119" s="47"/>
      <c r="BTB119" s="47"/>
      <c r="BTC119" s="47"/>
      <c r="BTD119" s="47"/>
      <c r="BTE119" s="47"/>
      <c r="BTF119" s="47"/>
      <c r="BTG119" s="47"/>
      <c r="BTH119" s="47"/>
      <c r="BTI119" s="47"/>
      <c r="BTJ119" s="47"/>
      <c r="BTK119" s="47"/>
      <c r="BTL119" s="47"/>
      <c r="BTM119" s="47"/>
      <c r="BTN119" s="47"/>
      <c r="BTO119" s="47"/>
      <c r="BTP119" s="47"/>
      <c r="BTQ119" s="47"/>
      <c r="BTR119" s="47"/>
      <c r="BTS119" s="47"/>
      <c r="BTT119" s="47"/>
      <c r="BTU119" s="47"/>
      <c r="BTV119" s="47"/>
      <c r="BTW119" s="47"/>
      <c r="BTX119" s="47"/>
      <c r="BTY119" s="47"/>
      <c r="BTZ119" s="47"/>
      <c r="BUA119" s="47"/>
      <c r="BUB119" s="47"/>
      <c r="BUC119" s="47"/>
      <c r="BUD119" s="47"/>
      <c r="BUE119" s="47"/>
      <c r="BUF119" s="47"/>
      <c r="BUG119" s="47"/>
      <c r="BUH119" s="47"/>
      <c r="BUI119" s="47"/>
      <c r="BUJ119" s="47"/>
      <c r="BUK119" s="47"/>
      <c r="BUL119" s="47"/>
      <c r="BUM119" s="47"/>
      <c r="BUN119" s="47"/>
      <c r="BUO119" s="47"/>
      <c r="BUP119" s="47"/>
      <c r="BUQ119" s="47"/>
      <c r="BUR119" s="47"/>
      <c r="BUS119" s="47"/>
      <c r="BUT119" s="47"/>
      <c r="BUU119" s="47"/>
      <c r="BUV119" s="47"/>
      <c r="BUW119" s="47"/>
      <c r="BUX119" s="47"/>
      <c r="BUY119" s="47"/>
      <c r="BUZ119" s="47"/>
      <c r="BVA119" s="47"/>
      <c r="BVB119" s="47"/>
      <c r="BVC119" s="47"/>
      <c r="BVD119" s="47"/>
      <c r="BVE119" s="47"/>
      <c r="BVF119" s="47"/>
      <c r="BVG119" s="47"/>
      <c r="BVH119" s="47"/>
      <c r="BVI119" s="47"/>
      <c r="BVJ119" s="47"/>
      <c r="BVK119" s="47"/>
      <c r="BVL119" s="47"/>
      <c r="BVM119" s="47"/>
      <c r="BVN119" s="47"/>
      <c r="BVO119" s="47"/>
      <c r="BVP119" s="47"/>
      <c r="BVQ119" s="47"/>
      <c r="BVR119" s="47"/>
      <c r="BVS119" s="47"/>
      <c r="BVT119" s="47"/>
      <c r="BVU119" s="47"/>
      <c r="BVV119" s="47"/>
      <c r="BVW119" s="47"/>
      <c r="BVX119" s="47"/>
      <c r="BVY119" s="47"/>
      <c r="BVZ119" s="47"/>
      <c r="BWA119" s="47"/>
      <c r="BWB119" s="47"/>
      <c r="BWC119" s="47"/>
      <c r="BWD119" s="47"/>
      <c r="BWE119" s="47"/>
      <c r="BWF119" s="47"/>
      <c r="BWG119" s="47"/>
      <c r="BWH119" s="47"/>
      <c r="BWI119" s="47"/>
      <c r="BWJ119" s="47"/>
      <c r="BWK119" s="47"/>
      <c r="BWL119" s="47"/>
      <c r="BWM119" s="47"/>
      <c r="BWN119" s="47"/>
      <c r="BWO119" s="47"/>
      <c r="BWP119" s="47"/>
      <c r="BWQ119" s="47"/>
      <c r="BWR119" s="47"/>
      <c r="BWS119" s="47"/>
      <c r="BWT119" s="47"/>
      <c r="BWU119" s="47"/>
      <c r="BWV119" s="47"/>
      <c r="BWW119" s="47"/>
      <c r="BWX119" s="47"/>
      <c r="BWY119" s="47"/>
      <c r="BWZ119" s="47"/>
      <c r="BXA119" s="47"/>
      <c r="BXB119" s="47"/>
      <c r="BXC119" s="47"/>
      <c r="BXD119" s="47"/>
      <c r="BXE119" s="47"/>
      <c r="BXF119" s="47"/>
      <c r="BXG119" s="47"/>
      <c r="BXH119" s="47"/>
      <c r="BXI119" s="47"/>
      <c r="BXJ119" s="47"/>
      <c r="BXK119" s="47"/>
      <c r="BXL119" s="47"/>
      <c r="BXM119" s="47"/>
      <c r="BXN119" s="47"/>
      <c r="BXO119" s="47"/>
      <c r="BXP119" s="47"/>
      <c r="BXQ119" s="47"/>
      <c r="BXR119" s="47"/>
      <c r="BXS119" s="47"/>
      <c r="BXT119" s="47"/>
      <c r="BXU119" s="47"/>
      <c r="BXV119" s="47"/>
      <c r="BXW119" s="47"/>
      <c r="BXX119" s="47"/>
      <c r="BXY119" s="47"/>
      <c r="BXZ119" s="47"/>
      <c r="BYA119" s="47"/>
      <c r="BYB119" s="47"/>
      <c r="BYC119" s="47"/>
      <c r="BYD119" s="47"/>
      <c r="BYE119" s="47"/>
      <c r="BYF119" s="47"/>
      <c r="BYG119" s="47"/>
      <c r="BYH119" s="47"/>
      <c r="BYI119" s="47"/>
      <c r="BYJ119" s="47"/>
      <c r="BYK119" s="47"/>
      <c r="BYL119" s="47"/>
      <c r="BYM119" s="47"/>
      <c r="BYN119" s="47"/>
      <c r="BYO119" s="47"/>
      <c r="BYP119" s="47"/>
      <c r="BYQ119" s="47"/>
      <c r="BYR119" s="47"/>
      <c r="BYS119" s="47"/>
      <c r="BYT119" s="47"/>
      <c r="BYU119" s="47"/>
      <c r="BYV119" s="47"/>
      <c r="BYW119" s="47"/>
      <c r="BYX119" s="47"/>
      <c r="BYY119" s="47"/>
      <c r="BYZ119" s="47"/>
      <c r="BZA119" s="47"/>
      <c r="BZB119" s="47"/>
      <c r="BZC119" s="47"/>
      <c r="BZD119" s="47"/>
      <c r="BZE119" s="47"/>
      <c r="BZF119" s="47"/>
      <c r="BZG119" s="47"/>
      <c r="BZH119" s="47"/>
      <c r="BZI119" s="47"/>
      <c r="BZJ119" s="47"/>
      <c r="BZK119" s="47"/>
      <c r="BZL119" s="47"/>
      <c r="BZM119" s="47"/>
      <c r="BZN119" s="47"/>
      <c r="BZO119" s="47"/>
      <c r="BZP119" s="47"/>
      <c r="BZQ119" s="47"/>
      <c r="BZR119" s="47"/>
      <c r="BZS119" s="47"/>
      <c r="BZT119" s="47"/>
      <c r="BZU119" s="47"/>
      <c r="BZV119" s="47"/>
      <c r="BZW119" s="47"/>
      <c r="BZX119" s="47"/>
      <c r="BZY119" s="47"/>
      <c r="BZZ119" s="47"/>
      <c r="CAA119" s="47"/>
      <c r="CAB119" s="47"/>
      <c r="CAC119" s="47"/>
      <c r="CAD119" s="47"/>
      <c r="CAE119" s="47"/>
      <c r="CAF119" s="47"/>
      <c r="CAG119" s="47"/>
      <c r="CAH119" s="47"/>
      <c r="CAI119" s="47"/>
      <c r="CAJ119" s="47"/>
      <c r="CAK119" s="47"/>
      <c r="CAL119" s="47"/>
      <c r="CAM119" s="47"/>
      <c r="CAN119" s="47"/>
      <c r="CAO119" s="47"/>
      <c r="CAP119" s="47"/>
      <c r="CAQ119" s="47"/>
      <c r="CAR119" s="47"/>
      <c r="CAS119" s="47"/>
      <c r="CAT119" s="47"/>
      <c r="CAU119" s="47"/>
      <c r="CAV119" s="47"/>
      <c r="CAW119" s="47"/>
      <c r="CAX119" s="47"/>
      <c r="CAY119" s="47"/>
      <c r="CAZ119" s="47"/>
      <c r="CBA119" s="47"/>
      <c r="CBB119" s="47"/>
      <c r="CBC119" s="47"/>
      <c r="CBD119" s="47"/>
      <c r="CBE119" s="47"/>
      <c r="CBF119" s="47"/>
      <c r="CBG119" s="47"/>
      <c r="CBH119" s="47"/>
    </row>
    <row r="120" spans="1:2088" x14ac:dyDescent="0.2">
      <c r="A120" s="13" t="s">
        <v>124</v>
      </c>
      <c r="B120" s="59" t="str">
        <f t="shared" ref="B120" si="22">IF(OR(B32="",B33="",B34="",B31=""),"",MAX((B32="yes")+(B33="yes")+(B34="yes"),IF(B31="yes",2,0)))</f>
        <v/>
      </c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  <c r="DS120" s="47"/>
      <c r="DT120" s="47"/>
      <c r="DU120" s="47"/>
      <c r="DV120" s="47"/>
      <c r="DW120" s="47"/>
      <c r="DX120" s="47"/>
      <c r="DY120" s="47"/>
      <c r="DZ120" s="47"/>
      <c r="EA120" s="47"/>
      <c r="EB120" s="47"/>
      <c r="EC120" s="47"/>
      <c r="ED120" s="47"/>
      <c r="EE120" s="47"/>
      <c r="EF120" s="47"/>
      <c r="EG120" s="47"/>
      <c r="EH120" s="47"/>
      <c r="EI120" s="47"/>
      <c r="EJ120" s="47"/>
      <c r="EK120" s="47"/>
      <c r="EL120" s="47"/>
      <c r="EM120" s="47"/>
      <c r="EN120" s="47"/>
      <c r="EO120" s="47"/>
      <c r="EP120" s="47"/>
      <c r="EQ120" s="47"/>
      <c r="ER120" s="47"/>
      <c r="ES120" s="47"/>
      <c r="ET120" s="47"/>
      <c r="EU120" s="47"/>
      <c r="EV120" s="47"/>
      <c r="EW120" s="47"/>
      <c r="EX120" s="47"/>
      <c r="EY120" s="47"/>
      <c r="EZ120" s="47"/>
      <c r="FA120" s="47"/>
      <c r="FB120" s="47"/>
      <c r="FC120" s="47"/>
      <c r="FD120" s="47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7"/>
      <c r="FP120" s="47"/>
      <c r="FQ120" s="47"/>
      <c r="FR120" s="47"/>
      <c r="FS120" s="47"/>
      <c r="FT120" s="47"/>
      <c r="FU120" s="47"/>
      <c r="FV120" s="47"/>
      <c r="FW120" s="47"/>
      <c r="FX120" s="47"/>
      <c r="FY120" s="47"/>
      <c r="FZ120" s="47"/>
      <c r="GA120" s="47"/>
      <c r="GB120" s="47"/>
      <c r="GC120" s="47"/>
      <c r="GD120" s="47"/>
      <c r="GE120" s="47"/>
      <c r="GF120" s="47"/>
      <c r="GG120" s="47"/>
      <c r="GH120" s="47"/>
      <c r="GI120" s="47"/>
      <c r="GJ120" s="47"/>
      <c r="GK120" s="47"/>
      <c r="GL120" s="47"/>
      <c r="GM120" s="47"/>
      <c r="GN120" s="47"/>
      <c r="GO120" s="47"/>
      <c r="GP120" s="47"/>
      <c r="GQ120" s="47"/>
      <c r="GR120" s="47"/>
      <c r="GS120" s="47"/>
      <c r="GT120" s="47"/>
      <c r="GU120" s="47"/>
      <c r="GV120" s="47"/>
      <c r="GW120" s="47"/>
      <c r="GX120" s="47"/>
      <c r="GY120" s="47"/>
      <c r="GZ120" s="47"/>
      <c r="HA120" s="47"/>
      <c r="HB120" s="47"/>
      <c r="HC120" s="47"/>
      <c r="HD120" s="47"/>
      <c r="HE120" s="47"/>
      <c r="HF120" s="47"/>
      <c r="HG120" s="47"/>
      <c r="HH120" s="47"/>
      <c r="HI120" s="47"/>
      <c r="HJ120" s="47"/>
      <c r="HK120" s="47"/>
      <c r="HL120" s="47"/>
      <c r="HM120" s="47"/>
      <c r="HN120" s="47"/>
      <c r="HO120" s="47"/>
      <c r="HP120" s="47"/>
      <c r="HQ120" s="47"/>
      <c r="HR120" s="47"/>
      <c r="HS120" s="47"/>
      <c r="HT120" s="47"/>
      <c r="HU120" s="47"/>
      <c r="HV120" s="47"/>
      <c r="HW120" s="47"/>
      <c r="HX120" s="47"/>
      <c r="HY120" s="47"/>
      <c r="HZ120" s="47"/>
      <c r="IA120" s="47"/>
      <c r="IB120" s="47"/>
      <c r="IC120" s="47"/>
      <c r="ID120" s="47"/>
      <c r="IE120" s="47"/>
      <c r="IF120" s="47"/>
      <c r="IG120" s="47"/>
      <c r="IH120" s="47"/>
      <c r="II120" s="47"/>
      <c r="IJ120" s="47"/>
      <c r="IK120" s="47"/>
      <c r="IL120" s="47"/>
      <c r="IM120" s="47"/>
      <c r="IN120" s="47"/>
      <c r="IO120" s="47"/>
      <c r="IP120" s="47"/>
      <c r="IQ120" s="47"/>
      <c r="IR120" s="47"/>
      <c r="IS120" s="47"/>
      <c r="IT120" s="47"/>
      <c r="IU120" s="47"/>
      <c r="IV120" s="47"/>
      <c r="IW120" s="47"/>
      <c r="IX120" s="47"/>
      <c r="IY120" s="47"/>
      <c r="IZ120" s="47"/>
      <c r="JA120" s="47"/>
      <c r="JB120" s="47"/>
      <c r="JC120" s="47"/>
      <c r="JD120" s="47"/>
      <c r="JE120" s="47"/>
      <c r="JF120" s="47"/>
      <c r="JG120" s="47"/>
      <c r="JH120" s="47"/>
      <c r="JI120" s="47"/>
      <c r="JJ120" s="47"/>
      <c r="JK120" s="47"/>
      <c r="JL120" s="47"/>
      <c r="JM120" s="47"/>
      <c r="JN120" s="47"/>
      <c r="JO120" s="47"/>
      <c r="JP120" s="47"/>
      <c r="JQ120" s="47"/>
      <c r="JR120" s="47"/>
      <c r="JS120" s="47"/>
      <c r="JT120" s="47"/>
      <c r="JU120" s="47"/>
      <c r="JV120" s="47"/>
      <c r="JW120" s="47"/>
      <c r="JX120" s="47"/>
      <c r="JY120" s="47"/>
      <c r="JZ120" s="47"/>
      <c r="KA120" s="47"/>
      <c r="KB120" s="47"/>
      <c r="KC120" s="47"/>
      <c r="KD120" s="47"/>
      <c r="KE120" s="47"/>
      <c r="KF120" s="47"/>
      <c r="KG120" s="47"/>
      <c r="KH120" s="47"/>
      <c r="KI120" s="47"/>
      <c r="KJ120" s="47"/>
      <c r="KK120" s="47"/>
      <c r="KL120" s="47"/>
      <c r="KM120" s="47"/>
      <c r="KN120" s="47"/>
      <c r="KO120" s="47"/>
      <c r="KP120" s="47"/>
      <c r="KQ120" s="47"/>
      <c r="KR120" s="47"/>
      <c r="KS120" s="47"/>
      <c r="KT120" s="47"/>
      <c r="KU120" s="47"/>
      <c r="KV120" s="47"/>
      <c r="KW120" s="47"/>
      <c r="KX120" s="47"/>
      <c r="KY120" s="47"/>
      <c r="KZ120" s="47"/>
      <c r="LA120" s="47"/>
      <c r="LB120" s="47"/>
      <c r="LC120" s="47"/>
      <c r="LD120" s="47"/>
      <c r="LE120" s="47"/>
      <c r="LF120" s="47"/>
      <c r="LG120" s="47"/>
      <c r="LH120" s="47"/>
      <c r="LI120" s="47"/>
      <c r="LJ120" s="47"/>
      <c r="LK120" s="47"/>
      <c r="LL120" s="47"/>
      <c r="LM120" s="47"/>
      <c r="LN120" s="47"/>
      <c r="LO120" s="47"/>
      <c r="LP120" s="47"/>
      <c r="LQ120" s="47"/>
      <c r="LR120" s="47"/>
      <c r="LS120" s="47"/>
      <c r="LT120" s="47"/>
      <c r="LU120" s="47"/>
      <c r="LV120" s="47"/>
      <c r="LW120" s="47"/>
      <c r="LX120" s="47"/>
      <c r="LY120" s="47"/>
      <c r="LZ120" s="47"/>
      <c r="MA120" s="47"/>
      <c r="MB120" s="47"/>
      <c r="MC120" s="47"/>
      <c r="MD120" s="47"/>
      <c r="ME120" s="47"/>
      <c r="MF120" s="47"/>
      <c r="MG120" s="47"/>
      <c r="MH120" s="47"/>
      <c r="MI120" s="47"/>
      <c r="MJ120" s="47"/>
      <c r="MK120" s="47"/>
      <c r="ML120" s="47"/>
      <c r="MM120" s="47"/>
      <c r="MN120" s="47"/>
      <c r="MO120" s="47"/>
      <c r="MP120" s="47"/>
      <c r="MQ120" s="47"/>
      <c r="MR120" s="47"/>
      <c r="MS120" s="47"/>
      <c r="MT120" s="47"/>
      <c r="MU120" s="47"/>
      <c r="MV120" s="47"/>
      <c r="MW120" s="47"/>
      <c r="MX120" s="47"/>
      <c r="MY120" s="47"/>
      <c r="MZ120" s="47"/>
      <c r="NA120" s="47"/>
      <c r="NB120" s="47"/>
      <c r="NC120" s="47"/>
      <c r="ND120" s="47"/>
      <c r="NE120" s="47"/>
      <c r="NF120" s="47"/>
      <c r="NG120" s="47"/>
      <c r="NH120" s="47"/>
      <c r="NI120" s="47"/>
      <c r="NJ120" s="47"/>
      <c r="NK120" s="47"/>
      <c r="NL120" s="47"/>
      <c r="NM120" s="47"/>
      <c r="NN120" s="47"/>
      <c r="NO120" s="47"/>
      <c r="NP120" s="47"/>
      <c r="NQ120" s="47"/>
      <c r="NR120" s="47"/>
      <c r="NS120" s="47"/>
      <c r="NT120" s="47"/>
      <c r="NU120" s="47"/>
      <c r="NV120" s="47"/>
      <c r="NW120" s="47"/>
      <c r="NX120" s="47"/>
      <c r="NY120" s="47"/>
      <c r="NZ120" s="47"/>
      <c r="OA120" s="47"/>
      <c r="OB120" s="47"/>
      <c r="OC120" s="47"/>
      <c r="OD120" s="47"/>
      <c r="OE120" s="47"/>
      <c r="OF120" s="47"/>
      <c r="OG120" s="47"/>
      <c r="OH120" s="47"/>
      <c r="OI120" s="47"/>
      <c r="OJ120" s="47"/>
      <c r="OK120" s="47"/>
      <c r="OL120" s="47"/>
      <c r="OM120" s="47"/>
      <c r="ON120" s="47"/>
      <c r="OO120" s="47"/>
      <c r="OP120" s="47"/>
      <c r="OQ120" s="47"/>
      <c r="OR120" s="47"/>
      <c r="OS120" s="47"/>
      <c r="OT120" s="47"/>
      <c r="OU120" s="47"/>
      <c r="OV120" s="47"/>
      <c r="OW120" s="47"/>
      <c r="OX120" s="47"/>
      <c r="OY120" s="47"/>
      <c r="OZ120" s="47"/>
      <c r="PA120" s="47"/>
      <c r="PB120" s="47"/>
      <c r="PC120" s="47"/>
      <c r="PD120" s="47"/>
      <c r="PE120" s="47"/>
      <c r="PF120" s="47"/>
      <c r="PG120" s="47"/>
      <c r="PH120" s="47"/>
      <c r="PI120" s="47"/>
      <c r="PJ120" s="47"/>
      <c r="PK120" s="47"/>
      <c r="PL120" s="47"/>
      <c r="PM120" s="47"/>
      <c r="PN120" s="47"/>
      <c r="PO120" s="47"/>
      <c r="PP120" s="47"/>
      <c r="PQ120" s="47"/>
      <c r="PR120" s="47"/>
      <c r="PS120" s="47"/>
      <c r="PT120" s="47"/>
      <c r="PU120" s="47"/>
      <c r="PV120" s="47"/>
      <c r="PW120" s="47"/>
      <c r="PX120" s="47"/>
      <c r="PY120" s="47"/>
      <c r="PZ120" s="47"/>
      <c r="QA120" s="47"/>
      <c r="QB120" s="47"/>
      <c r="QC120" s="47"/>
      <c r="QD120" s="47"/>
      <c r="QE120" s="47"/>
      <c r="QF120" s="47"/>
      <c r="QG120" s="47"/>
      <c r="QH120" s="47"/>
      <c r="QI120" s="47"/>
      <c r="QJ120" s="47"/>
      <c r="QK120" s="47"/>
      <c r="QL120" s="47"/>
      <c r="QM120" s="47"/>
      <c r="QN120" s="47"/>
      <c r="QO120" s="47"/>
      <c r="QP120" s="47"/>
      <c r="QQ120" s="47"/>
      <c r="QR120" s="47"/>
      <c r="QS120" s="47"/>
      <c r="QT120" s="47"/>
      <c r="QU120" s="47"/>
      <c r="QV120" s="47"/>
      <c r="QW120" s="47"/>
      <c r="QX120" s="47"/>
      <c r="QY120" s="47"/>
      <c r="QZ120" s="47"/>
      <c r="RA120" s="47"/>
      <c r="RB120" s="47"/>
      <c r="RC120" s="47"/>
      <c r="RD120" s="47"/>
      <c r="RE120" s="47"/>
      <c r="RF120" s="47"/>
      <c r="RG120" s="47"/>
      <c r="RH120" s="47"/>
      <c r="RI120" s="47"/>
      <c r="RJ120" s="47"/>
      <c r="RK120" s="47"/>
      <c r="RL120" s="47"/>
      <c r="RM120" s="47"/>
      <c r="RN120" s="47"/>
      <c r="RO120" s="47"/>
      <c r="RP120" s="47"/>
      <c r="RQ120" s="47"/>
      <c r="RR120" s="47"/>
      <c r="RS120" s="47"/>
      <c r="RT120" s="47"/>
      <c r="RU120" s="47"/>
      <c r="RV120" s="47"/>
      <c r="RW120" s="47"/>
      <c r="RX120" s="47"/>
      <c r="RY120" s="47"/>
      <c r="RZ120" s="47"/>
      <c r="SA120" s="47"/>
      <c r="SB120" s="47"/>
      <c r="SC120" s="47"/>
      <c r="SD120" s="47"/>
      <c r="SE120" s="47"/>
      <c r="SF120" s="47"/>
      <c r="SG120" s="47"/>
      <c r="SH120" s="47"/>
      <c r="SI120" s="47"/>
      <c r="SJ120" s="47"/>
      <c r="SK120" s="47"/>
      <c r="SL120" s="47"/>
      <c r="SM120" s="47"/>
      <c r="SN120" s="47"/>
      <c r="SO120" s="47"/>
      <c r="SP120" s="47"/>
      <c r="SQ120" s="47"/>
      <c r="SR120" s="47"/>
      <c r="SS120" s="47"/>
      <c r="ST120" s="47"/>
      <c r="SU120" s="47"/>
      <c r="SV120" s="47"/>
      <c r="SW120" s="47"/>
      <c r="SX120" s="47"/>
      <c r="SY120" s="47"/>
      <c r="SZ120" s="47"/>
      <c r="TA120" s="47"/>
      <c r="TB120" s="47"/>
      <c r="TC120" s="47"/>
      <c r="TD120" s="47"/>
      <c r="TE120" s="47"/>
      <c r="TF120" s="47"/>
      <c r="TG120" s="47"/>
      <c r="TH120" s="47"/>
      <c r="TI120" s="47"/>
      <c r="TJ120" s="47"/>
      <c r="TK120" s="47"/>
      <c r="TL120" s="47"/>
      <c r="TM120" s="47"/>
      <c r="TN120" s="47"/>
      <c r="TO120" s="47"/>
      <c r="TP120" s="47"/>
      <c r="TQ120" s="47"/>
      <c r="TR120" s="47"/>
      <c r="TS120" s="47"/>
      <c r="TT120" s="47"/>
      <c r="TU120" s="47"/>
      <c r="TV120" s="47"/>
      <c r="TW120" s="47"/>
      <c r="TX120" s="47"/>
      <c r="TY120" s="47"/>
      <c r="TZ120" s="47"/>
      <c r="UA120" s="47"/>
      <c r="UB120" s="47"/>
      <c r="UC120" s="47"/>
      <c r="UD120" s="47"/>
      <c r="UE120" s="47"/>
      <c r="UF120" s="47"/>
      <c r="UG120" s="47"/>
      <c r="UH120" s="47"/>
      <c r="UI120" s="47"/>
      <c r="UJ120" s="47"/>
      <c r="UK120" s="47"/>
      <c r="UL120" s="47"/>
      <c r="UM120" s="47"/>
      <c r="UN120" s="47"/>
      <c r="UO120" s="47"/>
      <c r="UP120" s="47"/>
      <c r="UQ120" s="47"/>
      <c r="UR120" s="47"/>
      <c r="US120" s="47"/>
      <c r="UT120" s="47"/>
      <c r="UU120" s="47"/>
      <c r="UV120" s="47"/>
      <c r="UW120" s="47"/>
      <c r="UX120" s="47"/>
      <c r="UY120" s="47"/>
      <c r="UZ120" s="47"/>
      <c r="VA120" s="47"/>
      <c r="VB120" s="47"/>
      <c r="VC120" s="47"/>
      <c r="VD120" s="47"/>
      <c r="VE120" s="47"/>
      <c r="VF120" s="47"/>
      <c r="VG120" s="47"/>
      <c r="VH120" s="47"/>
      <c r="VI120" s="47"/>
      <c r="VJ120" s="47"/>
      <c r="VK120" s="47"/>
      <c r="VL120" s="47"/>
      <c r="VM120" s="47"/>
      <c r="VN120" s="47"/>
      <c r="VO120" s="47"/>
      <c r="VP120" s="47"/>
      <c r="VQ120" s="47"/>
      <c r="VR120" s="47"/>
      <c r="VS120" s="47"/>
      <c r="VT120" s="47"/>
      <c r="VU120" s="47"/>
      <c r="VV120" s="47"/>
      <c r="VW120" s="47"/>
      <c r="VX120" s="47"/>
      <c r="VY120" s="47"/>
      <c r="VZ120" s="47"/>
      <c r="WA120" s="47"/>
      <c r="WB120" s="47"/>
      <c r="WC120" s="47"/>
      <c r="WD120" s="47"/>
      <c r="WE120" s="47"/>
      <c r="WF120" s="47"/>
      <c r="WG120" s="47"/>
      <c r="WH120" s="47"/>
      <c r="WI120" s="47"/>
      <c r="WJ120" s="47"/>
      <c r="WK120" s="47"/>
      <c r="WL120" s="47"/>
      <c r="WM120" s="47"/>
      <c r="WN120" s="47"/>
      <c r="WO120" s="47"/>
      <c r="WP120" s="47"/>
      <c r="WQ120" s="47"/>
      <c r="WR120" s="47"/>
      <c r="WS120" s="47"/>
      <c r="WT120" s="47"/>
      <c r="WU120" s="47"/>
      <c r="WV120" s="47"/>
      <c r="WW120" s="47"/>
      <c r="WX120" s="47"/>
      <c r="WY120" s="47"/>
      <c r="WZ120" s="47"/>
      <c r="XA120" s="47"/>
      <c r="XB120" s="47"/>
      <c r="XC120" s="47"/>
      <c r="XD120" s="47"/>
      <c r="XE120" s="47"/>
      <c r="XF120" s="47"/>
      <c r="XG120" s="47"/>
      <c r="XH120" s="47"/>
      <c r="XI120" s="47"/>
      <c r="XJ120" s="47"/>
      <c r="XK120" s="47"/>
      <c r="XL120" s="47"/>
      <c r="XM120" s="47"/>
      <c r="XN120" s="47"/>
      <c r="XO120" s="47"/>
      <c r="XP120" s="47"/>
      <c r="XQ120" s="47"/>
      <c r="XR120" s="47"/>
      <c r="XS120" s="47"/>
      <c r="XT120" s="47"/>
      <c r="XU120" s="47"/>
      <c r="XV120" s="47"/>
      <c r="XW120" s="47"/>
      <c r="XX120" s="47"/>
      <c r="XY120" s="47"/>
      <c r="XZ120" s="47"/>
      <c r="YA120" s="47"/>
      <c r="YB120" s="47"/>
      <c r="YC120" s="47"/>
      <c r="YD120" s="47"/>
      <c r="YE120" s="47"/>
      <c r="YF120" s="47"/>
      <c r="YG120" s="47"/>
      <c r="YH120" s="47"/>
      <c r="YI120" s="47"/>
      <c r="YJ120" s="47"/>
      <c r="YK120" s="47"/>
      <c r="YL120" s="47"/>
      <c r="YM120" s="47"/>
      <c r="YN120" s="47"/>
      <c r="YO120" s="47"/>
      <c r="YP120" s="47"/>
      <c r="YQ120" s="47"/>
      <c r="YR120" s="47"/>
      <c r="YS120" s="47"/>
      <c r="YT120" s="47"/>
      <c r="YU120" s="47"/>
      <c r="YV120" s="47"/>
      <c r="YW120" s="47"/>
      <c r="YX120" s="47"/>
      <c r="YY120" s="47"/>
      <c r="YZ120" s="47"/>
      <c r="ZA120" s="47"/>
      <c r="ZB120" s="47"/>
      <c r="ZC120" s="47"/>
      <c r="ZD120" s="47"/>
      <c r="ZE120" s="47"/>
      <c r="ZF120" s="47"/>
      <c r="ZG120" s="47"/>
      <c r="ZH120" s="47"/>
      <c r="ZI120" s="47"/>
      <c r="ZJ120" s="47"/>
      <c r="ZK120" s="47"/>
      <c r="ZL120" s="47"/>
      <c r="ZM120" s="47"/>
      <c r="ZN120" s="47"/>
      <c r="ZO120" s="47"/>
      <c r="ZP120" s="47"/>
      <c r="ZQ120" s="47"/>
      <c r="ZR120" s="47"/>
      <c r="ZS120" s="47"/>
      <c r="ZT120" s="47"/>
      <c r="ZU120" s="47"/>
      <c r="ZV120" s="47"/>
      <c r="ZW120" s="47"/>
      <c r="ZX120" s="47"/>
      <c r="ZY120" s="47"/>
      <c r="ZZ120" s="47"/>
      <c r="AAA120" s="47"/>
      <c r="AAB120" s="47"/>
      <c r="AAC120" s="47"/>
      <c r="AAD120" s="47"/>
      <c r="AAE120" s="47"/>
      <c r="AAF120" s="47"/>
      <c r="AAG120" s="47"/>
      <c r="AAH120" s="47"/>
      <c r="AAI120" s="47"/>
      <c r="AAJ120" s="47"/>
      <c r="AAK120" s="47"/>
      <c r="AAL120" s="47"/>
      <c r="AAM120" s="47"/>
      <c r="AAN120" s="47"/>
      <c r="AAO120" s="47"/>
      <c r="AAP120" s="47"/>
      <c r="AAQ120" s="47"/>
      <c r="AAR120" s="47"/>
      <c r="AAS120" s="47"/>
      <c r="AAT120" s="47"/>
      <c r="AAU120" s="47"/>
      <c r="AAV120" s="47"/>
      <c r="AAW120" s="47"/>
      <c r="AAX120" s="47"/>
      <c r="AAY120" s="47"/>
      <c r="AAZ120" s="47"/>
      <c r="ABA120" s="47"/>
      <c r="ABB120" s="47"/>
      <c r="ABC120" s="47"/>
      <c r="ABD120" s="47"/>
      <c r="ABE120" s="47"/>
      <c r="ABF120" s="47"/>
      <c r="ABG120" s="47"/>
      <c r="ABH120" s="47"/>
      <c r="ABI120" s="47"/>
      <c r="ABJ120" s="47"/>
      <c r="ABK120" s="47"/>
      <c r="ABL120" s="47"/>
      <c r="ABM120" s="47"/>
      <c r="ABN120" s="47"/>
      <c r="ABO120" s="47"/>
      <c r="ABP120" s="47"/>
      <c r="ABQ120" s="47"/>
      <c r="ABR120" s="47"/>
      <c r="ABS120" s="47"/>
      <c r="ABT120" s="47"/>
      <c r="ABU120" s="47"/>
      <c r="ABV120" s="47"/>
      <c r="ABW120" s="47"/>
      <c r="ABX120" s="47"/>
      <c r="ABY120" s="47"/>
      <c r="ABZ120" s="47"/>
      <c r="ACA120" s="47"/>
      <c r="ACB120" s="47"/>
      <c r="ACC120" s="47"/>
      <c r="ACD120" s="47"/>
      <c r="ACE120" s="47"/>
      <c r="ACF120" s="47"/>
      <c r="ACG120" s="47"/>
      <c r="ACH120" s="47"/>
      <c r="ACI120" s="47"/>
      <c r="ACJ120" s="47"/>
      <c r="ACK120" s="47"/>
      <c r="ACL120" s="47"/>
      <c r="ACM120" s="47"/>
      <c r="ACN120" s="47"/>
      <c r="ACO120" s="47"/>
      <c r="ACP120" s="47"/>
      <c r="ACQ120" s="47"/>
      <c r="ACR120" s="47"/>
      <c r="ACS120" s="47"/>
      <c r="ACT120" s="47"/>
      <c r="ACU120" s="47"/>
      <c r="ACV120" s="47"/>
      <c r="ACW120" s="47"/>
      <c r="ACX120" s="47"/>
      <c r="ACY120" s="47"/>
      <c r="ACZ120" s="47"/>
      <c r="ADA120" s="47"/>
      <c r="ADB120" s="47"/>
      <c r="ADC120" s="47"/>
      <c r="ADD120" s="47"/>
      <c r="ADE120" s="47"/>
      <c r="ADF120" s="47"/>
      <c r="ADG120" s="47"/>
      <c r="ADH120" s="47"/>
      <c r="ADI120" s="47"/>
      <c r="ADJ120" s="47"/>
      <c r="ADK120" s="47"/>
      <c r="ADL120" s="47"/>
      <c r="ADM120" s="47"/>
      <c r="ADN120" s="47"/>
      <c r="ADO120" s="47"/>
      <c r="ADP120" s="47"/>
      <c r="ADQ120" s="47"/>
      <c r="ADR120" s="47"/>
      <c r="ADS120" s="47"/>
      <c r="ADT120" s="47"/>
      <c r="ADU120" s="47"/>
      <c r="ADV120" s="47"/>
      <c r="ADW120" s="47"/>
      <c r="ADX120" s="47"/>
      <c r="ADY120" s="47"/>
      <c r="ADZ120" s="47"/>
      <c r="AEA120" s="47"/>
      <c r="AEB120" s="47"/>
      <c r="AEC120" s="47"/>
      <c r="AED120" s="47"/>
      <c r="AEE120" s="47"/>
      <c r="AEF120" s="47"/>
      <c r="AEG120" s="47"/>
      <c r="AEH120" s="47"/>
      <c r="AEI120" s="47"/>
      <c r="AEJ120" s="47"/>
      <c r="AEK120" s="47"/>
      <c r="AEL120" s="47"/>
      <c r="AEM120" s="47"/>
      <c r="AEN120" s="47"/>
      <c r="AEO120" s="47"/>
      <c r="AEP120" s="47"/>
      <c r="AEQ120" s="47"/>
      <c r="AER120" s="47"/>
      <c r="AES120" s="47"/>
      <c r="AET120" s="47"/>
      <c r="AEU120" s="47"/>
      <c r="AEV120" s="47"/>
      <c r="AEW120" s="47"/>
      <c r="AEX120" s="47"/>
      <c r="AEY120" s="47"/>
      <c r="AEZ120" s="47"/>
      <c r="AFA120" s="47"/>
      <c r="AFB120" s="47"/>
      <c r="AFC120" s="47"/>
      <c r="AFD120" s="47"/>
      <c r="AFE120" s="47"/>
      <c r="AFF120" s="47"/>
      <c r="AFG120" s="47"/>
      <c r="AFH120" s="47"/>
      <c r="AFI120" s="47"/>
      <c r="AFJ120" s="47"/>
      <c r="AFK120" s="47"/>
      <c r="AFL120" s="47"/>
      <c r="AFM120" s="47"/>
      <c r="AFN120" s="47"/>
      <c r="AFO120" s="47"/>
      <c r="AFP120" s="47"/>
      <c r="AFQ120" s="47"/>
      <c r="AFR120" s="47"/>
      <c r="AFS120" s="47"/>
      <c r="AFT120" s="47"/>
      <c r="AFU120" s="47"/>
      <c r="AFV120" s="47"/>
      <c r="AFW120" s="47"/>
      <c r="AFX120" s="47"/>
      <c r="AFY120" s="47"/>
      <c r="AFZ120" s="47"/>
      <c r="AGA120" s="47"/>
      <c r="AGB120" s="47"/>
      <c r="AGC120" s="47"/>
      <c r="AGD120" s="47"/>
      <c r="AGE120" s="47"/>
      <c r="AGF120" s="47"/>
      <c r="AGG120" s="47"/>
      <c r="AGH120" s="47"/>
      <c r="AGI120" s="47"/>
      <c r="AGJ120" s="47"/>
      <c r="AGK120" s="47"/>
      <c r="AGL120" s="47"/>
      <c r="AGM120" s="47"/>
      <c r="AGN120" s="47"/>
      <c r="AGO120" s="47"/>
      <c r="AGP120" s="47"/>
      <c r="AGQ120" s="47"/>
      <c r="AGR120" s="47"/>
      <c r="AGS120" s="47"/>
      <c r="AGT120" s="47"/>
      <c r="AGU120" s="47"/>
      <c r="AGV120" s="47"/>
      <c r="AGW120" s="47"/>
      <c r="AGX120" s="47"/>
      <c r="AGY120" s="47"/>
      <c r="AGZ120" s="47"/>
      <c r="AHA120" s="47"/>
      <c r="AHB120" s="47"/>
      <c r="AHC120" s="47"/>
      <c r="AHD120" s="47"/>
      <c r="AHE120" s="47"/>
      <c r="AHF120" s="47"/>
      <c r="AHG120" s="47"/>
      <c r="AHH120" s="47"/>
      <c r="AHI120" s="47"/>
      <c r="AHJ120" s="47"/>
      <c r="AHK120" s="47"/>
      <c r="AHL120" s="47"/>
      <c r="AHM120" s="47"/>
      <c r="AHN120" s="47"/>
      <c r="AHO120" s="47"/>
      <c r="AHP120" s="47"/>
      <c r="AHQ120" s="47"/>
      <c r="AHR120" s="47"/>
      <c r="AHS120" s="47"/>
      <c r="AHT120" s="47"/>
      <c r="AHU120" s="47"/>
      <c r="AHV120" s="47"/>
      <c r="AHW120" s="47"/>
      <c r="AHX120" s="47"/>
      <c r="AHY120" s="47"/>
      <c r="AHZ120" s="47"/>
      <c r="AIA120" s="47"/>
      <c r="AIB120" s="47"/>
      <c r="AIC120" s="47"/>
      <c r="AID120" s="47"/>
      <c r="AIE120" s="47"/>
      <c r="AIF120" s="47"/>
      <c r="AIG120" s="47"/>
      <c r="AIH120" s="47"/>
      <c r="AII120" s="47"/>
      <c r="AIJ120" s="47"/>
      <c r="AIK120" s="47"/>
      <c r="AIL120" s="47"/>
      <c r="AIM120" s="47"/>
      <c r="AIN120" s="47"/>
      <c r="AIO120" s="47"/>
      <c r="AIP120" s="47"/>
      <c r="AIQ120" s="47"/>
      <c r="AIR120" s="47"/>
      <c r="AIS120" s="47"/>
      <c r="AIT120" s="47"/>
      <c r="AIU120" s="47"/>
      <c r="AIV120" s="47"/>
      <c r="AIW120" s="47"/>
      <c r="AIX120" s="47"/>
      <c r="AIY120" s="47"/>
      <c r="AIZ120" s="47"/>
      <c r="AJA120" s="47"/>
      <c r="AJB120" s="47"/>
      <c r="AJC120" s="47"/>
      <c r="AJD120" s="47"/>
      <c r="AJE120" s="47"/>
      <c r="AJF120" s="47"/>
      <c r="AJG120" s="47"/>
      <c r="AJH120" s="47"/>
      <c r="AJI120" s="47"/>
      <c r="AJJ120" s="47"/>
      <c r="AJK120" s="47"/>
      <c r="AJL120" s="47"/>
      <c r="AJM120" s="47"/>
      <c r="AJN120" s="47"/>
      <c r="AJO120" s="47"/>
      <c r="AJP120" s="47"/>
      <c r="AJQ120" s="47"/>
      <c r="AJR120" s="47"/>
      <c r="AJS120" s="47"/>
      <c r="AJT120" s="47"/>
      <c r="AJU120" s="47"/>
      <c r="AJV120" s="47"/>
      <c r="AJW120" s="47"/>
      <c r="AJX120" s="47"/>
      <c r="AJY120" s="47"/>
      <c r="AJZ120" s="47"/>
      <c r="AKA120" s="47"/>
      <c r="AKB120" s="47"/>
      <c r="AKC120" s="47"/>
      <c r="AKD120" s="47"/>
      <c r="AKE120" s="47"/>
      <c r="AKF120" s="47"/>
      <c r="AKG120" s="47"/>
      <c r="AKH120" s="47"/>
      <c r="AKI120" s="47"/>
      <c r="AKJ120" s="47"/>
      <c r="AKK120" s="47"/>
      <c r="AKL120" s="47"/>
      <c r="AKM120" s="47"/>
      <c r="AKN120" s="47"/>
      <c r="AKO120" s="47"/>
      <c r="AKP120" s="47"/>
      <c r="AKQ120" s="47"/>
      <c r="AKR120" s="47"/>
      <c r="AKS120" s="47"/>
      <c r="AKT120" s="47"/>
      <c r="AKU120" s="47"/>
      <c r="AKV120" s="47"/>
      <c r="AKW120" s="47"/>
      <c r="AKX120" s="47"/>
      <c r="AKY120" s="47"/>
      <c r="AKZ120" s="47"/>
      <c r="ALA120" s="47"/>
      <c r="ALB120" s="47"/>
      <c r="ALC120" s="47"/>
      <c r="ALD120" s="47"/>
      <c r="ALE120" s="47"/>
      <c r="ALF120" s="47"/>
      <c r="ALG120" s="47"/>
      <c r="ALH120" s="47"/>
      <c r="ALI120" s="47"/>
      <c r="ALJ120" s="47"/>
      <c r="ALK120" s="47"/>
      <c r="ALL120" s="47"/>
      <c r="ALM120" s="47"/>
      <c r="ALN120" s="47"/>
      <c r="ALO120" s="47"/>
      <c r="ALP120" s="47"/>
      <c r="ALQ120" s="47"/>
      <c r="ALR120" s="47"/>
      <c r="ALS120" s="47"/>
      <c r="ALT120" s="47"/>
      <c r="ALU120" s="47"/>
      <c r="ALV120" s="47"/>
      <c r="ALW120" s="47"/>
      <c r="ALX120" s="47"/>
      <c r="ALY120" s="47"/>
      <c r="ALZ120" s="47"/>
      <c r="AMA120" s="47"/>
      <c r="AMB120" s="47"/>
      <c r="AMC120" s="47"/>
      <c r="AMD120" s="47"/>
      <c r="AME120" s="47"/>
      <c r="AMF120" s="47"/>
      <c r="AMG120" s="47"/>
      <c r="AMH120" s="47"/>
      <c r="AMI120" s="47"/>
      <c r="AMJ120" s="47"/>
      <c r="AMK120" s="47"/>
      <c r="AML120" s="47"/>
      <c r="AMM120" s="47"/>
      <c r="AMN120" s="47"/>
      <c r="AMO120" s="47"/>
      <c r="AMP120" s="47"/>
      <c r="AMQ120" s="47"/>
      <c r="AMR120" s="47"/>
      <c r="AMS120" s="47"/>
      <c r="AMT120" s="47"/>
      <c r="AMU120" s="47"/>
      <c r="AMV120" s="47"/>
      <c r="AMW120" s="47"/>
      <c r="AMX120" s="47"/>
      <c r="AMY120" s="47"/>
      <c r="AMZ120" s="47"/>
      <c r="ANA120" s="47"/>
      <c r="ANB120" s="47"/>
      <c r="ANC120" s="47"/>
      <c r="AND120" s="47"/>
      <c r="ANE120" s="47"/>
      <c r="ANF120" s="47"/>
      <c r="ANG120" s="47"/>
      <c r="ANH120" s="47"/>
      <c r="ANI120" s="47"/>
      <c r="ANJ120" s="47"/>
      <c r="ANK120" s="47"/>
      <c r="ANL120" s="47"/>
      <c r="ANM120" s="47"/>
      <c r="ANN120" s="47"/>
      <c r="ANO120" s="47"/>
      <c r="ANP120" s="47"/>
      <c r="ANQ120" s="47"/>
      <c r="ANR120" s="47"/>
      <c r="ANS120" s="47"/>
      <c r="ANT120" s="47"/>
      <c r="ANU120" s="47"/>
      <c r="ANV120" s="47"/>
      <c r="ANW120" s="47"/>
      <c r="ANX120" s="47"/>
      <c r="ANY120" s="47"/>
      <c r="ANZ120" s="47"/>
      <c r="AOA120" s="47"/>
      <c r="AOB120" s="47"/>
      <c r="AOC120" s="47"/>
      <c r="AOD120" s="47"/>
      <c r="AOE120" s="47"/>
      <c r="AOF120" s="47"/>
      <c r="AOG120" s="47"/>
      <c r="AOH120" s="47"/>
      <c r="AOI120" s="47"/>
      <c r="AOJ120" s="47"/>
      <c r="AOK120" s="47"/>
      <c r="AOL120" s="47"/>
      <c r="AOM120" s="47"/>
      <c r="AON120" s="47"/>
      <c r="AOO120" s="47"/>
      <c r="AOP120" s="47"/>
      <c r="AOQ120" s="47"/>
      <c r="AOR120" s="47"/>
      <c r="AOS120" s="47"/>
      <c r="AOT120" s="47"/>
      <c r="AOU120" s="47"/>
      <c r="AOV120" s="47"/>
      <c r="AOW120" s="47"/>
      <c r="AOX120" s="47"/>
      <c r="AOY120" s="47"/>
      <c r="AOZ120" s="47"/>
      <c r="APA120" s="47"/>
      <c r="APB120" s="47"/>
      <c r="APC120" s="47"/>
      <c r="APD120" s="47"/>
      <c r="APE120" s="47"/>
      <c r="APF120" s="47"/>
      <c r="APG120" s="47"/>
      <c r="APH120" s="47"/>
      <c r="API120" s="47"/>
      <c r="APJ120" s="47"/>
      <c r="APK120" s="47"/>
      <c r="APL120" s="47"/>
      <c r="APM120" s="47"/>
      <c r="APN120" s="47"/>
      <c r="APO120" s="47"/>
      <c r="APP120" s="47"/>
      <c r="APQ120" s="47"/>
      <c r="APR120" s="47"/>
      <c r="APS120" s="47"/>
      <c r="APT120" s="47"/>
      <c r="APU120" s="47"/>
      <c r="APV120" s="47"/>
      <c r="APW120" s="47"/>
      <c r="APX120" s="47"/>
      <c r="APY120" s="47"/>
      <c r="APZ120" s="47"/>
      <c r="AQA120" s="47"/>
      <c r="AQB120" s="47"/>
      <c r="AQC120" s="47"/>
      <c r="AQD120" s="47"/>
      <c r="AQE120" s="47"/>
      <c r="AQF120" s="47"/>
      <c r="AQG120" s="47"/>
      <c r="AQH120" s="47"/>
      <c r="AQI120" s="47"/>
      <c r="AQJ120" s="47"/>
      <c r="AQK120" s="47"/>
      <c r="AQL120" s="47"/>
      <c r="AQM120" s="47"/>
      <c r="AQN120" s="47"/>
      <c r="AQO120" s="47"/>
      <c r="AQP120" s="47"/>
      <c r="AQQ120" s="47"/>
      <c r="AQR120" s="47"/>
      <c r="AQS120" s="47"/>
      <c r="AQT120" s="47"/>
      <c r="AQU120" s="47"/>
      <c r="AQV120" s="47"/>
      <c r="AQW120" s="47"/>
      <c r="AQX120" s="47"/>
      <c r="AQY120" s="47"/>
      <c r="AQZ120" s="47"/>
      <c r="ARA120" s="47"/>
      <c r="ARB120" s="47"/>
      <c r="ARC120" s="47"/>
      <c r="ARD120" s="47"/>
      <c r="ARE120" s="47"/>
      <c r="ARF120" s="47"/>
      <c r="ARG120" s="47"/>
      <c r="ARH120" s="47"/>
      <c r="ARI120" s="47"/>
      <c r="ARJ120" s="47"/>
      <c r="ARK120" s="47"/>
      <c r="ARL120" s="47"/>
      <c r="ARM120" s="47"/>
      <c r="ARN120" s="47"/>
      <c r="ARO120" s="47"/>
      <c r="ARP120" s="47"/>
      <c r="ARQ120" s="47"/>
      <c r="ARR120" s="47"/>
      <c r="ARS120" s="47"/>
      <c r="ART120" s="47"/>
      <c r="ARU120" s="47"/>
      <c r="ARV120" s="47"/>
      <c r="ARW120" s="47"/>
      <c r="ARX120" s="47"/>
      <c r="ARY120" s="47"/>
      <c r="ARZ120" s="47"/>
      <c r="ASA120" s="47"/>
      <c r="ASB120" s="47"/>
      <c r="ASC120" s="47"/>
      <c r="ASD120" s="47"/>
      <c r="ASE120" s="47"/>
      <c r="ASF120" s="47"/>
      <c r="ASG120" s="47"/>
      <c r="ASH120" s="47"/>
      <c r="ASI120" s="47"/>
      <c r="ASJ120" s="47"/>
      <c r="ASK120" s="47"/>
      <c r="ASL120" s="47"/>
      <c r="ASM120" s="47"/>
      <c r="ASN120" s="47"/>
      <c r="ASO120" s="47"/>
      <c r="ASP120" s="47"/>
      <c r="ASQ120" s="47"/>
      <c r="ASR120" s="47"/>
      <c r="ASS120" s="47"/>
      <c r="AST120" s="47"/>
      <c r="ASU120" s="47"/>
      <c r="ASV120" s="47"/>
      <c r="ASW120" s="47"/>
      <c r="ASX120" s="47"/>
      <c r="ASY120" s="47"/>
      <c r="ASZ120" s="47"/>
      <c r="ATA120" s="47"/>
      <c r="ATB120" s="47"/>
      <c r="ATC120" s="47"/>
      <c r="ATD120" s="47"/>
      <c r="ATE120" s="47"/>
      <c r="ATF120" s="47"/>
      <c r="ATG120" s="47"/>
      <c r="ATH120" s="47"/>
      <c r="ATI120" s="47"/>
      <c r="ATJ120" s="47"/>
      <c r="ATK120" s="47"/>
      <c r="ATL120" s="47"/>
      <c r="ATM120" s="47"/>
      <c r="ATN120" s="47"/>
      <c r="ATO120" s="47"/>
      <c r="ATP120" s="47"/>
      <c r="ATQ120" s="47"/>
      <c r="ATR120" s="47"/>
      <c r="ATS120" s="47"/>
      <c r="ATT120" s="47"/>
      <c r="ATU120" s="47"/>
      <c r="ATV120" s="47"/>
      <c r="ATW120" s="47"/>
      <c r="ATX120" s="47"/>
      <c r="ATY120" s="47"/>
      <c r="ATZ120" s="47"/>
      <c r="AUA120" s="47"/>
      <c r="AUB120" s="47"/>
      <c r="AUC120" s="47"/>
      <c r="AUD120" s="47"/>
      <c r="AUE120" s="47"/>
      <c r="AUF120" s="47"/>
      <c r="AUG120" s="47"/>
      <c r="AUH120" s="47"/>
      <c r="AUI120" s="47"/>
      <c r="AUJ120" s="47"/>
      <c r="AUK120" s="47"/>
      <c r="AUL120" s="47"/>
      <c r="AUM120" s="47"/>
      <c r="AUN120" s="47"/>
      <c r="AUO120" s="47"/>
      <c r="AUP120" s="47"/>
      <c r="AUQ120" s="47"/>
      <c r="AUR120" s="47"/>
      <c r="AUS120" s="47"/>
      <c r="AUT120" s="47"/>
      <c r="AUU120" s="47"/>
      <c r="AUV120" s="47"/>
      <c r="AUW120" s="47"/>
      <c r="AUX120" s="47"/>
      <c r="AUY120" s="47"/>
      <c r="AUZ120" s="47"/>
      <c r="AVA120" s="47"/>
      <c r="AVB120" s="47"/>
      <c r="AVC120" s="47"/>
      <c r="AVD120" s="47"/>
      <c r="AVE120" s="47"/>
      <c r="AVF120" s="47"/>
      <c r="AVG120" s="47"/>
      <c r="AVH120" s="47"/>
      <c r="AVI120" s="47"/>
      <c r="AVJ120" s="47"/>
      <c r="AVK120" s="47"/>
      <c r="AVL120" s="47"/>
      <c r="AVM120" s="47"/>
      <c r="AVN120" s="47"/>
      <c r="AVO120" s="47"/>
      <c r="AVP120" s="47"/>
      <c r="AVQ120" s="47"/>
      <c r="AVR120" s="47"/>
      <c r="AVS120" s="47"/>
      <c r="AVT120" s="47"/>
      <c r="AVU120" s="47"/>
      <c r="AVV120" s="47"/>
      <c r="AVW120" s="47"/>
      <c r="AVX120" s="47"/>
      <c r="AVY120" s="47"/>
      <c r="AVZ120" s="47"/>
      <c r="AWA120" s="47"/>
      <c r="AWB120" s="47"/>
      <c r="AWC120" s="47"/>
      <c r="AWD120" s="47"/>
      <c r="AWE120" s="47"/>
      <c r="AWF120" s="47"/>
      <c r="AWG120" s="47"/>
      <c r="AWH120" s="47"/>
      <c r="AWI120" s="47"/>
      <c r="AWJ120" s="47"/>
      <c r="AWK120" s="47"/>
      <c r="AWL120" s="47"/>
      <c r="AWM120" s="47"/>
      <c r="AWN120" s="47"/>
      <c r="AWO120" s="47"/>
      <c r="AWP120" s="47"/>
      <c r="AWQ120" s="47"/>
      <c r="AWR120" s="47"/>
      <c r="AWS120" s="47"/>
      <c r="AWT120" s="47"/>
      <c r="AWU120" s="47"/>
      <c r="AWV120" s="47"/>
      <c r="AWW120" s="47"/>
      <c r="AWX120" s="47"/>
      <c r="AWY120" s="47"/>
      <c r="AWZ120" s="47"/>
      <c r="AXA120" s="47"/>
      <c r="AXB120" s="47"/>
      <c r="AXC120" s="47"/>
      <c r="AXD120" s="47"/>
      <c r="AXE120" s="47"/>
      <c r="AXF120" s="47"/>
      <c r="AXG120" s="47"/>
      <c r="AXH120" s="47"/>
      <c r="AXI120" s="47"/>
      <c r="AXJ120" s="47"/>
      <c r="AXK120" s="47"/>
      <c r="AXL120" s="47"/>
      <c r="AXM120" s="47"/>
      <c r="AXN120" s="47"/>
      <c r="AXO120" s="47"/>
      <c r="AXP120" s="47"/>
      <c r="AXQ120" s="47"/>
      <c r="AXR120" s="47"/>
      <c r="AXS120" s="47"/>
      <c r="AXT120" s="47"/>
      <c r="AXU120" s="47"/>
      <c r="AXV120" s="47"/>
      <c r="AXW120" s="47"/>
      <c r="AXX120" s="47"/>
      <c r="AXY120" s="47"/>
      <c r="AXZ120" s="47"/>
      <c r="AYA120" s="47"/>
      <c r="AYB120" s="47"/>
      <c r="AYC120" s="47"/>
      <c r="AYD120" s="47"/>
      <c r="AYE120" s="47"/>
      <c r="AYF120" s="47"/>
      <c r="AYG120" s="47"/>
      <c r="AYH120" s="47"/>
      <c r="AYI120" s="47"/>
      <c r="AYJ120" s="47"/>
      <c r="AYK120" s="47"/>
      <c r="AYL120" s="47"/>
      <c r="AYM120" s="47"/>
      <c r="AYN120" s="47"/>
      <c r="AYO120" s="47"/>
      <c r="AYP120" s="47"/>
      <c r="AYQ120" s="47"/>
      <c r="AYR120" s="47"/>
      <c r="AYS120" s="47"/>
      <c r="AYT120" s="47"/>
      <c r="AYU120" s="47"/>
      <c r="AYV120" s="47"/>
      <c r="AYW120" s="47"/>
      <c r="AYX120" s="47"/>
      <c r="AYY120" s="47"/>
      <c r="AYZ120" s="47"/>
      <c r="AZA120" s="47"/>
      <c r="AZB120" s="47"/>
      <c r="AZC120" s="47"/>
      <c r="AZD120" s="47"/>
      <c r="AZE120" s="47"/>
      <c r="AZF120" s="47"/>
      <c r="AZG120" s="47"/>
      <c r="AZH120" s="47"/>
      <c r="AZI120" s="47"/>
      <c r="AZJ120" s="47"/>
      <c r="AZK120" s="47"/>
      <c r="AZL120" s="47"/>
      <c r="AZM120" s="47"/>
      <c r="AZN120" s="47"/>
      <c r="AZO120" s="47"/>
      <c r="AZP120" s="47"/>
      <c r="AZQ120" s="47"/>
      <c r="AZR120" s="47"/>
      <c r="AZS120" s="47"/>
      <c r="AZT120" s="47"/>
      <c r="AZU120" s="47"/>
      <c r="AZV120" s="47"/>
      <c r="AZW120" s="47"/>
      <c r="AZX120" s="47"/>
      <c r="AZY120" s="47"/>
      <c r="AZZ120" s="47"/>
      <c r="BAA120" s="47"/>
      <c r="BAB120" s="47"/>
      <c r="BAC120" s="47"/>
      <c r="BAD120" s="47"/>
      <c r="BAE120" s="47"/>
      <c r="BAF120" s="47"/>
      <c r="BAG120" s="47"/>
      <c r="BAH120" s="47"/>
      <c r="BAI120" s="47"/>
      <c r="BAJ120" s="47"/>
      <c r="BAK120" s="47"/>
      <c r="BAL120" s="47"/>
      <c r="BAM120" s="47"/>
      <c r="BAN120" s="47"/>
      <c r="BAO120" s="47"/>
      <c r="BAP120" s="47"/>
      <c r="BAQ120" s="47"/>
      <c r="BAR120" s="47"/>
      <c r="BAS120" s="47"/>
      <c r="BAT120" s="47"/>
      <c r="BAU120" s="47"/>
      <c r="BAV120" s="47"/>
      <c r="BAW120" s="47"/>
      <c r="BAX120" s="47"/>
      <c r="BAY120" s="47"/>
      <c r="BAZ120" s="47"/>
      <c r="BBA120" s="47"/>
      <c r="BBB120" s="47"/>
      <c r="BBC120" s="47"/>
      <c r="BBD120" s="47"/>
      <c r="BBE120" s="47"/>
      <c r="BBF120" s="47"/>
      <c r="BBG120" s="47"/>
      <c r="BBH120" s="47"/>
      <c r="BBI120" s="47"/>
      <c r="BBJ120" s="47"/>
      <c r="BBK120" s="47"/>
      <c r="BBL120" s="47"/>
      <c r="BBM120" s="47"/>
      <c r="BBN120" s="47"/>
      <c r="BBO120" s="47"/>
      <c r="BBP120" s="47"/>
      <c r="BBQ120" s="47"/>
      <c r="BBR120" s="47"/>
      <c r="BBS120" s="47"/>
      <c r="BBT120" s="47"/>
      <c r="BBU120" s="47"/>
      <c r="BBV120" s="47"/>
      <c r="BBW120" s="47"/>
      <c r="BBX120" s="47"/>
      <c r="BBY120" s="47"/>
      <c r="BBZ120" s="47"/>
      <c r="BCA120" s="47"/>
      <c r="BCB120" s="47"/>
      <c r="BCC120" s="47"/>
      <c r="BCD120" s="47"/>
      <c r="BCE120" s="47"/>
      <c r="BCF120" s="47"/>
      <c r="BCG120" s="47"/>
      <c r="BCH120" s="47"/>
      <c r="BCI120" s="47"/>
      <c r="BCJ120" s="47"/>
      <c r="BCK120" s="47"/>
      <c r="BCL120" s="47"/>
      <c r="BCM120" s="47"/>
      <c r="BCN120" s="47"/>
      <c r="BCO120" s="47"/>
      <c r="BCP120" s="47"/>
      <c r="BCQ120" s="47"/>
      <c r="BCR120" s="47"/>
      <c r="BCS120" s="47"/>
      <c r="BCT120" s="47"/>
      <c r="BCU120" s="47"/>
      <c r="BCV120" s="47"/>
      <c r="BCW120" s="47"/>
      <c r="BCX120" s="47"/>
      <c r="BCY120" s="47"/>
      <c r="BCZ120" s="47"/>
      <c r="BDA120" s="47"/>
      <c r="BDB120" s="47"/>
      <c r="BDC120" s="47"/>
      <c r="BDD120" s="47"/>
      <c r="BDE120" s="47"/>
      <c r="BDF120" s="47"/>
      <c r="BDG120" s="47"/>
      <c r="BDH120" s="47"/>
      <c r="BDI120" s="47"/>
      <c r="BDJ120" s="47"/>
      <c r="BDK120" s="47"/>
      <c r="BDL120" s="47"/>
      <c r="BDM120" s="47"/>
      <c r="BDN120" s="47"/>
      <c r="BDO120" s="47"/>
      <c r="BDP120" s="47"/>
      <c r="BDQ120" s="47"/>
      <c r="BDR120" s="47"/>
      <c r="BDS120" s="47"/>
      <c r="BDT120" s="47"/>
      <c r="BDU120" s="47"/>
      <c r="BDV120" s="47"/>
      <c r="BDW120" s="47"/>
      <c r="BDX120" s="47"/>
      <c r="BDY120" s="47"/>
      <c r="BDZ120" s="47"/>
      <c r="BEA120" s="47"/>
      <c r="BEB120" s="47"/>
      <c r="BEC120" s="47"/>
      <c r="BED120" s="47"/>
      <c r="BEE120" s="47"/>
      <c r="BEF120" s="47"/>
      <c r="BEG120" s="47"/>
      <c r="BEH120" s="47"/>
      <c r="BEI120" s="47"/>
      <c r="BEJ120" s="47"/>
      <c r="BEK120" s="47"/>
      <c r="BEL120" s="47"/>
      <c r="BEM120" s="47"/>
      <c r="BEN120" s="47"/>
      <c r="BEO120" s="47"/>
      <c r="BEP120" s="47"/>
      <c r="BEQ120" s="47"/>
      <c r="BER120" s="47"/>
      <c r="BES120" s="47"/>
      <c r="BET120" s="47"/>
      <c r="BEU120" s="47"/>
      <c r="BEV120" s="47"/>
      <c r="BEW120" s="47"/>
      <c r="BEX120" s="47"/>
      <c r="BEY120" s="47"/>
      <c r="BEZ120" s="47"/>
      <c r="BFA120" s="47"/>
      <c r="BFB120" s="47"/>
      <c r="BFC120" s="47"/>
      <c r="BFD120" s="47"/>
      <c r="BFE120" s="47"/>
      <c r="BFF120" s="47"/>
      <c r="BFG120" s="47"/>
      <c r="BFH120" s="47"/>
      <c r="BFI120" s="47"/>
      <c r="BFJ120" s="47"/>
      <c r="BFK120" s="47"/>
      <c r="BFL120" s="47"/>
      <c r="BFM120" s="47"/>
      <c r="BFN120" s="47"/>
      <c r="BFO120" s="47"/>
      <c r="BFP120" s="47"/>
      <c r="BFQ120" s="47"/>
      <c r="BFR120" s="47"/>
      <c r="BFS120" s="47"/>
      <c r="BFT120" s="47"/>
      <c r="BFU120" s="47"/>
      <c r="BFV120" s="47"/>
      <c r="BFW120" s="47"/>
      <c r="BFX120" s="47"/>
      <c r="BFY120" s="47"/>
      <c r="BFZ120" s="47"/>
      <c r="BGA120" s="47"/>
      <c r="BGB120" s="47"/>
      <c r="BGC120" s="47"/>
      <c r="BGD120" s="47"/>
      <c r="BGE120" s="47"/>
      <c r="BGF120" s="47"/>
      <c r="BGG120" s="47"/>
      <c r="BGH120" s="47"/>
      <c r="BGI120" s="47"/>
      <c r="BGJ120" s="47"/>
      <c r="BGK120" s="47"/>
      <c r="BGL120" s="47"/>
      <c r="BGM120" s="47"/>
      <c r="BGN120" s="47"/>
      <c r="BGO120" s="47"/>
      <c r="BGP120" s="47"/>
      <c r="BGQ120" s="47"/>
      <c r="BGR120" s="47"/>
      <c r="BGS120" s="47"/>
      <c r="BGT120" s="47"/>
      <c r="BGU120" s="47"/>
      <c r="BGV120" s="47"/>
      <c r="BGW120" s="47"/>
      <c r="BGX120" s="47"/>
      <c r="BGY120" s="47"/>
      <c r="BGZ120" s="47"/>
      <c r="BHA120" s="47"/>
      <c r="BHB120" s="47"/>
      <c r="BHC120" s="47"/>
      <c r="BHD120" s="47"/>
      <c r="BHE120" s="47"/>
      <c r="BHF120" s="47"/>
      <c r="BHG120" s="47"/>
      <c r="BHH120" s="47"/>
      <c r="BHI120" s="47"/>
      <c r="BHJ120" s="47"/>
      <c r="BHK120" s="47"/>
      <c r="BHL120" s="47"/>
      <c r="BHM120" s="47"/>
      <c r="BHN120" s="47"/>
      <c r="BHO120" s="47"/>
      <c r="BHP120" s="47"/>
      <c r="BHQ120" s="47"/>
      <c r="BHR120" s="47"/>
      <c r="BHS120" s="47"/>
      <c r="BHT120" s="47"/>
      <c r="BHU120" s="47"/>
      <c r="BHV120" s="47"/>
      <c r="BHW120" s="47"/>
      <c r="BHX120" s="47"/>
      <c r="BHY120" s="47"/>
      <c r="BHZ120" s="47"/>
      <c r="BIA120" s="47"/>
      <c r="BIB120" s="47"/>
      <c r="BIC120" s="47"/>
      <c r="BID120" s="47"/>
      <c r="BIE120" s="47"/>
      <c r="BIF120" s="47"/>
      <c r="BIG120" s="47"/>
      <c r="BIH120" s="47"/>
      <c r="BII120" s="47"/>
      <c r="BIJ120" s="47"/>
      <c r="BIK120" s="47"/>
      <c r="BIL120" s="47"/>
      <c r="BIM120" s="47"/>
      <c r="BIN120" s="47"/>
      <c r="BIO120" s="47"/>
      <c r="BIP120" s="47"/>
      <c r="BIQ120" s="47"/>
      <c r="BIR120" s="47"/>
      <c r="BIS120" s="47"/>
      <c r="BIT120" s="47"/>
      <c r="BIU120" s="47"/>
      <c r="BIV120" s="47"/>
      <c r="BIW120" s="47"/>
      <c r="BIX120" s="47"/>
      <c r="BIY120" s="47"/>
      <c r="BIZ120" s="47"/>
      <c r="BJA120" s="47"/>
      <c r="BJB120" s="47"/>
      <c r="BJC120" s="47"/>
      <c r="BJD120" s="47"/>
      <c r="BJE120" s="47"/>
      <c r="BJF120" s="47"/>
      <c r="BJG120" s="47"/>
      <c r="BJH120" s="47"/>
      <c r="BJI120" s="47"/>
      <c r="BJJ120" s="47"/>
      <c r="BJK120" s="47"/>
      <c r="BJL120" s="47"/>
      <c r="BJM120" s="47"/>
      <c r="BJN120" s="47"/>
      <c r="BJO120" s="47"/>
      <c r="BJP120" s="47"/>
      <c r="BJQ120" s="47"/>
      <c r="BJR120" s="47"/>
      <c r="BJS120" s="47"/>
      <c r="BJT120" s="47"/>
      <c r="BJU120" s="47"/>
      <c r="BJV120" s="47"/>
      <c r="BJW120" s="47"/>
      <c r="BJX120" s="47"/>
      <c r="BJY120" s="47"/>
      <c r="BJZ120" s="47"/>
      <c r="BKA120" s="47"/>
      <c r="BKB120" s="47"/>
      <c r="BKC120" s="47"/>
      <c r="BKD120" s="47"/>
      <c r="BKE120" s="47"/>
      <c r="BKF120" s="47"/>
      <c r="BKG120" s="47"/>
      <c r="BKH120" s="47"/>
      <c r="BKI120" s="47"/>
      <c r="BKJ120" s="47"/>
      <c r="BKK120" s="47"/>
      <c r="BKL120" s="47"/>
      <c r="BKM120" s="47"/>
      <c r="BKN120" s="47"/>
      <c r="BKO120" s="47"/>
      <c r="BKP120" s="47"/>
      <c r="BKQ120" s="47"/>
      <c r="BKR120" s="47"/>
      <c r="BKS120" s="47"/>
      <c r="BKT120" s="47"/>
      <c r="BKU120" s="47"/>
      <c r="BKV120" s="47"/>
      <c r="BKW120" s="47"/>
      <c r="BKX120" s="47"/>
      <c r="BKY120" s="47"/>
      <c r="BKZ120" s="47"/>
      <c r="BLA120" s="47"/>
      <c r="BLB120" s="47"/>
      <c r="BLC120" s="47"/>
      <c r="BLD120" s="47"/>
      <c r="BLE120" s="47"/>
      <c r="BLF120" s="47"/>
      <c r="BLG120" s="47"/>
      <c r="BLH120" s="47"/>
      <c r="BLI120" s="47"/>
      <c r="BLJ120" s="47"/>
      <c r="BLK120" s="47"/>
      <c r="BLL120" s="47"/>
      <c r="BLM120" s="47"/>
      <c r="BLN120" s="47"/>
      <c r="BLO120" s="47"/>
      <c r="BLP120" s="47"/>
      <c r="BLQ120" s="47"/>
      <c r="BLR120" s="47"/>
      <c r="BLS120" s="47"/>
      <c r="BLT120" s="47"/>
      <c r="BLU120" s="47"/>
      <c r="BLV120" s="47"/>
      <c r="BLW120" s="47"/>
      <c r="BLX120" s="47"/>
      <c r="BLY120" s="47"/>
      <c r="BLZ120" s="47"/>
      <c r="BMA120" s="47"/>
      <c r="BMB120" s="47"/>
      <c r="BMC120" s="47"/>
      <c r="BMD120" s="47"/>
      <c r="BME120" s="47"/>
      <c r="BMF120" s="47"/>
      <c r="BMG120" s="47"/>
      <c r="BMH120" s="47"/>
      <c r="BMI120" s="47"/>
      <c r="BMJ120" s="47"/>
      <c r="BMK120" s="47"/>
      <c r="BML120" s="47"/>
      <c r="BMM120" s="47"/>
      <c r="BMN120" s="47"/>
      <c r="BMO120" s="47"/>
      <c r="BMP120" s="47"/>
      <c r="BMQ120" s="47"/>
      <c r="BMR120" s="47"/>
      <c r="BMS120" s="47"/>
      <c r="BMT120" s="47"/>
      <c r="BMU120" s="47"/>
      <c r="BMV120" s="47"/>
      <c r="BMW120" s="47"/>
      <c r="BMX120" s="47"/>
      <c r="BMY120" s="47"/>
      <c r="BMZ120" s="47"/>
      <c r="BNA120" s="47"/>
      <c r="BNB120" s="47"/>
      <c r="BNC120" s="47"/>
      <c r="BND120" s="47"/>
      <c r="BNE120" s="47"/>
      <c r="BNF120" s="47"/>
      <c r="BNG120" s="47"/>
      <c r="BNH120" s="47"/>
      <c r="BNI120" s="47"/>
      <c r="BNJ120" s="47"/>
      <c r="BNK120" s="47"/>
      <c r="BNL120" s="47"/>
      <c r="BNM120" s="47"/>
      <c r="BNN120" s="47"/>
      <c r="BNO120" s="47"/>
      <c r="BNP120" s="47"/>
      <c r="BNQ120" s="47"/>
      <c r="BNR120" s="47"/>
      <c r="BNS120" s="47"/>
      <c r="BNT120" s="47"/>
      <c r="BNU120" s="47"/>
      <c r="BNV120" s="47"/>
      <c r="BNW120" s="47"/>
      <c r="BNX120" s="47"/>
      <c r="BNY120" s="47"/>
      <c r="BNZ120" s="47"/>
      <c r="BOA120" s="47"/>
      <c r="BOB120" s="47"/>
      <c r="BOC120" s="47"/>
      <c r="BOD120" s="47"/>
      <c r="BOE120" s="47"/>
      <c r="BOF120" s="47"/>
      <c r="BOG120" s="47"/>
      <c r="BOH120" s="47"/>
      <c r="BOI120" s="47"/>
      <c r="BOJ120" s="47"/>
      <c r="BOK120" s="47"/>
      <c r="BOL120" s="47"/>
      <c r="BOM120" s="47"/>
      <c r="BON120" s="47"/>
      <c r="BOO120" s="47"/>
      <c r="BOP120" s="47"/>
      <c r="BOQ120" s="47"/>
      <c r="BOR120" s="47"/>
      <c r="BOS120" s="47"/>
      <c r="BOT120" s="47"/>
      <c r="BOU120" s="47"/>
      <c r="BOV120" s="47"/>
      <c r="BOW120" s="47"/>
      <c r="BOX120" s="47"/>
      <c r="BOY120" s="47"/>
      <c r="BOZ120" s="47"/>
      <c r="BPA120" s="47"/>
      <c r="BPB120" s="47"/>
      <c r="BPC120" s="47"/>
      <c r="BPD120" s="47"/>
      <c r="BPE120" s="47"/>
      <c r="BPF120" s="47"/>
      <c r="BPG120" s="47"/>
      <c r="BPH120" s="47"/>
      <c r="BPI120" s="47"/>
      <c r="BPJ120" s="47"/>
      <c r="BPK120" s="47"/>
      <c r="BPL120" s="47"/>
      <c r="BPM120" s="47"/>
      <c r="BPN120" s="47"/>
      <c r="BPO120" s="47"/>
      <c r="BPP120" s="47"/>
      <c r="BPQ120" s="47"/>
      <c r="BPR120" s="47"/>
      <c r="BPS120" s="47"/>
      <c r="BPT120" s="47"/>
      <c r="BPU120" s="47"/>
      <c r="BPV120" s="47"/>
      <c r="BPW120" s="47"/>
      <c r="BPX120" s="47"/>
      <c r="BPY120" s="47"/>
      <c r="BPZ120" s="47"/>
      <c r="BQA120" s="47"/>
      <c r="BQB120" s="47"/>
      <c r="BQC120" s="47"/>
      <c r="BQD120" s="47"/>
      <c r="BQE120" s="47"/>
      <c r="BQF120" s="47"/>
      <c r="BQG120" s="47"/>
      <c r="BQH120" s="47"/>
      <c r="BQI120" s="47"/>
      <c r="BQJ120" s="47"/>
      <c r="BQK120" s="47"/>
      <c r="BQL120" s="47"/>
      <c r="BQM120" s="47"/>
      <c r="BQN120" s="47"/>
      <c r="BQO120" s="47"/>
      <c r="BQP120" s="47"/>
      <c r="BQQ120" s="47"/>
      <c r="BQR120" s="47"/>
      <c r="BQS120" s="47"/>
      <c r="BQT120" s="47"/>
      <c r="BQU120" s="47"/>
      <c r="BQV120" s="47"/>
      <c r="BQW120" s="47"/>
      <c r="BQX120" s="47"/>
      <c r="BQY120" s="47"/>
      <c r="BQZ120" s="47"/>
      <c r="BRA120" s="47"/>
      <c r="BRB120" s="47"/>
      <c r="BRC120" s="47"/>
      <c r="BRD120" s="47"/>
      <c r="BRE120" s="47"/>
      <c r="BRF120" s="47"/>
      <c r="BRG120" s="47"/>
      <c r="BRH120" s="47"/>
      <c r="BRI120" s="47"/>
      <c r="BRJ120" s="47"/>
      <c r="BRK120" s="47"/>
      <c r="BRL120" s="47"/>
      <c r="BRM120" s="47"/>
      <c r="BRN120" s="47"/>
      <c r="BRO120" s="47"/>
      <c r="BRP120" s="47"/>
      <c r="BRQ120" s="47"/>
      <c r="BRR120" s="47"/>
      <c r="BRS120" s="47"/>
      <c r="BRT120" s="47"/>
      <c r="BRU120" s="47"/>
      <c r="BRV120" s="47"/>
      <c r="BRW120" s="47"/>
      <c r="BRX120" s="47"/>
      <c r="BRY120" s="47"/>
      <c r="BRZ120" s="47"/>
      <c r="BSA120" s="47"/>
      <c r="BSB120" s="47"/>
      <c r="BSC120" s="47"/>
      <c r="BSD120" s="47"/>
      <c r="BSE120" s="47"/>
      <c r="BSF120" s="47"/>
      <c r="BSG120" s="47"/>
      <c r="BSH120" s="47"/>
      <c r="BSI120" s="47"/>
      <c r="BSJ120" s="47"/>
      <c r="BSK120" s="47"/>
      <c r="BSL120" s="47"/>
      <c r="BSM120" s="47"/>
      <c r="BSN120" s="47"/>
      <c r="BSO120" s="47"/>
      <c r="BSP120" s="47"/>
      <c r="BSQ120" s="47"/>
      <c r="BSR120" s="47"/>
      <c r="BSS120" s="47"/>
      <c r="BST120" s="47"/>
      <c r="BSU120" s="47"/>
      <c r="BSV120" s="47"/>
      <c r="BSW120" s="47"/>
      <c r="BSX120" s="47"/>
      <c r="BSY120" s="47"/>
      <c r="BSZ120" s="47"/>
      <c r="BTA120" s="47"/>
      <c r="BTB120" s="47"/>
      <c r="BTC120" s="47"/>
      <c r="BTD120" s="47"/>
      <c r="BTE120" s="47"/>
      <c r="BTF120" s="47"/>
      <c r="BTG120" s="47"/>
      <c r="BTH120" s="47"/>
      <c r="BTI120" s="47"/>
      <c r="BTJ120" s="47"/>
      <c r="BTK120" s="47"/>
      <c r="BTL120" s="47"/>
      <c r="BTM120" s="47"/>
      <c r="BTN120" s="47"/>
      <c r="BTO120" s="47"/>
      <c r="BTP120" s="47"/>
      <c r="BTQ120" s="47"/>
      <c r="BTR120" s="47"/>
      <c r="BTS120" s="47"/>
      <c r="BTT120" s="47"/>
      <c r="BTU120" s="47"/>
      <c r="BTV120" s="47"/>
      <c r="BTW120" s="47"/>
      <c r="BTX120" s="47"/>
      <c r="BTY120" s="47"/>
      <c r="BTZ120" s="47"/>
      <c r="BUA120" s="47"/>
      <c r="BUB120" s="47"/>
      <c r="BUC120" s="47"/>
      <c r="BUD120" s="47"/>
      <c r="BUE120" s="47"/>
      <c r="BUF120" s="47"/>
      <c r="BUG120" s="47"/>
      <c r="BUH120" s="47"/>
      <c r="BUI120" s="47"/>
      <c r="BUJ120" s="47"/>
      <c r="BUK120" s="47"/>
      <c r="BUL120" s="47"/>
      <c r="BUM120" s="47"/>
      <c r="BUN120" s="47"/>
      <c r="BUO120" s="47"/>
      <c r="BUP120" s="47"/>
      <c r="BUQ120" s="47"/>
      <c r="BUR120" s="47"/>
      <c r="BUS120" s="47"/>
      <c r="BUT120" s="47"/>
      <c r="BUU120" s="47"/>
      <c r="BUV120" s="47"/>
      <c r="BUW120" s="47"/>
      <c r="BUX120" s="47"/>
      <c r="BUY120" s="47"/>
      <c r="BUZ120" s="47"/>
      <c r="BVA120" s="47"/>
      <c r="BVB120" s="47"/>
      <c r="BVC120" s="47"/>
      <c r="BVD120" s="47"/>
      <c r="BVE120" s="47"/>
      <c r="BVF120" s="47"/>
      <c r="BVG120" s="47"/>
      <c r="BVH120" s="47"/>
      <c r="BVI120" s="47"/>
      <c r="BVJ120" s="47"/>
      <c r="BVK120" s="47"/>
      <c r="BVL120" s="47"/>
      <c r="BVM120" s="47"/>
      <c r="BVN120" s="47"/>
      <c r="BVO120" s="47"/>
      <c r="BVP120" s="47"/>
      <c r="BVQ120" s="47"/>
      <c r="BVR120" s="47"/>
      <c r="BVS120" s="47"/>
      <c r="BVT120" s="47"/>
      <c r="BVU120" s="47"/>
      <c r="BVV120" s="47"/>
      <c r="BVW120" s="47"/>
      <c r="BVX120" s="47"/>
      <c r="BVY120" s="47"/>
      <c r="BVZ120" s="47"/>
      <c r="BWA120" s="47"/>
      <c r="BWB120" s="47"/>
      <c r="BWC120" s="47"/>
      <c r="BWD120" s="47"/>
      <c r="BWE120" s="47"/>
      <c r="BWF120" s="47"/>
      <c r="BWG120" s="47"/>
      <c r="BWH120" s="47"/>
      <c r="BWI120" s="47"/>
      <c r="BWJ120" s="47"/>
      <c r="BWK120" s="47"/>
      <c r="BWL120" s="47"/>
      <c r="BWM120" s="47"/>
      <c r="BWN120" s="47"/>
      <c r="BWO120" s="47"/>
      <c r="BWP120" s="47"/>
      <c r="BWQ120" s="47"/>
      <c r="BWR120" s="47"/>
      <c r="BWS120" s="47"/>
      <c r="BWT120" s="47"/>
      <c r="BWU120" s="47"/>
      <c r="BWV120" s="47"/>
      <c r="BWW120" s="47"/>
      <c r="BWX120" s="47"/>
      <c r="BWY120" s="47"/>
      <c r="BWZ120" s="47"/>
      <c r="BXA120" s="47"/>
      <c r="BXB120" s="47"/>
      <c r="BXC120" s="47"/>
      <c r="BXD120" s="47"/>
      <c r="BXE120" s="47"/>
      <c r="BXF120" s="47"/>
      <c r="BXG120" s="47"/>
      <c r="BXH120" s="47"/>
      <c r="BXI120" s="47"/>
      <c r="BXJ120" s="47"/>
      <c r="BXK120" s="47"/>
      <c r="BXL120" s="47"/>
      <c r="BXM120" s="47"/>
      <c r="BXN120" s="47"/>
      <c r="BXO120" s="47"/>
      <c r="BXP120" s="47"/>
      <c r="BXQ120" s="47"/>
      <c r="BXR120" s="47"/>
      <c r="BXS120" s="47"/>
      <c r="BXT120" s="47"/>
      <c r="BXU120" s="47"/>
      <c r="BXV120" s="47"/>
      <c r="BXW120" s="47"/>
      <c r="BXX120" s="47"/>
      <c r="BXY120" s="47"/>
      <c r="BXZ120" s="47"/>
      <c r="BYA120" s="47"/>
      <c r="BYB120" s="47"/>
      <c r="BYC120" s="47"/>
      <c r="BYD120" s="47"/>
      <c r="BYE120" s="47"/>
      <c r="BYF120" s="47"/>
      <c r="BYG120" s="47"/>
      <c r="BYH120" s="47"/>
      <c r="BYI120" s="47"/>
      <c r="BYJ120" s="47"/>
      <c r="BYK120" s="47"/>
      <c r="BYL120" s="47"/>
      <c r="BYM120" s="47"/>
      <c r="BYN120" s="47"/>
      <c r="BYO120" s="47"/>
      <c r="BYP120" s="47"/>
      <c r="BYQ120" s="47"/>
      <c r="BYR120" s="47"/>
      <c r="BYS120" s="47"/>
      <c r="BYT120" s="47"/>
      <c r="BYU120" s="47"/>
      <c r="BYV120" s="47"/>
      <c r="BYW120" s="47"/>
      <c r="BYX120" s="47"/>
      <c r="BYY120" s="47"/>
      <c r="BYZ120" s="47"/>
      <c r="BZA120" s="47"/>
      <c r="BZB120" s="47"/>
      <c r="BZC120" s="47"/>
      <c r="BZD120" s="47"/>
      <c r="BZE120" s="47"/>
      <c r="BZF120" s="47"/>
      <c r="BZG120" s="47"/>
      <c r="BZH120" s="47"/>
      <c r="BZI120" s="47"/>
      <c r="BZJ120" s="47"/>
      <c r="BZK120" s="47"/>
      <c r="BZL120" s="47"/>
      <c r="BZM120" s="47"/>
      <c r="BZN120" s="47"/>
      <c r="BZO120" s="47"/>
      <c r="BZP120" s="47"/>
      <c r="BZQ120" s="47"/>
      <c r="BZR120" s="47"/>
      <c r="BZS120" s="47"/>
      <c r="BZT120" s="47"/>
      <c r="BZU120" s="47"/>
      <c r="BZV120" s="47"/>
      <c r="BZW120" s="47"/>
      <c r="BZX120" s="47"/>
      <c r="BZY120" s="47"/>
      <c r="BZZ120" s="47"/>
      <c r="CAA120" s="47"/>
      <c r="CAB120" s="47"/>
      <c r="CAC120" s="47"/>
      <c r="CAD120" s="47"/>
      <c r="CAE120" s="47"/>
      <c r="CAF120" s="47"/>
      <c r="CAG120" s="47"/>
      <c r="CAH120" s="47"/>
      <c r="CAI120" s="47"/>
      <c r="CAJ120" s="47"/>
      <c r="CAK120" s="47"/>
      <c r="CAL120" s="47"/>
      <c r="CAM120" s="47"/>
      <c r="CAN120" s="47"/>
      <c r="CAO120" s="47"/>
      <c r="CAP120" s="47"/>
      <c r="CAQ120" s="47"/>
      <c r="CAR120" s="47"/>
      <c r="CAS120" s="47"/>
      <c r="CAT120" s="47"/>
      <c r="CAU120" s="47"/>
      <c r="CAV120" s="47"/>
      <c r="CAW120" s="47"/>
      <c r="CAX120" s="47"/>
      <c r="CAY120" s="47"/>
      <c r="CAZ120" s="47"/>
      <c r="CBA120" s="47"/>
      <c r="CBB120" s="47"/>
      <c r="CBC120" s="47"/>
      <c r="CBD120" s="47"/>
      <c r="CBE120" s="47"/>
      <c r="CBF120" s="47"/>
      <c r="CBG120" s="47"/>
      <c r="CBH120" s="47"/>
    </row>
    <row r="121" spans="1:2088" x14ac:dyDescent="0.2">
      <c r="A121" s="13" t="s">
        <v>139</v>
      </c>
      <c r="B121" s="59" t="str">
        <f>IF(B120="", "", IF(B120&lt;2, "0-1", IF(B120&lt;3, "2", "3")))</f>
        <v/>
      </c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  <c r="DS121" s="47"/>
      <c r="DT121" s="47"/>
      <c r="DU121" s="47"/>
      <c r="DV121" s="47"/>
      <c r="DW121" s="47"/>
      <c r="DX121" s="47"/>
      <c r="DY121" s="47"/>
      <c r="DZ121" s="47"/>
      <c r="EA121" s="47"/>
      <c r="EB121" s="47"/>
      <c r="EC121" s="47"/>
      <c r="ED121" s="47"/>
      <c r="EE121" s="47"/>
      <c r="EF121" s="47"/>
      <c r="EG121" s="47"/>
      <c r="EH121" s="47"/>
      <c r="EI121" s="47"/>
      <c r="EJ121" s="47"/>
      <c r="EK121" s="47"/>
      <c r="EL121" s="47"/>
      <c r="EM121" s="47"/>
      <c r="EN121" s="47"/>
      <c r="EO121" s="47"/>
      <c r="EP121" s="47"/>
      <c r="EQ121" s="47"/>
      <c r="ER121" s="47"/>
      <c r="ES121" s="47"/>
      <c r="ET121" s="47"/>
      <c r="EU121" s="47"/>
      <c r="EV121" s="47"/>
      <c r="EW121" s="47"/>
      <c r="EX121" s="47"/>
      <c r="EY121" s="47"/>
      <c r="EZ121" s="47"/>
      <c r="FA121" s="47"/>
      <c r="FB121" s="47"/>
      <c r="FC121" s="47"/>
      <c r="FD121" s="47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7"/>
      <c r="FP121" s="47"/>
      <c r="FQ121" s="47"/>
      <c r="FR121" s="47"/>
      <c r="FS121" s="47"/>
      <c r="FT121" s="47"/>
      <c r="FU121" s="47"/>
      <c r="FV121" s="47"/>
      <c r="FW121" s="47"/>
      <c r="FX121" s="47"/>
      <c r="FY121" s="47"/>
      <c r="FZ121" s="47"/>
      <c r="GA121" s="47"/>
      <c r="GB121" s="47"/>
      <c r="GC121" s="47"/>
      <c r="GD121" s="47"/>
      <c r="GE121" s="47"/>
      <c r="GF121" s="47"/>
      <c r="GG121" s="47"/>
      <c r="GH121" s="47"/>
      <c r="GI121" s="47"/>
      <c r="GJ121" s="47"/>
      <c r="GK121" s="47"/>
      <c r="GL121" s="47"/>
      <c r="GM121" s="47"/>
      <c r="GN121" s="47"/>
      <c r="GO121" s="47"/>
      <c r="GP121" s="47"/>
      <c r="GQ121" s="47"/>
      <c r="GR121" s="47"/>
      <c r="GS121" s="47"/>
      <c r="GT121" s="47"/>
      <c r="GU121" s="47"/>
      <c r="GV121" s="47"/>
      <c r="GW121" s="47"/>
      <c r="GX121" s="47"/>
      <c r="GY121" s="47"/>
      <c r="GZ121" s="47"/>
      <c r="HA121" s="47"/>
      <c r="HB121" s="47"/>
      <c r="HC121" s="47"/>
      <c r="HD121" s="47"/>
      <c r="HE121" s="47"/>
      <c r="HF121" s="47"/>
      <c r="HG121" s="47"/>
      <c r="HH121" s="47"/>
      <c r="HI121" s="47"/>
      <c r="HJ121" s="47"/>
      <c r="HK121" s="47"/>
      <c r="HL121" s="47"/>
      <c r="HM121" s="47"/>
      <c r="HN121" s="47"/>
      <c r="HO121" s="47"/>
      <c r="HP121" s="47"/>
      <c r="HQ121" s="47"/>
      <c r="HR121" s="47"/>
      <c r="HS121" s="47"/>
      <c r="HT121" s="47"/>
      <c r="HU121" s="47"/>
      <c r="HV121" s="47"/>
      <c r="HW121" s="47"/>
      <c r="HX121" s="47"/>
      <c r="HY121" s="47"/>
      <c r="HZ121" s="47"/>
      <c r="IA121" s="47"/>
      <c r="IB121" s="47"/>
      <c r="IC121" s="47"/>
      <c r="ID121" s="47"/>
      <c r="IE121" s="47"/>
      <c r="IF121" s="47"/>
      <c r="IG121" s="47"/>
      <c r="IH121" s="47"/>
      <c r="II121" s="47"/>
      <c r="IJ121" s="47"/>
      <c r="IK121" s="47"/>
      <c r="IL121" s="47"/>
      <c r="IM121" s="47"/>
      <c r="IN121" s="47"/>
      <c r="IO121" s="47"/>
      <c r="IP121" s="47"/>
      <c r="IQ121" s="47"/>
      <c r="IR121" s="47"/>
      <c r="IS121" s="47"/>
      <c r="IT121" s="47"/>
      <c r="IU121" s="47"/>
      <c r="IV121" s="47"/>
      <c r="IW121" s="47"/>
      <c r="IX121" s="47"/>
      <c r="IY121" s="47"/>
      <c r="IZ121" s="47"/>
      <c r="JA121" s="47"/>
      <c r="JB121" s="47"/>
      <c r="JC121" s="47"/>
      <c r="JD121" s="47"/>
      <c r="JE121" s="47"/>
      <c r="JF121" s="47"/>
      <c r="JG121" s="47"/>
      <c r="JH121" s="47"/>
      <c r="JI121" s="47"/>
      <c r="JJ121" s="47"/>
      <c r="JK121" s="47"/>
      <c r="JL121" s="47"/>
      <c r="JM121" s="47"/>
      <c r="JN121" s="47"/>
      <c r="JO121" s="47"/>
      <c r="JP121" s="47"/>
      <c r="JQ121" s="47"/>
      <c r="JR121" s="47"/>
      <c r="JS121" s="47"/>
      <c r="JT121" s="47"/>
      <c r="JU121" s="47"/>
      <c r="JV121" s="47"/>
      <c r="JW121" s="47"/>
      <c r="JX121" s="47"/>
      <c r="JY121" s="47"/>
      <c r="JZ121" s="47"/>
      <c r="KA121" s="47"/>
      <c r="KB121" s="47"/>
      <c r="KC121" s="47"/>
      <c r="KD121" s="47"/>
      <c r="KE121" s="47"/>
      <c r="KF121" s="47"/>
      <c r="KG121" s="47"/>
      <c r="KH121" s="47"/>
      <c r="KI121" s="47"/>
      <c r="KJ121" s="47"/>
      <c r="KK121" s="47"/>
      <c r="KL121" s="47"/>
      <c r="KM121" s="47"/>
      <c r="KN121" s="47"/>
      <c r="KO121" s="47"/>
      <c r="KP121" s="47"/>
      <c r="KQ121" s="47"/>
      <c r="KR121" s="47"/>
      <c r="KS121" s="47"/>
      <c r="KT121" s="47"/>
      <c r="KU121" s="47"/>
      <c r="KV121" s="47"/>
      <c r="KW121" s="47"/>
      <c r="KX121" s="47"/>
      <c r="KY121" s="47"/>
      <c r="KZ121" s="47"/>
      <c r="LA121" s="47"/>
      <c r="LB121" s="47"/>
      <c r="LC121" s="47"/>
      <c r="LD121" s="47"/>
      <c r="LE121" s="47"/>
      <c r="LF121" s="47"/>
      <c r="LG121" s="47"/>
      <c r="LH121" s="47"/>
      <c r="LI121" s="47"/>
      <c r="LJ121" s="47"/>
      <c r="LK121" s="47"/>
      <c r="LL121" s="47"/>
      <c r="LM121" s="47"/>
      <c r="LN121" s="47"/>
      <c r="LO121" s="47"/>
      <c r="LP121" s="47"/>
      <c r="LQ121" s="47"/>
      <c r="LR121" s="47"/>
      <c r="LS121" s="47"/>
      <c r="LT121" s="47"/>
      <c r="LU121" s="47"/>
      <c r="LV121" s="47"/>
      <c r="LW121" s="47"/>
      <c r="LX121" s="47"/>
      <c r="LY121" s="47"/>
      <c r="LZ121" s="47"/>
      <c r="MA121" s="47"/>
      <c r="MB121" s="47"/>
      <c r="MC121" s="47"/>
      <c r="MD121" s="47"/>
      <c r="ME121" s="47"/>
      <c r="MF121" s="47"/>
      <c r="MG121" s="47"/>
      <c r="MH121" s="47"/>
      <c r="MI121" s="47"/>
      <c r="MJ121" s="47"/>
      <c r="MK121" s="47"/>
      <c r="ML121" s="47"/>
      <c r="MM121" s="47"/>
      <c r="MN121" s="47"/>
      <c r="MO121" s="47"/>
      <c r="MP121" s="47"/>
      <c r="MQ121" s="47"/>
      <c r="MR121" s="47"/>
      <c r="MS121" s="47"/>
      <c r="MT121" s="47"/>
      <c r="MU121" s="47"/>
      <c r="MV121" s="47"/>
      <c r="MW121" s="47"/>
      <c r="MX121" s="47"/>
      <c r="MY121" s="47"/>
      <c r="MZ121" s="47"/>
      <c r="NA121" s="47"/>
      <c r="NB121" s="47"/>
      <c r="NC121" s="47"/>
      <c r="ND121" s="47"/>
      <c r="NE121" s="47"/>
      <c r="NF121" s="47"/>
      <c r="NG121" s="47"/>
      <c r="NH121" s="47"/>
      <c r="NI121" s="47"/>
      <c r="NJ121" s="47"/>
      <c r="NK121" s="47"/>
      <c r="NL121" s="47"/>
      <c r="NM121" s="47"/>
      <c r="NN121" s="47"/>
      <c r="NO121" s="47"/>
      <c r="NP121" s="47"/>
      <c r="NQ121" s="47"/>
      <c r="NR121" s="47"/>
      <c r="NS121" s="47"/>
      <c r="NT121" s="47"/>
      <c r="NU121" s="47"/>
      <c r="NV121" s="47"/>
      <c r="NW121" s="47"/>
      <c r="NX121" s="47"/>
      <c r="NY121" s="47"/>
      <c r="NZ121" s="47"/>
      <c r="OA121" s="47"/>
      <c r="OB121" s="47"/>
      <c r="OC121" s="47"/>
      <c r="OD121" s="47"/>
      <c r="OE121" s="47"/>
      <c r="OF121" s="47"/>
      <c r="OG121" s="47"/>
      <c r="OH121" s="47"/>
      <c r="OI121" s="47"/>
      <c r="OJ121" s="47"/>
      <c r="OK121" s="47"/>
      <c r="OL121" s="47"/>
      <c r="OM121" s="47"/>
      <c r="ON121" s="47"/>
      <c r="OO121" s="47"/>
      <c r="OP121" s="47"/>
      <c r="OQ121" s="47"/>
      <c r="OR121" s="47"/>
      <c r="OS121" s="47"/>
      <c r="OT121" s="47"/>
      <c r="OU121" s="47"/>
      <c r="OV121" s="47"/>
      <c r="OW121" s="47"/>
      <c r="OX121" s="47"/>
      <c r="OY121" s="47"/>
      <c r="OZ121" s="47"/>
      <c r="PA121" s="47"/>
      <c r="PB121" s="47"/>
      <c r="PC121" s="47"/>
      <c r="PD121" s="47"/>
      <c r="PE121" s="47"/>
      <c r="PF121" s="47"/>
      <c r="PG121" s="47"/>
      <c r="PH121" s="47"/>
      <c r="PI121" s="47"/>
      <c r="PJ121" s="47"/>
      <c r="PK121" s="47"/>
      <c r="PL121" s="47"/>
      <c r="PM121" s="47"/>
      <c r="PN121" s="47"/>
      <c r="PO121" s="47"/>
      <c r="PP121" s="47"/>
      <c r="PQ121" s="47"/>
      <c r="PR121" s="47"/>
      <c r="PS121" s="47"/>
      <c r="PT121" s="47"/>
      <c r="PU121" s="47"/>
      <c r="PV121" s="47"/>
      <c r="PW121" s="47"/>
      <c r="PX121" s="47"/>
      <c r="PY121" s="47"/>
      <c r="PZ121" s="47"/>
      <c r="QA121" s="47"/>
      <c r="QB121" s="47"/>
      <c r="QC121" s="47"/>
      <c r="QD121" s="47"/>
      <c r="QE121" s="47"/>
      <c r="QF121" s="47"/>
      <c r="QG121" s="47"/>
      <c r="QH121" s="47"/>
      <c r="QI121" s="47"/>
      <c r="QJ121" s="47"/>
      <c r="QK121" s="47"/>
      <c r="QL121" s="47"/>
      <c r="QM121" s="47"/>
      <c r="QN121" s="47"/>
      <c r="QO121" s="47"/>
      <c r="QP121" s="47"/>
      <c r="QQ121" s="47"/>
      <c r="QR121" s="47"/>
      <c r="QS121" s="47"/>
      <c r="QT121" s="47"/>
      <c r="QU121" s="47"/>
      <c r="QV121" s="47"/>
      <c r="QW121" s="47"/>
      <c r="QX121" s="47"/>
      <c r="QY121" s="47"/>
      <c r="QZ121" s="47"/>
      <c r="RA121" s="47"/>
      <c r="RB121" s="47"/>
      <c r="RC121" s="47"/>
      <c r="RD121" s="47"/>
      <c r="RE121" s="47"/>
      <c r="RF121" s="47"/>
      <c r="RG121" s="47"/>
      <c r="RH121" s="47"/>
      <c r="RI121" s="47"/>
      <c r="RJ121" s="47"/>
      <c r="RK121" s="47"/>
      <c r="RL121" s="47"/>
      <c r="RM121" s="47"/>
      <c r="RN121" s="47"/>
      <c r="RO121" s="47"/>
      <c r="RP121" s="47"/>
      <c r="RQ121" s="47"/>
      <c r="RR121" s="47"/>
      <c r="RS121" s="47"/>
      <c r="RT121" s="47"/>
      <c r="RU121" s="47"/>
      <c r="RV121" s="47"/>
      <c r="RW121" s="47"/>
      <c r="RX121" s="47"/>
      <c r="RY121" s="47"/>
      <c r="RZ121" s="47"/>
      <c r="SA121" s="47"/>
      <c r="SB121" s="47"/>
      <c r="SC121" s="47"/>
      <c r="SD121" s="47"/>
      <c r="SE121" s="47"/>
      <c r="SF121" s="47"/>
      <c r="SG121" s="47"/>
      <c r="SH121" s="47"/>
      <c r="SI121" s="47"/>
      <c r="SJ121" s="47"/>
      <c r="SK121" s="47"/>
      <c r="SL121" s="47"/>
      <c r="SM121" s="47"/>
      <c r="SN121" s="47"/>
      <c r="SO121" s="47"/>
      <c r="SP121" s="47"/>
      <c r="SQ121" s="47"/>
      <c r="SR121" s="47"/>
      <c r="SS121" s="47"/>
      <c r="ST121" s="47"/>
      <c r="SU121" s="47"/>
      <c r="SV121" s="47"/>
      <c r="SW121" s="47"/>
      <c r="SX121" s="47"/>
      <c r="SY121" s="47"/>
      <c r="SZ121" s="47"/>
      <c r="TA121" s="47"/>
      <c r="TB121" s="47"/>
      <c r="TC121" s="47"/>
      <c r="TD121" s="47"/>
      <c r="TE121" s="47"/>
      <c r="TF121" s="47"/>
      <c r="TG121" s="47"/>
      <c r="TH121" s="47"/>
      <c r="TI121" s="47"/>
      <c r="TJ121" s="47"/>
      <c r="TK121" s="47"/>
      <c r="TL121" s="47"/>
      <c r="TM121" s="47"/>
      <c r="TN121" s="47"/>
      <c r="TO121" s="47"/>
      <c r="TP121" s="47"/>
      <c r="TQ121" s="47"/>
      <c r="TR121" s="47"/>
      <c r="TS121" s="47"/>
      <c r="TT121" s="47"/>
      <c r="TU121" s="47"/>
      <c r="TV121" s="47"/>
      <c r="TW121" s="47"/>
      <c r="TX121" s="47"/>
      <c r="TY121" s="47"/>
      <c r="TZ121" s="47"/>
      <c r="UA121" s="47"/>
      <c r="UB121" s="47"/>
      <c r="UC121" s="47"/>
      <c r="UD121" s="47"/>
      <c r="UE121" s="47"/>
      <c r="UF121" s="47"/>
      <c r="UG121" s="47"/>
      <c r="UH121" s="47"/>
      <c r="UI121" s="47"/>
      <c r="UJ121" s="47"/>
      <c r="UK121" s="47"/>
      <c r="UL121" s="47"/>
      <c r="UM121" s="47"/>
      <c r="UN121" s="47"/>
      <c r="UO121" s="47"/>
      <c r="UP121" s="47"/>
      <c r="UQ121" s="47"/>
      <c r="UR121" s="47"/>
      <c r="US121" s="47"/>
      <c r="UT121" s="47"/>
      <c r="UU121" s="47"/>
      <c r="UV121" s="47"/>
      <c r="UW121" s="47"/>
      <c r="UX121" s="47"/>
      <c r="UY121" s="47"/>
      <c r="UZ121" s="47"/>
      <c r="VA121" s="47"/>
      <c r="VB121" s="47"/>
      <c r="VC121" s="47"/>
      <c r="VD121" s="47"/>
      <c r="VE121" s="47"/>
      <c r="VF121" s="47"/>
      <c r="VG121" s="47"/>
      <c r="VH121" s="47"/>
      <c r="VI121" s="47"/>
      <c r="VJ121" s="47"/>
      <c r="VK121" s="47"/>
      <c r="VL121" s="47"/>
      <c r="VM121" s="47"/>
      <c r="VN121" s="47"/>
      <c r="VO121" s="47"/>
      <c r="VP121" s="47"/>
      <c r="VQ121" s="47"/>
      <c r="VR121" s="47"/>
      <c r="VS121" s="47"/>
      <c r="VT121" s="47"/>
      <c r="VU121" s="47"/>
      <c r="VV121" s="47"/>
      <c r="VW121" s="47"/>
      <c r="VX121" s="47"/>
      <c r="VY121" s="47"/>
      <c r="VZ121" s="47"/>
      <c r="WA121" s="47"/>
      <c r="WB121" s="47"/>
      <c r="WC121" s="47"/>
      <c r="WD121" s="47"/>
      <c r="WE121" s="47"/>
      <c r="WF121" s="47"/>
      <c r="WG121" s="47"/>
      <c r="WH121" s="47"/>
      <c r="WI121" s="47"/>
      <c r="WJ121" s="47"/>
      <c r="WK121" s="47"/>
      <c r="WL121" s="47"/>
      <c r="WM121" s="47"/>
      <c r="WN121" s="47"/>
      <c r="WO121" s="47"/>
      <c r="WP121" s="47"/>
      <c r="WQ121" s="47"/>
      <c r="WR121" s="47"/>
      <c r="WS121" s="47"/>
      <c r="WT121" s="47"/>
      <c r="WU121" s="47"/>
      <c r="WV121" s="47"/>
      <c r="WW121" s="47"/>
      <c r="WX121" s="47"/>
      <c r="WY121" s="47"/>
      <c r="WZ121" s="47"/>
      <c r="XA121" s="47"/>
      <c r="XB121" s="47"/>
      <c r="XC121" s="47"/>
      <c r="XD121" s="47"/>
      <c r="XE121" s="47"/>
      <c r="XF121" s="47"/>
      <c r="XG121" s="47"/>
      <c r="XH121" s="47"/>
      <c r="XI121" s="47"/>
      <c r="XJ121" s="47"/>
      <c r="XK121" s="47"/>
      <c r="XL121" s="47"/>
      <c r="XM121" s="47"/>
      <c r="XN121" s="47"/>
      <c r="XO121" s="47"/>
      <c r="XP121" s="47"/>
      <c r="XQ121" s="47"/>
      <c r="XR121" s="47"/>
      <c r="XS121" s="47"/>
      <c r="XT121" s="47"/>
      <c r="XU121" s="47"/>
      <c r="XV121" s="47"/>
      <c r="XW121" s="47"/>
      <c r="XX121" s="47"/>
      <c r="XY121" s="47"/>
      <c r="XZ121" s="47"/>
      <c r="YA121" s="47"/>
      <c r="YB121" s="47"/>
      <c r="YC121" s="47"/>
      <c r="YD121" s="47"/>
      <c r="YE121" s="47"/>
      <c r="YF121" s="47"/>
      <c r="YG121" s="47"/>
      <c r="YH121" s="47"/>
      <c r="YI121" s="47"/>
      <c r="YJ121" s="47"/>
      <c r="YK121" s="47"/>
      <c r="YL121" s="47"/>
      <c r="YM121" s="47"/>
      <c r="YN121" s="47"/>
      <c r="YO121" s="47"/>
      <c r="YP121" s="47"/>
      <c r="YQ121" s="47"/>
      <c r="YR121" s="47"/>
      <c r="YS121" s="47"/>
      <c r="YT121" s="47"/>
      <c r="YU121" s="47"/>
      <c r="YV121" s="47"/>
      <c r="YW121" s="47"/>
      <c r="YX121" s="47"/>
      <c r="YY121" s="47"/>
      <c r="YZ121" s="47"/>
      <c r="ZA121" s="47"/>
      <c r="ZB121" s="47"/>
      <c r="ZC121" s="47"/>
      <c r="ZD121" s="47"/>
      <c r="ZE121" s="47"/>
      <c r="ZF121" s="47"/>
      <c r="ZG121" s="47"/>
      <c r="ZH121" s="47"/>
      <c r="ZI121" s="47"/>
      <c r="ZJ121" s="47"/>
      <c r="ZK121" s="47"/>
      <c r="ZL121" s="47"/>
      <c r="ZM121" s="47"/>
      <c r="ZN121" s="47"/>
      <c r="ZO121" s="47"/>
      <c r="ZP121" s="47"/>
      <c r="ZQ121" s="47"/>
      <c r="ZR121" s="47"/>
      <c r="ZS121" s="47"/>
      <c r="ZT121" s="47"/>
      <c r="ZU121" s="47"/>
      <c r="ZV121" s="47"/>
      <c r="ZW121" s="47"/>
      <c r="ZX121" s="47"/>
      <c r="ZY121" s="47"/>
      <c r="ZZ121" s="47"/>
      <c r="AAA121" s="47"/>
      <c r="AAB121" s="47"/>
      <c r="AAC121" s="47"/>
      <c r="AAD121" s="47"/>
      <c r="AAE121" s="47"/>
      <c r="AAF121" s="47"/>
      <c r="AAG121" s="47"/>
      <c r="AAH121" s="47"/>
      <c r="AAI121" s="47"/>
      <c r="AAJ121" s="47"/>
      <c r="AAK121" s="47"/>
      <c r="AAL121" s="47"/>
      <c r="AAM121" s="47"/>
      <c r="AAN121" s="47"/>
      <c r="AAO121" s="47"/>
      <c r="AAP121" s="47"/>
      <c r="AAQ121" s="47"/>
      <c r="AAR121" s="47"/>
      <c r="AAS121" s="47"/>
      <c r="AAT121" s="47"/>
      <c r="AAU121" s="47"/>
      <c r="AAV121" s="47"/>
      <c r="AAW121" s="47"/>
      <c r="AAX121" s="47"/>
      <c r="AAY121" s="47"/>
      <c r="AAZ121" s="47"/>
      <c r="ABA121" s="47"/>
      <c r="ABB121" s="47"/>
      <c r="ABC121" s="47"/>
      <c r="ABD121" s="47"/>
      <c r="ABE121" s="47"/>
      <c r="ABF121" s="47"/>
      <c r="ABG121" s="47"/>
      <c r="ABH121" s="47"/>
      <c r="ABI121" s="47"/>
      <c r="ABJ121" s="47"/>
      <c r="ABK121" s="47"/>
      <c r="ABL121" s="47"/>
      <c r="ABM121" s="47"/>
      <c r="ABN121" s="47"/>
      <c r="ABO121" s="47"/>
      <c r="ABP121" s="47"/>
      <c r="ABQ121" s="47"/>
      <c r="ABR121" s="47"/>
      <c r="ABS121" s="47"/>
      <c r="ABT121" s="47"/>
      <c r="ABU121" s="47"/>
      <c r="ABV121" s="47"/>
      <c r="ABW121" s="47"/>
      <c r="ABX121" s="47"/>
      <c r="ABY121" s="47"/>
      <c r="ABZ121" s="47"/>
      <c r="ACA121" s="47"/>
      <c r="ACB121" s="47"/>
      <c r="ACC121" s="47"/>
      <c r="ACD121" s="47"/>
      <c r="ACE121" s="47"/>
      <c r="ACF121" s="47"/>
      <c r="ACG121" s="47"/>
      <c r="ACH121" s="47"/>
      <c r="ACI121" s="47"/>
      <c r="ACJ121" s="47"/>
      <c r="ACK121" s="47"/>
      <c r="ACL121" s="47"/>
      <c r="ACM121" s="47"/>
      <c r="ACN121" s="47"/>
      <c r="ACO121" s="47"/>
      <c r="ACP121" s="47"/>
      <c r="ACQ121" s="47"/>
      <c r="ACR121" s="47"/>
      <c r="ACS121" s="47"/>
      <c r="ACT121" s="47"/>
      <c r="ACU121" s="47"/>
      <c r="ACV121" s="47"/>
      <c r="ACW121" s="47"/>
      <c r="ACX121" s="47"/>
      <c r="ACY121" s="47"/>
      <c r="ACZ121" s="47"/>
      <c r="ADA121" s="47"/>
      <c r="ADB121" s="47"/>
      <c r="ADC121" s="47"/>
      <c r="ADD121" s="47"/>
      <c r="ADE121" s="47"/>
      <c r="ADF121" s="47"/>
      <c r="ADG121" s="47"/>
      <c r="ADH121" s="47"/>
      <c r="ADI121" s="47"/>
      <c r="ADJ121" s="47"/>
      <c r="ADK121" s="47"/>
      <c r="ADL121" s="47"/>
      <c r="ADM121" s="47"/>
      <c r="ADN121" s="47"/>
      <c r="ADO121" s="47"/>
      <c r="ADP121" s="47"/>
      <c r="ADQ121" s="47"/>
      <c r="ADR121" s="47"/>
      <c r="ADS121" s="47"/>
      <c r="ADT121" s="47"/>
      <c r="ADU121" s="47"/>
      <c r="ADV121" s="47"/>
      <c r="ADW121" s="47"/>
      <c r="ADX121" s="47"/>
      <c r="ADY121" s="47"/>
      <c r="ADZ121" s="47"/>
      <c r="AEA121" s="47"/>
      <c r="AEB121" s="47"/>
      <c r="AEC121" s="47"/>
      <c r="AED121" s="47"/>
      <c r="AEE121" s="47"/>
      <c r="AEF121" s="47"/>
      <c r="AEG121" s="47"/>
      <c r="AEH121" s="47"/>
      <c r="AEI121" s="47"/>
      <c r="AEJ121" s="47"/>
      <c r="AEK121" s="47"/>
      <c r="AEL121" s="47"/>
      <c r="AEM121" s="47"/>
      <c r="AEN121" s="47"/>
      <c r="AEO121" s="47"/>
      <c r="AEP121" s="47"/>
      <c r="AEQ121" s="47"/>
      <c r="AER121" s="47"/>
      <c r="AES121" s="47"/>
      <c r="AET121" s="47"/>
      <c r="AEU121" s="47"/>
      <c r="AEV121" s="47"/>
      <c r="AEW121" s="47"/>
      <c r="AEX121" s="47"/>
      <c r="AEY121" s="47"/>
      <c r="AEZ121" s="47"/>
      <c r="AFA121" s="47"/>
      <c r="AFB121" s="47"/>
      <c r="AFC121" s="47"/>
      <c r="AFD121" s="47"/>
      <c r="AFE121" s="47"/>
      <c r="AFF121" s="47"/>
      <c r="AFG121" s="47"/>
      <c r="AFH121" s="47"/>
      <c r="AFI121" s="47"/>
      <c r="AFJ121" s="47"/>
      <c r="AFK121" s="47"/>
      <c r="AFL121" s="47"/>
      <c r="AFM121" s="47"/>
      <c r="AFN121" s="47"/>
      <c r="AFO121" s="47"/>
      <c r="AFP121" s="47"/>
      <c r="AFQ121" s="47"/>
      <c r="AFR121" s="47"/>
      <c r="AFS121" s="47"/>
      <c r="AFT121" s="47"/>
      <c r="AFU121" s="47"/>
      <c r="AFV121" s="47"/>
      <c r="AFW121" s="47"/>
      <c r="AFX121" s="47"/>
      <c r="AFY121" s="47"/>
      <c r="AFZ121" s="47"/>
      <c r="AGA121" s="47"/>
      <c r="AGB121" s="47"/>
      <c r="AGC121" s="47"/>
      <c r="AGD121" s="47"/>
      <c r="AGE121" s="47"/>
      <c r="AGF121" s="47"/>
      <c r="AGG121" s="47"/>
      <c r="AGH121" s="47"/>
      <c r="AGI121" s="47"/>
      <c r="AGJ121" s="47"/>
      <c r="AGK121" s="47"/>
      <c r="AGL121" s="47"/>
      <c r="AGM121" s="47"/>
      <c r="AGN121" s="47"/>
      <c r="AGO121" s="47"/>
      <c r="AGP121" s="47"/>
      <c r="AGQ121" s="47"/>
      <c r="AGR121" s="47"/>
      <c r="AGS121" s="47"/>
      <c r="AGT121" s="47"/>
      <c r="AGU121" s="47"/>
      <c r="AGV121" s="47"/>
      <c r="AGW121" s="47"/>
      <c r="AGX121" s="47"/>
      <c r="AGY121" s="47"/>
      <c r="AGZ121" s="47"/>
      <c r="AHA121" s="47"/>
      <c r="AHB121" s="47"/>
      <c r="AHC121" s="47"/>
      <c r="AHD121" s="47"/>
      <c r="AHE121" s="47"/>
      <c r="AHF121" s="47"/>
      <c r="AHG121" s="47"/>
      <c r="AHH121" s="47"/>
      <c r="AHI121" s="47"/>
      <c r="AHJ121" s="47"/>
      <c r="AHK121" s="47"/>
      <c r="AHL121" s="47"/>
      <c r="AHM121" s="47"/>
      <c r="AHN121" s="47"/>
      <c r="AHO121" s="47"/>
      <c r="AHP121" s="47"/>
      <c r="AHQ121" s="47"/>
      <c r="AHR121" s="47"/>
      <c r="AHS121" s="47"/>
      <c r="AHT121" s="47"/>
      <c r="AHU121" s="47"/>
      <c r="AHV121" s="47"/>
      <c r="AHW121" s="47"/>
      <c r="AHX121" s="47"/>
      <c r="AHY121" s="47"/>
      <c r="AHZ121" s="47"/>
      <c r="AIA121" s="47"/>
      <c r="AIB121" s="47"/>
      <c r="AIC121" s="47"/>
      <c r="AID121" s="47"/>
      <c r="AIE121" s="47"/>
      <c r="AIF121" s="47"/>
      <c r="AIG121" s="47"/>
      <c r="AIH121" s="47"/>
      <c r="AII121" s="47"/>
      <c r="AIJ121" s="47"/>
      <c r="AIK121" s="47"/>
      <c r="AIL121" s="47"/>
      <c r="AIM121" s="47"/>
      <c r="AIN121" s="47"/>
      <c r="AIO121" s="47"/>
      <c r="AIP121" s="47"/>
      <c r="AIQ121" s="47"/>
      <c r="AIR121" s="47"/>
      <c r="AIS121" s="47"/>
      <c r="AIT121" s="47"/>
      <c r="AIU121" s="47"/>
      <c r="AIV121" s="47"/>
      <c r="AIW121" s="47"/>
      <c r="AIX121" s="47"/>
      <c r="AIY121" s="47"/>
      <c r="AIZ121" s="47"/>
      <c r="AJA121" s="47"/>
      <c r="AJB121" s="47"/>
      <c r="AJC121" s="47"/>
      <c r="AJD121" s="47"/>
      <c r="AJE121" s="47"/>
      <c r="AJF121" s="47"/>
      <c r="AJG121" s="47"/>
      <c r="AJH121" s="47"/>
      <c r="AJI121" s="47"/>
      <c r="AJJ121" s="47"/>
      <c r="AJK121" s="47"/>
      <c r="AJL121" s="47"/>
      <c r="AJM121" s="47"/>
      <c r="AJN121" s="47"/>
      <c r="AJO121" s="47"/>
      <c r="AJP121" s="47"/>
      <c r="AJQ121" s="47"/>
      <c r="AJR121" s="47"/>
      <c r="AJS121" s="47"/>
      <c r="AJT121" s="47"/>
      <c r="AJU121" s="47"/>
      <c r="AJV121" s="47"/>
      <c r="AJW121" s="47"/>
      <c r="AJX121" s="47"/>
      <c r="AJY121" s="47"/>
      <c r="AJZ121" s="47"/>
      <c r="AKA121" s="47"/>
      <c r="AKB121" s="47"/>
      <c r="AKC121" s="47"/>
      <c r="AKD121" s="47"/>
      <c r="AKE121" s="47"/>
      <c r="AKF121" s="47"/>
      <c r="AKG121" s="47"/>
      <c r="AKH121" s="47"/>
      <c r="AKI121" s="47"/>
      <c r="AKJ121" s="47"/>
      <c r="AKK121" s="47"/>
      <c r="AKL121" s="47"/>
      <c r="AKM121" s="47"/>
      <c r="AKN121" s="47"/>
      <c r="AKO121" s="47"/>
      <c r="AKP121" s="47"/>
      <c r="AKQ121" s="47"/>
      <c r="AKR121" s="47"/>
      <c r="AKS121" s="47"/>
      <c r="AKT121" s="47"/>
      <c r="AKU121" s="47"/>
      <c r="AKV121" s="47"/>
      <c r="AKW121" s="47"/>
      <c r="AKX121" s="47"/>
      <c r="AKY121" s="47"/>
      <c r="AKZ121" s="47"/>
      <c r="ALA121" s="47"/>
      <c r="ALB121" s="47"/>
      <c r="ALC121" s="47"/>
      <c r="ALD121" s="47"/>
      <c r="ALE121" s="47"/>
      <c r="ALF121" s="47"/>
      <c r="ALG121" s="47"/>
      <c r="ALH121" s="47"/>
      <c r="ALI121" s="47"/>
      <c r="ALJ121" s="47"/>
      <c r="ALK121" s="47"/>
      <c r="ALL121" s="47"/>
      <c r="ALM121" s="47"/>
      <c r="ALN121" s="47"/>
      <c r="ALO121" s="47"/>
      <c r="ALP121" s="47"/>
      <c r="ALQ121" s="47"/>
      <c r="ALR121" s="47"/>
      <c r="ALS121" s="47"/>
      <c r="ALT121" s="47"/>
      <c r="ALU121" s="47"/>
      <c r="ALV121" s="47"/>
      <c r="ALW121" s="47"/>
      <c r="ALX121" s="47"/>
      <c r="ALY121" s="47"/>
      <c r="ALZ121" s="47"/>
      <c r="AMA121" s="47"/>
      <c r="AMB121" s="47"/>
      <c r="AMC121" s="47"/>
      <c r="AMD121" s="47"/>
      <c r="AME121" s="47"/>
      <c r="AMF121" s="47"/>
      <c r="AMG121" s="47"/>
      <c r="AMH121" s="47"/>
      <c r="AMI121" s="47"/>
      <c r="AMJ121" s="47"/>
      <c r="AMK121" s="47"/>
      <c r="AML121" s="47"/>
      <c r="AMM121" s="47"/>
      <c r="AMN121" s="47"/>
      <c r="AMO121" s="47"/>
      <c r="AMP121" s="47"/>
      <c r="AMQ121" s="47"/>
      <c r="AMR121" s="47"/>
      <c r="AMS121" s="47"/>
      <c r="AMT121" s="47"/>
      <c r="AMU121" s="47"/>
      <c r="AMV121" s="47"/>
      <c r="AMW121" s="47"/>
      <c r="AMX121" s="47"/>
      <c r="AMY121" s="47"/>
      <c r="AMZ121" s="47"/>
      <c r="ANA121" s="47"/>
      <c r="ANB121" s="47"/>
      <c r="ANC121" s="47"/>
      <c r="AND121" s="47"/>
      <c r="ANE121" s="47"/>
      <c r="ANF121" s="47"/>
      <c r="ANG121" s="47"/>
      <c r="ANH121" s="47"/>
      <c r="ANI121" s="47"/>
      <c r="ANJ121" s="47"/>
      <c r="ANK121" s="47"/>
      <c r="ANL121" s="47"/>
      <c r="ANM121" s="47"/>
      <c r="ANN121" s="47"/>
      <c r="ANO121" s="47"/>
      <c r="ANP121" s="47"/>
      <c r="ANQ121" s="47"/>
      <c r="ANR121" s="47"/>
      <c r="ANS121" s="47"/>
      <c r="ANT121" s="47"/>
      <c r="ANU121" s="47"/>
      <c r="ANV121" s="47"/>
      <c r="ANW121" s="47"/>
      <c r="ANX121" s="47"/>
      <c r="ANY121" s="47"/>
      <c r="ANZ121" s="47"/>
      <c r="AOA121" s="47"/>
      <c r="AOB121" s="47"/>
      <c r="AOC121" s="47"/>
      <c r="AOD121" s="47"/>
      <c r="AOE121" s="47"/>
      <c r="AOF121" s="47"/>
      <c r="AOG121" s="47"/>
      <c r="AOH121" s="47"/>
      <c r="AOI121" s="47"/>
      <c r="AOJ121" s="47"/>
      <c r="AOK121" s="47"/>
      <c r="AOL121" s="47"/>
      <c r="AOM121" s="47"/>
      <c r="AON121" s="47"/>
      <c r="AOO121" s="47"/>
      <c r="AOP121" s="47"/>
      <c r="AOQ121" s="47"/>
      <c r="AOR121" s="47"/>
      <c r="AOS121" s="47"/>
      <c r="AOT121" s="47"/>
      <c r="AOU121" s="47"/>
      <c r="AOV121" s="47"/>
      <c r="AOW121" s="47"/>
      <c r="AOX121" s="47"/>
      <c r="AOY121" s="47"/>
      <c r="AOZ121" s="47"/>
      <c r="APA121" s="47"/>
      <c r="APB121" s="47"/>
      <c r="APC121" s="47"/>
      <c r="APD121" s="47"/>
      <c r="APE121" s="47"/>
      <c r="APF121" s="47"/>
      <c r="APG121" s="47"/>
      <c r="APH121" s="47"/>
      <c r="API121" s="47"/>
      <c r="APJ121" s="47"/>
      <c r="APK121" s="47"/>
      <c r="APL121" s="47"/>
      <c r="APM121" s="47"/>
      <c r="APN121" s="47"/>
      <c r="APO121" s="47"/>
      <c r="APP121" s="47"/>
      <c r="APQ121" s="47"/>
      <c r="APR121" s="47"/>
      <c r="APS121" s="47"/>
      <c r="APT121" s="47"/>
      <c r="APU121" s="47"/>
      <c r="APV121" s="47"/>
      <c r="APW121" s="47"/>
      <c r="APX121" s="47"/>
      <c r="APY121" s="47"/>
      <c r="APZ121" s="47"/>
      <c r="AQA121" s="47"/>
      <c r="AQB121" s="47"/>
      <c r="AQC121" s="47"/>
      <c r="AQD121" s="47"/>
      <c r="AQE121" s="47"/>
      <c r="AQF121" s="47"/>
      <c r="AQG121" s="47"/>
      <c r="AQH121" s="47"/>
      <c r="AQI121" s="47"/>
      <c r="AQJ121" s="47"/>
      <c r="AQK121" s="47"/>
      <c r="AQL121" s="47"/>
      <c r="AQM121" s="47"/>
      <c r="AQN121" s="47"/>
      <c r="AQO121" s="47"/>
      <c r="AQP121" s="47"/>
      <c r="AQQ121" s="47"/>
      <c r="AQR121" s="47"/>
      <c r="AQS121" s="47"/>
      <c r="AQT121" s="47"/>
      <c r="AQU121" s="47"/>
      <c r="AQV121" s="47"/>
      <c r="AQW121" s="47"/>
      <c r="AQX121" s="47"/>
      <c r="AQY121" s="47"/>
      <c r="AQZ121" s="47"/>
      <c r="ARA121" s="47"/>
      <c r="ARB121" s="47"/>
      <c r="ARC121" s="47"/>
      <c r="ARD121" s="47"/>
      <c r="ARE121" s="47"/>
      <c r="ARF121" s="47"/>
      <c r="ARG121" s="47"/>
      <c r="ARH121" s="47"/>
      <c r="ARI121" s="47"/>
      <c r="ARJ121" s="47"/>
      <c r="ARK121" s="47"/>
      <c r="ARL121" s="47"/>
      <c r="ARM121" s="47"/>
      <c r="ARN121" s="47"/>
      <c r="ARO121" s="47"/>
      <c r="ARP121" s="47"/>
      <c r="ARQ121" s="47"/>
      <c r="ARR121" s="47"/>
      <c r="ARS121" s="47"/>
      <c r="ART121" s="47"/>
      <c r="ARU121" s="47"/>
      <c r="ARV121" s="47"/>
      <c r="ARW121" s="47"/>
      <c r="ARX121" s="47"/>
      <c r="ARY121" s="47"/>
      <c r="ARZ121" s="47"/>
      <c r="ASA121" s="47"/>
      <c r="ASB121" s="47"/>
      <c r="ASC121" s="47"/>
      <c r="ASD121" s="47"/>
      <c r="ASE121" s="47"/>
      <c r="ASF121" s="47"/>
      <c r="ASG121" s="47"/>
      <c r="ASH121" s="47"/>
      <c r="ASI121" s="47"/>
      <c r="ASJ121" s="47"/>
      <c r="ASK121" s="47"/>
      <c r="ASL121" s="47"/>
      <c r="ASM121" s="47"/>
      <c r="ASN121" s="47"/>
      <c r="ASO121" s="47"/>
      <c r="ASP121" s="47"/>
      <c r="ASQ121" s="47"/>
      <c r="ASR121" s="47"/>
      <c r="ASS121" s="47"/>
      <c r="AST121" s="47"/>
      <c r="ASU121" s="47"/>
      <c r="ASV121" s="47"/>
      <c r="ASW121" s="47"/>
      <c r="ASX121" s="47"/>
      <c r="ASY121" s="47"/>
      <c r="ASZ121" s="47"/>
      <c r="ATA121" s="47"/>
      <c r="ATB121" s="47"/>
      <c r="ATC121" s="47"/>
      <c r="ATD121" s="47"/>
      <c r="ATE121" s="47"/>
      <c r="ATF121" s="47"/>
      <c r="ATG121" s="47"/>
      <c r="ATH121" s="47"/>
      <c r="ATI121" s="47"/>
      <c r="ATJ121" s="47"/>
      <c r="ATK121" s="47"/>
      <c r="ATL121" s="47"/>
      <c r="ATM121" s="47"/>
      <c r="ATN121" s="47"/>
      <c r="ATO121" s="47"/>
      <c r="ATP121" s="47"/>
      <c r="ATQ121" s="47"/>
      <c r="ATR121" s="47"/>
      <c r="ATS121" s="47"/>
      <c r="ATT121" s="47"/>
      <c r="ATU121" s="47"/>
      <c r="ATV121" s="47"/>
      <c r="ATW121" s="47"/>
      <c r="ATX121" s="47"/>
      <c r="ATY121" s="47"/>
      <c r="ATZ121" s="47"/>
      <c r="AUA121" s="47"/>
      <c r="AUB121" s="47"/>
      <c r="AUC121" s="47"/>
      <c r="AUD121" s="47"/>
      <c r="AUE121" s="47"/>
      <c r="AUF121" s="47"/>
      <c r="AUG121" s="47"/>
      <c r="AUH121" s="47"/>
      <c r="AUI121" s="47"/>
      <c r="AUJ121" s="47"/>
      <c r="AUK121" s="47"/>
      <c r="AUL121" s="47"/>
      <c r="AUM121" s="47"/>
      <c r="AUN121" s="47"/>
      <c r="AUO121" s="47"/>
      <c r="AUP121" s="47"/>
      <c r="AUQ121" s="47"/>
      <c r="AUR121" s="47"/>
      <c r="AUS121" s="47"/>
      <c r="AUT121" s="47"/>
      <c r="AUU121" s="47"/>
      <c r="AUV121" s="47"/>
      <c r="AUW121" s="47"/>
      <c r="AUX121" s="47"/>
      <c r="AUY121" s="47"/>
      <c r="AUZ121" s="47"/>
      <c r="AVA121" s="47"/>
      <c r="AVB121" s="47"/>
      <c r="AVC121" s="47"/>
      <c r="AVD121" s="47"/>
      <c r="AVE121" s="47"/>
      <c r="AVF121" s="47"/>
      <c r="AVG121" s="47"/>
      <c r="AVH121" s="47"/>
      <c r="AVI121" s="47"/>
      <c r="AVJ121" s="47"/>
      <c r="AVK121" s="47"/>
      <c r="AVL121" s="47"/>
      <c r="AVM121" s="47"/>
      <c r="AVN121" s="47"/>
      <c r="AVO121" s="47"/>
      <c r="AVP121" s="47"/>
      <c r="AVQ121" s="47"/>
      <c r="AVR121" s="47"/>
      <c r="AVS121" s="47"/>
      <c r="AVT121" s="47"/>
      <c r="AVU121" s="47"/>
      <c r="AVV121" s="47"/>
      <c r="AVW121" s="47"/>
      <c r="AVX121" s="47"/>
      <c r="AVY121" s="47"/>
      <c r="AVZ121" s="47"/>
      <c r="AWA121" s="47"/>
      <c r="AWB121" s="47"/>
      <c r="AWC121" s="47"/>
      <c r="AWD121" s="47"/>
      <c r="AWE121" s="47"/>
      <c r="AWF121" s="47"/>
      <c r="AWG121" s="47"/>
      <c r="AWH121" s="47"/>
      <c r="AWI121" s="47"/>
      <c r="AWJ121" s="47"/>
      <c r="AWK121" s="47"/>
      <c r="AWL121" s="47"/>
      <c r="AWM121" s="47"/>
      <c r="AWN121" s="47"/>
      <c r="AWO121" s="47"/>
      <c r="AWP121" s="47"/>
      <c r="AWQ121" s="47"/>
      <c r="AWR121" s="47"/>
      <c r="AWS121" s="47"/>
      <c r="AWT121" s="47"/>
      <c r="AWU121" s="47"/>
      <c r="AWV121" s="47"/>
      <c r="AWW121" s="47"/>
      <c r="AWX121" s="47"/>
      <c r="AWY121" s="47"/>
      <c r="AWZ121" s="47"/>
      <c r="AXA121" s="47"/>
      <c r="AXB121" s="47"/>
      <c r="AXC121" s="47"/>
      <c r="AXD121" s="47"/>
      <c r="AXE121" s="47"/>
      <c r="AXF121" s="47"/>
      <c r="AXG121" s="47"/>
      <c r="AXH121" s="47"/>
      <c r="AXI121" s="47"/>
      <c r="AXJ121" s="47"/>
      <c r="AXK121" s="47"/>
      <c r="AXL121" s="47"/>
      <c r="AXM121" s="47"/>
      <c r="AXN121" s="47"/>
      <c r="AXO121" s="47"/>
      <c r="AXP121" s="47"/>
      <c r="AXQ121" s="47"/>
      <c r="AXR121" s="47"/>
      <c r="AXS121" s="47"/>
      <c r="AXT121" s="47"/>
      <c r="AXU121" s="47"/>
      <c r="AXV121" s="47"/>
      <c r="AXW121" s="47"/>
      <c r="AXX121" s="47"/>
      <c r="AXY121" s="47"/>
      <c r="AXZ121" s="47"/>
      <c r="AYA121" s="47"/>
      <c r="AYB121" s="47"/>
      <c r="AYC121" s="47"/>
      <c r="AYD121" s="47"/>
      <c r="AYE121" s="47"/>
      <c r="AYF121" s="47"/>
      <c r="AYG121" s="47"/>
      <c r="AYH121" s="47"/>
      <c r="AYI121" s="47"/>
      <c r="AYJ121" s="47"/>
      <c r="AYK121" s="47"/>
      <c r="AYL121" s="47"/>
      <c r="AYM121" s="47"/>
      <c r="AYN121" s="47"/>
      <c r="AYO121" s="47"/>
      <c r="AYP121" s="47"/>
      <c r="AYQ121" s="47"/>
      <c r="AYR121" s="47"/>
      <c r="AYS121" s="47"/>
      <c r="AYT121" s="47"/>
      <c r="AYU121" s="47"/>
      <c r="AYV121" s="47"/>
      <c r="AYW121" s="47"/>
      <c r="AYX121" s="47"/>
      <c r="AYY121" s="47"/>
      <c r="AYZ121" s="47"/>
      <c r="AZA121" s="47"/>
      <c r="AZB121" s="47"/>
      <c r="AZC121" s="47"/>
      <c r="AZD121" s="47"/>
      <c r="AZE121" s="47"/>
      <c r="AZF121" s="47"/>
      <c r="AZG121" s="47"/>
      <c r="AZH121" s="47"/>
      <c r="AZI121" s="47"/>
      <c r="AZJ121" s="47"/>
      <c r="AZK121" s="47"/>
      <c r="AZL121" s="47"/>
      <c r="AZM121" s="47"/>
      <c r="AZN121" s="47"/>
      <c r="AZO121" s="47"/>
      <c r="AZP121" s="47"/>
      <c r="AZQ121" s="47"/>
      <c r="AZR121" s="47"/>
      <c r="AZS121" s="47"/>
      <c r="AZT121" s="47"/>
      <c r="AZU121" s="47"/>
      <c r="AZV121" s="47"/>
      <c r="AZW121" s="47"/>
      <c r="AZX121" s="47"/>
      <c r="AZY121" s="47"/>
      <c r="AZZ121" s="47"/>
      <c r="BAA121" s="47"/>
      <c r="BAB121" s="47"/>
      <c r="BAC121" s="47"/>
      <c r="BAD121" s="47"/>
      <c r="BAE121" s="47"/>
      <c r="BAF121" s="47"/>
      <c r="BAG121" s="47"/>
      <c r="BAH121" s="47"/>
      <c r="BAI121" s="47"/>
      <c r="BAJ121" s="47"/>
      <c r="BAK121" s="47"/>
      <c r="BAL121" s="47"/>
      <c r="BAM121" s="47"/>
      <c r="BAN121" s="47"/>
      <c r="BAO121" s="47"/>
      <c r="BAP121" s="47"/>
      <c r="BAQ121" s="47"/>
      <c r="BAR121" s="47"/>
      <c r="BAS121" s="47"/>
      <c r="BAT121" s="47"/>
      <c r="BAU121" s="47"/>
      <c r="BAV121" s="47"/>
      <c r="BAW121" s="47"/>
      <c r="BAX121" s="47"/>
      <c r="BAY121" s="47"/>
      <c r="BAZ121" s="47"/>
      <c r="BBA121" s="47"/>
      <c r="BBB121" s="47"/>
      <c r="BBC121" s="47"/>
      <c r="BBD121" s="47"/>
      <c r="BBE121" s="47"/>
      <c r="BBF121" s="47"/>
      <c r="BBG121" s="47"/>
      <c r="BBH121" s="47"/>
      <c r="BBI121" s="47"/>
      <c r="BBJ121" s="47"/>
      <c r="BBK121" s="47"/>
      <c r="BBL121" s="47"/>
      <c r="BBM121" s="47"/>
      <c r="BBN121" s="47"/>
      <c r="BBO121" s="47"/>
      <c r="BBP121" s="47"/>
      <c r="BBQ121" s="47"/>
      <c r="BBR121" s="47"/>
      <c r="BBS121" s="47"/>
      <c r="BBT121" s="47"/>
      <c r="BBU121" s="47"/>
      <c r="BBV121" s="47"/>
      <c r="BBW121" s="47"/>
      <c r="BBX121" s="47"/>
      <c r="BBY121" s="47"/>
      <c r="BBZ121" s="47"/>
      <c r="BCA121" s="47"/>
      <c r="BCB121" s="47"/>
      <c r="BCC121" s="47"/>
      <c r="BCD121" s="47"/>
      <c r="BCE121" s="47"/>
      <c r="BCF121" s="47"/>
      <c r="BCG121" s="47"/>
      <c r="BCH121" s="47"/>
      <c r="BCI121" s="47"/>
      <c r="BCJ121" s="47"/>
      <c r="BCK121" s="47"/>
      <c r="BCL121" s="47"/>
      <c r="BCM121" s="47"/>
      <c r="BCN121" s="47"/>
      <c r="BCO121" s="47"/>
      <c r="BCP121" s="47"/>
      <c r="BCQ121" s="47"/>
      <c r="BCR121" s="47"/>
      <c r="BCS121" s="47"/>
      <c r="BCT121" s="47"/>
      <c r="BCU121" s="47"/>
      <c r="BCV121" s="47"/>
      <c r="BCW121" s="47"/>
      <c r="BCX121" s="47"/>
      <c r="BCY121" s="47"/>
      <c r="BCZ121" s="47"/>
      <c r="BDA121" s="47"/>
      <c r="BDB121" s="47"/>
      <c r="BDC121" s="47"/>
      <c r="BDD121" s="47"/>
      <c r="BDE121" s="47"/>
      <c r="BDF121" s="47"/>
      <c r="BDG121" s="47"/>
      <c r="BDH121" s="47"/>
      <c r="BDI121" s="47"/>
      <c r="BDJ121" s="47"/>
      <c r="BDK121" s="47"/>
      <c r="BDL121" s="47"/>
      <c r="BDM121" s="47"/>
      <c r="BDN121" s="47"/>
      <c r="BDO121" s="47"/>
      <c r="BDP121" s="47"/>
      <c r="BDQ121" s="47"/>
      <c r="BDR121" s="47"/>
      <c r="BDS121" s="47"/>
      <c r="BDT121" s="47"/>
      <c r="BDU121" s="47"/>
      <c r="BDV121" s="47"/>
      <c r="BDW121" s="47"/>
      <c r="BDX121" s="47"/>
      <c r="BDY121" s="47"/>
      <c r="BDZ121" s="47"/>
      <c r="BEA121" s="47"/>
      <c r="BEB121" s="47"/>
      <c r="BEC121" s="47"/>
      <c r="BED121" s="47"/>
      <c r="BEE121" s="47"/>
      <c r="BEF121" s="47"/>
      <c r="BEG121" s="47"/>
      <c r="BEH121" s="47"/>
      <c r="BEI121" s="47"/>
      <c r="BEJ121" s="47"/>
      <c r="BEK121" s="47"/>
      <c r="BEL121" s="47"/>
      <c r="BEM121" s="47"/>
      <c r="BEN121" s="47"/>
      <c r="BEO121" s="47"/>
      <c r="BEP121" s="47"/>
      <c r="BEQ121" s="47"/>
      <c r="BER121" s="47"/>
      <c r="BES121" s="47"/>
      <c r="BET121" s="47"/>
      <c r="BEU121" s="47"/>
      <c r="BEV121" s="47"/>
      <c r="BEW121" s="47"/>
      <c r="BEX121" s="47"/>
      <c r="BEY121" s="47"/>
      <c r="BEZ121" s="47"/>
      <c r="BFA121" s="47"/>
      <c r="BFB121" s="47"/>
      <c r="BFC121" s="47"/>
      <c r="BFD121" s="47"/>
      <c r="BFE121" s="47"/>
      <c r="BFF121" s="47"/>
      <c r="BFG121" s="47"/>
      <c r="BFH121" s="47"/>
      <c r="BFI121" s="47"/>
      <c r="BFJ121" s="47"/>
      <c r="BFK121" s="47"/>
      <c r="BFL121" s="47"/>
      <c r="BFM121" s="47"/>
      <c r="BFN121" s="47"/>
      <c r="BFO121" s="47"/>
      <c r="BFP121" s="47"/>
      <c r="BFQ121" s="47"/>
      <c r="BFR121" s="47"/>
      <c r="BFS121" s="47"/>
      <c r="BFT121" s="47"/>
      <c r="BFU121" s="47"/>
      <c r="BFV121" s="47"/>
      <c r="BFW121" s="47"/>
      <c r="BFX121" s="47"/>
      <c r="BFY121" s="47"/>
      <c r="BFZ121" s="47"/>
      <c r="BGA121" s="47"/>
      <c r="BGB121" s="47"/>
      <c r="BGC121" s="47"/>
      <c r="BGD121" s="47"/>
      <c r="BGE121" s="47"/>
      <c r="BGF121" s="47"/>
      <c r="BGG121" s="47"/>
      <c r="BGH121" s="47"/>
      <c r="BGI121" s="47"/>
      <c r="BGJ121" s="47"/>
      <c r="BGK121" s="47"/>
      <c r="BGL121" s="47"/>
      <c r="BGM121" s="47"/>
      <c r="BGN121" s="47"/>
      <c r="BGO121" s="47"/>
      <c r="BGP121" s="47"/>
      <c r="BGQ121" s="47"/>
      <c r="BGR121" s="47"/>
      <c r="BGS121" s="47"/>
      <c r="BGT121" s="47"/>
      <c r="BGU121" s="47"/>
      <c r="BGV121" s="47"/>
      <c r="BGW121" s="47"/>
      <c r="BGX121" s="47"/>
      <c r="BGY121" s="47"/>
      <c r="BGZ121" s="47"/>
      <c r="BHA121" s="47"/>
      <c r="BHB121" s="47"/>
      <c r="BHC121" s="47"/>
      <c r="BHD121" s="47"/>
      <c r="BHE121" s="47"/>
      <c r="BHF121" s="47"/>
      <c r="BHG121" s="47"/>
      <c r="BHH121" s="47"/>
      <c r="BHI121" s="47"/>
      <c r="BHJ121" s="47"/>
      <c r="BHK121" s="47"/>
      <c r="BHL121" s="47"/>
      <c r="BHM121" s="47"/>
      <c r="BHN121" s="47"/>
      <c r="BHO121" s="47"/>
      <c r="BHP121" s="47"/>
      <c r="BHQ121" s="47"/>
      <c r="BHR121" s="47"/>
      <c r="BHS121" s="47"/>
      <c r="BHT121" s="47"/>
      <c r="BHU121" s="47"/>
      <c r="BHV121" s="47"/>
      <c r="BHW121" s="47"/>
      <c r="BHX121" s="47"/>
      <c r="BHY121" s="47"/>
      <c r="BHZ121" s="47"/>
      <c r="BIA121" s="47"/>
      <c r="BIB121" s="47"/>
      <c r="BIC121" s="47"/>
      <c r="BID121" s="47"/>
      <c r="BIE121" s="47"/>
      <c r="BIF121" s="47"/>
      <c r="BIG121" s="47"/>
      <c r="BIH121" s="47"/>
      <c r="BII121" s="47"/>
      <c r="BIJ121" s="47"/>
      <c r="BIK121" s="47"/>
      <c r="BIL121" s="47"/>
      <c r="BIM121" s="47"/>
      <c r="BIN121" s="47"/>
      <c r="BIO121" s="47"/>
      <c r="BIP121" s="47"/>
      <c r="BIQ121" s="47"/>
      <c r="BIR121" s="47"/>
      <c r="BIS121" s="47"/>
      <c r="BIT121" s="47"/>
      <c r="BIU121" s="47"/>
      <c r="BIV121" s="47"/>
      <c r="BIW121" s="47"/>
      <c r="BIX121" s="47"/>
      <c r="BIY121" s="47"/>
      <c r="BIZ121" s="47"/>
      <c r="BJA121" s="47"/>
      <c r="BJB121" s="47"/>
      <c r="BJC121" s="47"/>
      <c r="BJD121" s="47"/>
      <c r="BJE121" s="47"/>
      <c r="BJF121" s="47"/>
      <c r="BJG121" s="47"/>
      <c r="BJH121" s="47"/>
      <c r="BJI121" s="47"/>
      <c r="BJJ121" s="47"/>
      <c r="BJK121" s="47"/>
      <c r="BJL121" s="47"/>
      <c r="BJM121" s="47"/>
      <c r="BJN121" s="47"/>
      <c r="BJO121" s="47"/>
      <c r="BJP121" s="47"/>
      <c r="BJQ121" s="47"/>
      <c r="BJR121" s="47"/>
      <c r="BJS121" s="47"/>
      <c r="BJT121" s="47"/>
      <c r="BJU121" s="47"/>
      <c r="BJV121" s="47"/>
      <c r="BJW121" s="47"/>
      <c r="BJX121" s="47"/>
      <c r="BJY121" s="47"/>
      <c r="BJZ121" s="47"/>
      <c r="BKA121" s="47"/>
      <c r="BKB121" s="47"/>
      <c r="BKC121" s="47"/>
      <c r="BKD121" s="47"/>
      <c r="BKE121" s="47"/>
      <c r="BKF121" s="47"/>
      <c r="BKG121" s="47"/>
      <c r="BKH121" s="47"/>
      <c r="BKI121" s="47"/>
      <c r="BKJ121" s="47"/>
      <c r="BKK121" s="47"/>
      <c r="BKL121" s="47"/>
      <c r="BKM121" s="47"/>
      <c r="BKN121" s="47"/>
      <c r="BKO121" s="47"/>
      <c r="BKP121" s="47"/>
      <c r="BKQ121" s="47"/>
      <c r="BKR121" s="47"/>
      <c r="BKS121" s="47"/>
      <c r="BKT121" s="47"/>
      <c r="BKU121" s="47"/>
      <c r="BKV121" s="47"/>
      <c r="BKW121" s="47"/>
      <c r="BKX121" s="47"/>
      <c r="BKY121" s="47"/>
      <c r="BKZ121" s="47"/>
      <c r="BLA121" s="47"/>
      <c r="BLB121" s="47"/>
      <c r="BLC121" s="47"/>
      <c r="BLD121" s="47"/>
      <c r="BLE121" s="47"/>
      <c r="BLF121" s="47"/>
      <c r="BLG121" s="47"/>
      <c r="BLH121" s="47"/>
      <c r="BLI121" s="47"/>
      <c r="BLJ121" s="47"/>
      <c r="BLK121" s="47"/>
      <c r="BLL121" s="47"/>
      <c r="BLM121" s="47"/>
      <c r="BLN121" s="47"/>
      <c r="BLO121" s="47"/>
      <c r="BLP121" s="47"/>
      <c r="BLQ121" s="47"/>
      <c r="BLR121" s="47"/>
      <c r="BLS121" s="47"/>
      <c r="BLT121" s="47"/>
      <c r="BLU121" s="47"/>
      <c r="BLV121" s="47"/>
      <c r="BLW121" s="47"/>
      <c r="BLX121" s="47"/>
      <c r="BLY121" s="47"/>
      <c r="BLZ121" s="47"/>
      <c r="BMA121" s="47"/>
      <c r="BMB121" s="47"/>
      <c r="BMC121" s="47"/>
      <c r="BMD121" s="47"/>
      <c r="BME121" s="47"/>
      <c r="BMF121" s="47"/>
      <c r="BMG121" s="47"/>
      <c r="BMH121" s="47"/>
      <c r="BMI121" s="47"/>
      <c r="BMJ121" s="47"/>
      <c r="BMK121" s="47"/>
      <c r="BML121" s="47"/>
      <c r="BMM121" s="47"/>
      <c r="BMN121" s="47"/>
      <c r="BMO121" s="47"/>
      <c r="BMP121" s="47"/>
      <c r="BMQ121" s="47"/>
      <c r="BMR121" s="47"/>
      <c r="BMS121" s="47"/>
      <c r="BMT121" s="47"/>
      <c r="BMU121" s="47"/>
      <c r="BMV121" s="47"/>
      <c r="BMW121" s="47"/>
      <c r="BMX121" s="47"/>
      <c r="BMY121" s="47"/>
      <c r="BMZ121" s="47"/>
      <c r="BNA121" s="47"/>
      <c r="BNB121" s="47"/>
      <c r="BNC121" s="47"/>
      <c r="BND121" s="47"/>
      <c r="BNE121" s="47"/>
      <c r="BNF121" s="47"/>
      <c r="BNG121" s="47"/>
      <c r="BNH121" s="47"/>
      <c r="BNI121" s="47"/>
      <c r="BNJ121" s="47"/>
      <c r="BNK121" s="47"/>
      <c r="BNL121" s="47"/>
      <c r="BNM121" s="47"/>
      <c r="BNN121" s="47"/>
      <c r="BNO121" s="47"/>
      <c r="BNP121" s="47"/>
      <c r="BNQ121" s="47"/>
      <c r="BNR121" s="47"/>
      <c r="BNS121" s="47"/>
      <c r="BNT121" s="47"/>
      <c r="BNU121" s="47"/>
      <c r="BNV121" s="47"/>
      <c r="BNW121" s="47"/>
      <c r="BNX121" s="47"/>
      <c r="BNY121" s="47"/>
      <c r="BNZ121" s="47"/>
      <c r="BOA121" s="47"/>
      <c r="BOB121" s="47"/>
      <c r="BOC121" s="47"/>
      <c r="BOD121" s="47"/>
      <c r="BOE121" s="47"/>
      <c r="BOF121" s="47"/>
      <c r="BOG121" s="47"/>
      <c r="BOH121" s="47"/>
      <c r="BOI121" s="47"/>
      <c r="BOJ121" s="47"/>
      <c r="BOK121" s="47"/>
      <c r="BOL121" s="47"/>
      <c r="BOM121" s="47"/>
      <c r="BON121" s="47"/>
      <c r="BOO121" s="47"/>
      <c r="BOP121" s="47"/>
      <c r="BOQ121" s="47"/>
      <c r="BOR121" s="47"/>
      <c r="BOS121" s="47"/>
      <c r="BOT121" s="47"/>
      <c r="BOU121" s="47"/>
      <c r="BOV121" s="47"/>
      <c r="BOW121" s="47"/>
      <c r="BOX121" s="47"/>
      <c r="BOY121" s="47"/>
      <c r="BOZ121" s="47"/>
      <c r="BPA121" s="47"/>
      <c r="BPB121" s="47"/>
      <c r="BPC121" s="47"/>
      <c r="BPD121" s="47"/>
      <c r="BPE121" s="47"/>
      <c r="BPF121" s="47"/>
      <c r="BPG121" s="47"/>
      <c r="BPH121" s="47"/>
      <c r="BPI121" s="47"/>
      <c r="BPJ121" s="47"/>
      <c r="BPK121" s="47"/>
      <c r="BPL121" s="47"/>
      <c r="BPM121" s="47"/>
      <c r="BPN121" s="47"/>
      <c r="BPO121" s="47"/>
      <c r="BPP121" s="47"/>
      <c r="BPQ121" s="47"/>
      <c r="BPR121" s="47"/>
      <c r="BPS121" s="47"/>
      <c r="BPT121" s="47"/>
      <c r="BPU121" s="47"/>
      <c r="BPV121" s="47"/>
      <c r="BPW121" s="47"/>
      <c r="BPX121" s="47"/>
      <c r="BPY121" s="47"/>
      <c r="BPZ121" s="47"/>
      <c r="BQA121" s="47"/>
      <c r="BQB121" s="47"/>
      <c r="BQC121" s="47"/>
      <c r="BQD121" s="47"/>
      <c r="BQE121" s="47"/>
      <c r="BQF121" s="47"/>
      <c r="BQG121" s="47"/>
      <c r="BQH121" s="47"/>
      <c r="BQI121" s="47"/>
      <c r="BQJ121" s="47"/>
      <c r="BQK121" s="47"/>
      <c r="BQL121" s="47"/>
      <c r="BQM121" s="47"/>
      <c r="BQN121" s="47"/>
      <c r="BQO121" s="47"/>
      <c r="BQP121" s="47"/>
      <c r="BQQ121" s="47"/>
      <c r="BQR121" s="47"/>
      <c r="BQS121" s="47"/>
      <c r="BQT121" s="47"/>
      <c r="BQU121" s="47"/>
      <c r="BQV121" s="47"/>
      <c r="BQW121" s="47"/>
      <c r="BQX121" s="47"/>
      <c r="BQY121" s="47"/>
      <c r="BQZ121" s="47"/>
      <c r="BRA121" s="47"/>
      <c r="BRB121" s="47"/>
      <c r="BRC121" s="47"/>
      <c r="BRD121" s="47"/>
      <c r="BRE121" s="47"/>
      <c r="BRF121" s="47"/>
      <c r="BRG121" s="47"/>
      <c r="BRH121" s="47"/>
      <c r="BRI121" s="47"/>
      <c r="BRJ121" s="47"/>
      <c r="BRK121" s="47"/>
      <c r="BRL121" s="47"/>
      <c r="BRM121" s="47"/>
      <c r="BRN121" s="47"/>
      <c r="BRO121" s="47"/>
      <c r="BRP121" s="47"/>
      <c r="BRQ121" s="47"/>
      <c r="BRR121" s="47"/>
      <c r="BRS121" s="47"/>
      <c r="BRT121" s="47"/>
      <c r="BRU121" s="47"/>
      <c r="BRV121" s="47"/>
      <c r="BRW121" s="47"/>
      <c r="BRX121" s="47"/>
      <c r="BRY121" s="47"/>
      <c r="BRZ121" s="47"/>
      <c r="BSA121" s="47"/>
      <c r="BSB121" s="47"/>
      <c r="BSC121" s="47"/>
      <c r="BSD121" s="47"/>
      <c r="BSE121" s="47"/>
      <c r="BSF121" s="47"/>
      <c r="BSG121" s="47"/>
      <c r="BSH121" s="47"/>
      <c r="BSI121" s="47"/>
      <c r="BSJ121" s="47"/>
      <c r="BSK121" s="47"/>
      <c r="BSL121" s="47"/>
      <c r="BSM121" s="47"/>
      <c r="BSN121" s="47"/>
      <c r="BSO121" s="47"/>
      <c r="BSP121" s="47"/>
      <c r="BSQ121" s="47"/>
      <c r="BSR121" s="47"/>
      <c r="BSS121" s="47"/>
      <c r="BST121" s="47"/>
      <c r="BSU121" s="47"/>
      <c r="BSV121" s="47"/>
      <c r="BSW121" s="47"/>
      <c r="BSX121" s="47"/>
      <c r="BSY121" s="47"/>
      <c r="BSZ121" s="47"/>
      <c r="BTA121" s="47"/>
      <c r="BTB121" s="47"/>
      <c r="BTC121" s="47"/>
      <c r="BTD121" s="47"/>
      <c r="BTE121" s="47"/>
      <c r="BTF121" s="47"/>
      <c r="BTG121" s="47"/>
      <c r="BTH121" s="47"/>
      <c r="BTI121" s="47"/>
      <c r="BTJ121" s="47"/>
      <c r="BTK121" s="47"/>
      <c r="BTL121" s="47"/>
      <c r="BTM121" s="47"/>
      <c r="BTN121" s="47"/>
      <c r="BTO121" s="47"/>
      <c r="BTP121" s="47"/>
      <c r="BTQ121" s="47"/>
      <c r="BTR121" s="47"/>
      <c r="BTS121" s="47"/>
      <c r="BTT121" s="47"/>
      <c r="BTU121" s="47"/>
      <c r="BTV121" s="47"/>
      <c r="BTW121" s="47"/>
      <c r="BTX121" s="47"/>
      <c r="BTY121" s="47"/>
      <c r="BTZ121" s="47"/>
      <c r="BUA121" s="47"/>
      <c r="BUB121" s="47"/>
      <c r="BUC121" s="47"/>
      <c r="BUD121" s="47"/>
      <c r="BUE121" s="47"/>
      <c r="BUF121" s="47"/>
      <c r="BUG121" s="47"/>
      <c r="BUH121" s="47"/>
      <c r="BUI121" s="47"/>
      <c r="BUJ121" s="47"/>
      <c r="BUK121" s="47"/>
      <c r="BUL121" s="47"/>
      <c r="BUM121" s="47"/>
      <c r="BUN121" s="47"/>
      <c r="BUO121" s="47"/>
      <c r="BUP121" s="47"/>
      <c r="BUQ121" s="47"/>
      <c r="BUR121" s="47"/>
      <c r="BUS121" s="47"/>
      <c r="BUT121" s="47"/>
      <c r="BUU121" s="47"/>
      <c r="BUV121" s="47"/>
      <c r="BUW121" s="47"/>
      <c r="BUX121" s="47"/>
      <c r="BUY121" s="47"/>
      <c r="BUZ121" s="47"/>
      <c r="BVA121" s="47"/>
      <c r="BVB121" s="47"/>
      <c r="BVC121" s="47"/>
      <c r="BVD121" s="47"/>
      <c r="BVE121" s="47"/>
      <c r="BVF121" s="47"/>
      <c r="BVG121" s="47"/>
      <c r="BVH121" s="47"/>
      <c r="BVI121" s="47"/>
      <c r="BVJ121" s="47"/>
      <c r="BVK121" s="47"/>
      <c r="BVL121" s="47"/>
      <c r="BVM121" s="47"/>
      <c r="BVN121" s="47"/>
      <c r="BVO121" s="47"/>
      <c r="BVP121" s="47"/>
      <c r="BVQ121" s="47"/>
      <c r="BVR121" s="47"/>
      <c r="BVS121" s="47"/>
      <c r="BVT121" s="47"/>
      <c r="BVU121" s="47"/>
      <c r="BVV121" s="47"/>
      <c r="BVW121" s="47"/>
      <c r="BVX121" s="47"/>
      <c r="BVY121" s="47"/>
      <c r="BVZ121" s="47"/>
      <c r="BWA121" s="47"/>
      <c r="BWB121" s="47"/>
      <c r="BWC121" s="47"/>
      <c r="BWD121" s="47"/>
      <c r="BWE121" s="47"/>
      <c r="BWF121" s="47"/>
      <c r="BWG121" s="47"/>
      <c r="BWH121" s="47"/>
      <c r="BWI121" s="47"/>
      <c r="BWJ121" s="47"/>
      <c r="BWK121" s="47"/>
      <c r="BWL121" s="47"/>
      <c r="BWM121" s="47"/>
      <c r="BWN121" s="47"/>
      <c r="BWO121" s="47"/>
      <c r="BWP121" s="47"/>
      <c r="BWQ121" s="47"/>
      <c r="BWR121" s="47"/>
      <c r="BWS121" s="47"/>
      <c r="BWT121" s="47"/>
      <c r="BWU121" s="47"/>
      <c r="BWV121" s="47"/>
      <c r="BWW121" s="47"/>
      <c r="BWX121" s="47"/>
      <c r="BWY121" s="47"/>
      <c r="BWZ121" s="47"/>
      <c r="BXA121" s="47"/>
      <c r="BXB121" s="47"/>
      <c r="BXC121" s="47"/>
      <c r="BXD121" s="47"/>
      <c r="BXE121" s="47"/>
      <c r="BXF121" s="47"/>
      <c r="BXG121" s="47"/>
      <c r="BXH121" s="47"/>
      <c r="BXI121" s="47"/>
      <c r="BXJ121" s="47"/>
      <c r="BXK121" s="47"/>
      <c r="BXL121" s="47"/>
      <c r="BXM121" s="47"/>
      <c r="BXN121" s="47"/>
      <c r="BXO121" s="47"/>
      <c r="BXP121" s="47"/>
      <c r="BXQ121" s="47"/>
      <c r="BXR121" s="47"/>
      <c r="BXS121" s="47"/>
      <c r="BXT121" s="47"/>
      <c r="BXU121" s="47"/>
      <c r="BXV121" s="47"/>
      <c r="BXW121" s="47"/>
      <c r="BXX121" s="47"/>
      <c r="BXY121" s="47"/>
      <c r="BXZ121" s="47"/>
      <c r="BYA121" s="47"/>
      <c r="BYB121" s="47"/>
      <c r="BYC121" s="47"/>
      <c r="BYD121" s="47"/>
      <c r="BYE121" s="47"/>
      <c r="BYF121" s="47"/>
      <c r="BYG121" s="47"/>
      <c r="BYH121" s="47"/>
      <c r="BYI121" s="47"/>
      <c r="BYJ121" s="47"/>
      <c r="BYK121" s="47"/>
      <c r="BYL121" s="47"/>
      <c r="BYM121" s="47"/>
      <c r="BYN121" s="47"/>
      <c r="BYO121" s="47"/>
      <c r="BYP121" s="47"/>
      <c r="BYQ121" s="47"/>
      <c r="BYR121" s="47"/>
      <c r="BYS121" s="47"/>
      <c r="BYT121" s="47"/>
      <c r="BYU121" s="47"/>
      <c r="BYV121" s="47"/>
      <c r="BYW121" s="47"/>
      <c r="BYX121" s="47"/>
      <c r="BYY121" s="47"/>
      <c r="BYZ121" s="47"/>
      <c r="BZA121" s="47"/>
      <c r="BZB121" s="47"/>
      <c r="BZC121" s="47"/>
      <c r="BZD121" s="47"/>
      <c r="BZE121" s="47"/>
      <c r="BZF121" s="47"/>
      <c r="BZG121" s="47"/>
      <c r="BZH121" s="47"/>
      <c r="BZI121" s="47"/>
      <c r="BZJ121" s="47"/>
      <c r="BZK121" s="47"/>
      <c r="BZL121" s="47"/>
      <c r="BZM121" s="47"/>
      <c r="BZN121" s="47"/>
      <c r="BZO121" s="47"/>
      <c r="BZP121" s="47"/>
      <c r="BZQ121" s="47"/>
      <c r="BZR121" s="47"/>
      <c r="BZS121" s="47"/>
      <c r="BZT121" s="47"/>
      <c r="BZU121" s="47"/>
      <c r="BZV121" s="47"/>
      <c r="BZW121" s="47"/>
      <c r="BZX121" s="47"/>
      <c r="BZY121" s="47"/>
      <c r="BZZ121" s="47"/>
      <c r="CAA121" s="47"/>
      <c r="CAB121" s="47"/>
      <c r="CAC121" s="47"/>
      <c r="CAD121" s="47"/>
      <c r="CAE121" s="47"/>
      <c r="CAF121" s="47"/>
      <c r="CAG121" s="47"/>
      <c r="CAH121" s="47"/>
      <c r="CAI121" s="47"/>
      <c r="CAJ121" s="47"/>
      <c r="CAK121" s="47"/>
      <c r="CAL121" s="47"/>
      <c r="CAM121" s="47"/>
      <c r="CAN121" s="47"/>
      <c r="CAO121" s="47"/>
      <c r="CAP121" s="47"/>
      <c r="CAQ121" s="47"/>
      <c r="CAR121" s="47"/>
      <c r="CAS121" s="47"/>
      <c r="CAT121" s="47"/>
      <c r="CAU121" s="47"/>
      <c r="CAV121" s="47"/>
      <c r="CAW121" s="47"/>
      <c r="CAX121" s="47"/>
      <c r="CAY121" s="47"/>
      <c r="CAZ121" s="47"/>
      <c r="CBA121" s="47"/>
      <c r="CBB121" s="47"/>
      <c r="CBC121" s="47"/>
      <c r="CBD121" s="47"/>
      <c r="CBE121" s="47"/>
      <c r="CBF121" s="47"/>
      <c r="CBG121" s="47"/>
      <c r="CBH121" s="47"/>
    </row>
    <row r="122" spans="1:2088" x14ac:dyDescent="0.2">
      <c r="A122" s="13" t="s">
        <v>125</v>
      </c>
      <c r="B122" s="59" t="str">
        <f t="shared" ref="B122" si="23">IF(OR(B36="",B37="",B38="",B39="",B41=""),"", (B36="yes")+(B37="yes")+(B38="yes")+(B39="yes")+(B41="yes"))</f>
        <v/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  <c r="DN122" s="47"/>
      <c r="DO122" s="47"/>
      <c r="DP122" s="47"/>
      <c r="DQ122" s="47"/>
      <c r="DR122" s="47"/>
      <c r="DS122" s="47"/>
      <c r="DT122" s="47"/>
      <c r="DU122" s="47"/>
      <c r="DV122" s="47"/>
      <c r="DW122" s="47"/>
      <c r="DX122" s="47"/>
      <c r="DY122" s="47"/>
      <c r="DZ122" s="47"/>
      <c r="EA122" s="47"/>
      <c r="EB122" s="47"/>
      <c r="EC122" s="47"/>
      <c r="ED122" s="47"/>
      <c r="EE122" s="47"/>
      <c r="EF122" s="47"/>
      <c r="EG122" s="47"/>
      <c r="EH122" s="47"/>
      <c r="EI122" s="47"/>
      <c r="EJ122" s="47"/>
      <c r="EK122" s="47"/>
      <c r="EL122" s="47"/>
      <c r="EM122" s="47"/>
      <c r="EN122" s="47"/>
      <c r="EO122" s="47"/>
      <c r="EP122" s="47"/>
      <c r="EQ122" s="47"/>
      <c r="ER122" s="47"/>
      <c r="ES122" s="47"/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  <c r="FX122" s="47"/>
      <c r="FY122" s="47"/>
      <c r="FZ122" s="47"/>
      <c r="GA122" s="47"/>
      <c r="GB122" s="47"/>
      <c r="GC122" s="47"/>
      <c r="GD122" s="47"/>
      <c r="GE122" s="47"/>
      <c r="GF122" s="47"/>
      <c r="GG122" s="47"/>
      <c r="GH122" s="47"/>
      <c r="GI122" s="47"/>
      <c r="GJ122" s="47"/>
      <c r="GK122" s="47"/>
      <c r="GL122" s="47"/>
      <c r="GM122" s="47"/>
      <c r="GN122" s="47"/>
      <c r="GO122" s="47"/>
      <c r="GP122" s="47"/>
      <c r="GQ122" s="47"/>
      <c r="GR122" s="47"/>
      <c r="GS122" s="47"/>
      <c r="GT122" s="47"/>
      <c r="GU122" s="47"/>
      <c r="GV122" s="47"/>
      <c r="GW122" s="47"/>
      <c r="GX122" s="47"/>
      <c r="GY122" s="47"/>
      <c r="GZ122" s="47"/>
      <c r="HA122" s="47"/>
      <c r="HB122" s="47"/>
      <c r="HC122" s="47"/>
      <c r="HD122" s="47"/>
      <c r="HE122" s="47"/>
      <c r="HF122" s="47"/>
      <c r="HG122" s="47"/>
      <c r="HH122" s="47"/>
      <c r="HI122" s="47"/>
      <c r="HJ122" s="47"/>
      <c r="HK122" s="47"/>
      <c r="HL122" s="47"/>
      <c r="HM122" s="47"/>
      <c r="HN122" s="47"/>
      <c r="HO122" s="47"/>
      <c r="HP122" s="47"/>
      <c r="HQ122" s="47"/>
      <c r="HR122" s="47"/>
      <c r="HS122" s="47"/>
      <c r="HT122" s="47"/>
      <c r="HU122" s="47"/>
      <c r="HV122" s="47"/>
      <c r="HW122" s="47"/>
      <c r="HX122" s="47"/>
      <c r="HY122" s="47"/>
      <c r="HZ122" s="47"/>
      <c r="IA122" s="47"/>
      <c r="IB122" s="47"/>
      <c r="IC122" s="47"/>
      <c r="ID122" s="47"/>
      <c r="IE122" s="47"/>
      <c r="IF122" s="47"/>
      <c r="IG122" s="47"/>
      <c r="IH122" s="47"/>
      <c r="II122" s="47"/>
      <c r="IJ122" s="47"/>
      <c r="IK122" s="47"/>
      <c r="IL122" s="47"/>
      <c r="IM122" s="47"/>
      <c r="IN122" s="47"/>
      <c r="IO122" s="47"/>
      <c r="IP122" s="47"/>
      <c r="IQ122" s="47"/>
      <c r="IR122" s="47"/>
      <c r="IS122" s="47"/>
      <c r="IT122" s="47"/>
      <c r="IU122" s="47"/>
      <c r="IV122" s="47"/>
      <c r="IW122" s="47"/>
      <c r="IX122" s="47"/>
      <c r="IY122" s="47"/>
      <c r="IZ122" s="47"/>
      <c r="JA122" s="47"/>
      <c r="JB122" s="47"/>
      <c r="JC122" s="47"/>
      <c r="JD122" s="47"/>
      <c r="JE122" s="47"/>
      <c r="JF122" s="47"/>
      <c r="JG122" s="47"/>
      <c r="JH122" s="47"/>
      <c r="JI122" s="47"/>
      <c r="JJ122" s="47"/>
      <c r="JK122" s="47"/>
      <c r="JL122" s="47"/>
      <c r="JM122" s="47"/>
      <c r="JN122" s="47"/>
      <c r="JO122" s="47"/>
      <c r="JP122" s="47"/>
      <c r="JQ122" s="47"/>
      <c r="JR122" s="47"/>
      <c r="JS122" s="47"/>
      <c r="JT122" s="47"/>
      <c r="JU122" s="47"/>
      <c r="JV122" s="47"/>
      <c r="JW122" s="47"/>
      <c r="JX122" s="47"/>
      <c r="JY122" s="47"/>
      <c r="JZ122" s="47"/>
      <c r="KA122" s="47"/>
      <c r="KB122" s="47"/>
      <c r="KC122" s="47"/>
      <c r="KD122" s="47"/>
      <c r="KE122" s="47"/>
      <c r="KF122" s="47"/>
      <c r="KG122" s="47"/>
      <c r="KH122" s="47"/>
      <c r="KI122" s="47"/>
      <c r="KJ122" s="47"/>
      <c r="KK122" s="47"/>
      <c r="KL122" s="47"/>
      <c r="KM122" s="47"/>
      <c r="KN122" s="47"/>
      <c r="KO122" s="47"/>
      <c r="KP122" s="47"/>
      <c r="KQ122" s="47"/>
      <c r="KR122" s="47"/>
      <c r="KS122" s="47"/>
      <c r="KT122" s="47"/>
      <c r="KU122" s="47"/>
      <c r="KV122" s="47"/>
      <c r="KW122" s="47"/>
      <c r="KX122" s="47"/>
      <c r="KY122" s="47"/>
      <c r="KZ122" s="47"/>
      <c r="LA122" s="47"/>
      <c r="LB122" s="47"/>
      <c r="LC122" s="47"/>
      <c r="LD122" s="47"/>
      <c r="LE122" s="47"/>
      <c r="LF122" s="47"/>
      <c r="LG122" s="47"/>
      <c r="LH122" s="47"/>
      <c r="LI122" s="47"/>
      <c r="LJ122" s="47"/>
      <c r="LK122" s="47"/>
      <c r="LL122" s="47"/>
      <c r="LM122" s="47"/>
      <c r="LN122" s="47"/>
      <c r="LO122" s="47"/>
      <c r="LP122" s="47"/>
      <c r="LQ122" s="47"/>
      <c r="LR122" s="47"/>
      <c r="LS122" s="47"/>
      <c r="LT122" s="47"/>
      <c r="LU122" s="47"/>
      <c r="LV122" s="47"/>
      <c r="LW122" s="47"/>
      <c r="LX122" s="47"/>
      <c r="LY122" s="47"/>
      <c r="LZ122" s="47"/>
      <c r="MA122" s="47"/>
      <c r="MB122" s="47"/>
      <c r="MC122" s="47"/>
      <c r="MD122" s="47"/>
      <c r="ME122" s="47"/>
      <c r="MF122" s="47"/>
      <c r="MG122" s="47"/>
      <c r="MH122" s="47"/>
      <c r="MI122" s="47"/>
      <c r="MJ122" s="47"/>
      <c r="MK122" s="47"/>
      <c r="ML122" s="47"/>
      <c r="MM122" s="47"/>
      <c r="MN122" s="47"/>
      <c r="MO122" s="47"/>
      <c r="MP122" s="47"/>
      <c r="MQ122" s="47"/>
      <c r="MR122" s="47"/>
      <c r="MS122" s="47"/>
      <c r="MT122" s="47"/>
      <c r="MU122" s="47"/>
      <c r="MV122" s="47"/>
      <c r="MW122" s="47"/>
      <c r="MX122" s="47"/>
      <c r="MY122" s="47"/>
      <c r="MZ122" s="47"/>
      <c r="NA122" s="47"/>
      <c r="NB122" s="47"/>
      <c r="NC122" s="47"/>
      <c r="ND122" s="47"/>
      <c r="NE122" s="47"/>
      <c r="NF122" s="47"/>
      <c r="NG122" s="47"/>
      <c r="NH122" s="47"/>
      <c r="NI122" s="47"/>
      <c r="NJ122" s="47"/>
      <c r="NK122" s="47"/>
      <c r="NL122" s="47"/>
      <c r="NM122" s="47"/>
      <c r="NN122" s="47"/>
      <c r="NO122" s="47"/>
      <c r="NP122" s="47"/>
      <c r="NQ122" s="47"/>
      <c r="NR122" s="47"/>
      <c r="NS122" s="47"/>
      <c r="NT122" s="47"/>
      <c r="NU122" s="47"/>
      <c r="NV122" s="47"/>
      <c r="NW122" s="47"/>
      <c r="NX122" s="47"/>
      <c r="NY122" s="47"/>
      <c r="NZ122" s="47"/>
      <c r="OA122" s="47"/>
      <c r="OB122" s="47"/>
      <c r="OC122" s="47"/>
      <c r="OD122" s="47"/>
      <c r="OE122" s="47"/>
      <c r="OF122" s="47"/>
      <c r="OG122" s="47"/>
      <c r="OH122" s="47"/>
      <c r="OI122" s="47"/>
      <c r="OJ122" s="47"/>
      <c r="OK122" s="47"/>
      <c r="OL122" s="47"/>
      <c r="OM122" s="47"/>
      <c r="ON122" s="47"/>
      <c r="OO122" s="47"/>
      <c r="OP122" s="47"/>
      <c r="OQ122" s="47"/>
      <c r="OR122" s="47"/>
      <c r="OS122" s="47"/>
      <c r="OT122" s="47"/>
      <c r="OU122" s="47"/>
      <c r="OV122" s="47"/>
      <c r="OW122" s="47"/>
      <c r="OX122" s="47"/>
      <c r="OY122" s="47"/>
      <c r="OZ122" s="47"/>
      <c r="PA122" s="47"/>
      <c r="PB122" s="47"/>
      <c r="PC122" s="47"/>
      <c r="PD122" s="47"/>
      <c r="PE122" s="47"/>
      <c r="PF122" s="47"/>
      <c r="PG122" s="47"/>
      <c r="PH122" s="47"/>
      <c r="PI122" s="47"/>
      <c r="PJ122" s="47"/>
      <c r="PK122" s="47"/>
      <c r="PL122" s="47"/>
      <c r="PM122" s="47"/>
      <c r="PN122" s="47"/>
      <c r="PO122" s="47"/>
      <c r="PP122" s="47"/>
      <c r="PQ122" s="47"/>
      <c r="PR122" s="47"/>
      <c r="PS122" s="47"/>
      <c r="PT122" s="47"/>
      <c r="PU122" s="47"/>
      <c r="PV122" s="47"/>
      <c r="PW122" s="47"/>
      <c r="PX122" s="47"/>
      <c r="PY122" s="47"/>
      <c r="PZ122" s="47"/>
      <c r="QA122" s="47"/>
      <c r="QB122" s="47"/>
      <c r="QC122" s="47"/>
      <c r="QD122" s="47"/>
      <c r="QE122" s="47"/>
      <c r="QF122" s="47"/>
      <c r="QG122" s="47"/>
      <c r="QH122" s="47"/>
      <c r="QI122" s="47"/>
      <c r="QJ122" s="47"/>
      <c r="QK122" s="47"/>
      <c r="QL122" s="47"/>
      <c r="QM122" s="47"/>
      <c r="QN122" s="47"/>
      <c r="QO122" s="47"/>
      <c r="QP122" s="47"/>
      <c r="QQ122" s="47"/>
      <c r="QR122" s="47"/>
      <c r="QS122" s="47"/>
      <c r="QT122" s="47"/>
      <c r="QU122" s="47"/>
      <c r="QV122" s="47"/>
      <c r="QW122" s="47"/>
      <c r="QX122" s="47"/>
      <c r="QY122" s="47"/>
      <c r="QZ122" s="47"/>
      <c r="RA122" s="47"/>
      <c r="RB122" s="47"/>
      <c r="RC122" s="47"/>
      <c r="RD122" s="47"/>
      <c r="RE122" s="47"/>
      <c r="RF122" s="47"/>
      <c r="RG122" s="47"/>
      <c r="RH122" s="47"/>
      <c r="RI122" s="47"/>
      <c r="RJ122" s="47"/>
      <c r="RK122" s="47"/>
      <c r="RL122" s="47"/>
      <c r="RM122" s="47"/>
      <c r="RN122" s="47"/>
      <c r="RO122" s="47"/>
      <c r="RP122" s="47"/>
      <c r="RQ122" s="47"/>
      <c r="RR122" s="47"/>
      <c r="RS122" s="47"/>
      <c r="RT122" s="47"/>
      <c r="RU122" s="47"/>
      <c r="RV122" s="47"/>
      <c r="RW122" s="47"/>
      <c r="RX122" s="47"/>
      <c r="RY122" s="47"/>
      <c r="RZ122" s="47"/>
      <c r="SA122" s="47"/>
      <c r="SB122" s="47"/>
      <c r="SC122" s="47"/>
      <c r="SD122" s="47"/>
      <c r="SE122" s="47"/>
      <c r="SF122" s="47"/>
      <c r="SG122" s="47"/>
      <c r="SH122" s="47"/>
      <c r="SI122" s="47"/>
      <c r="SJ122" s="47"/>
      <c r="SK122" s="47"/>
      <c r="SL122" s="47"/>
      <c r="SM122" s="47"/>
      <c r="SN122" s="47"/>
      <c r="SO122" s="47"/>
      <c r="SP122" s="47"/>
      <c r="SQ122" s="47"/>
      <c r="SR122" s="47"/>
      <c r="SS122" s="47"/>
      <c r="ST122" s="47"/>
      <c r="SU122" s="47"/>
      <c r="SV122" s="47"/>
      <c r="SW122" s="47"/>
      <c r="SX122" s="47"/>
      <c r="SY122" s="47"/>
      <c r="SZ122" s="47"/>
      <c r="TA122" s="47"/>
      <c r="TB122" s="47"/>
      <c r="TC122" s="47"/>
      <c r="TD122" s="47"/>
      <c r="TE122" s="47"/>
      <c r="TF122" s="47"/>
      <c r="TG122" s="47"/>
      <c r="TH122" s="47"/>
      <c r="TI122" s="47"/>
      <c r="TJ122" s="47"/>
      <c r="TK122" s="47"/>
      <c r="TL122" s="47"/>
      <c r="TM122" s="47"/>
      <c r="TN122" s="47"/>
      <c r="TO122" s="47"/>
      <c r="TP122" s="47"/>
      <c r="TQ122" s="47"/>
      <c r="TR122" s="47"/>
      <c r="TS122" s="47"/>
      <c r="TT122" s="47"/>
      <c r="TU122" s="47"/>
      <c r="TV122" s="47"/>
      <c r="TW122" s="47"/>
      <c r="TX122" s="47"/>
      <c r="TY122" s="47"/>
      <c r="TZ122" s="47"/>
      <c r="UA122" s="47"/>
      <c r="UB122" s="47"/>
      <c r="UC122" s="47"/>
      <c r="UD122" s="47"/>
      <c r="UE122" s="47"/>
      <c r="UF122" s="47"/>
      <c r="UG122" s="47"/>
      <c r="UH122" s="47"/>
      <c r="UI122" s="47"/>
      <c r="UJ122" s="47"/>
      <c r="UK122" s="47"/>
      <c r="UL122" s="47"/>
      <c r="UM122" s="47"/>
      <c r="UN122" s="47"/>
      <c r="UO122" s="47"/>
      <c r="UP122" s="47"/>
      <c r="UQ122" s="47"/>
      <c r="UR122" s="47"/>
      <c r="US122" s="47"/>
      <c r="UT122" s="47"/>
      <c r="UU122" s="47"/>
      <c r="UV122" s="47"/>
      <c r="UW122" s="47"/>
      <c r="UX122" s="47"/>
      <c r="UY122" s="47"/>
      <c r="UZ122" s="47"/>
      <c r="VA122" s="47"/>
      <c r="VB122" s="47"/>
      <c r="VC122" s="47"/>
      <c r="VD122" s="47"/>
      <c r="VE122" s="47"/>
      <c r="VF122" s="47"/>
      <c r="VG122" s="47"/>
      <c r="VH122" s="47"/>
      <c r="VI122" s="47"/>
      <c r="VJ122" s="47"/>
      <c r="VK122" s="47"/>
      <c r="VL122" s="47"/>
      <c r="VM122" s="47"/>
      <c r="VN122" s="47"/>
      <c r="VO122" s="47"/>
      <c r="VP122" s="47"/>
      <c r="VQ122" s="47"/>
      <c r="VR122" s="47"/>
      <c r="VS122" s="47"/>
      <c r="VT122" s="47"/>
      <c r="VU122" s="47"/>
      <c r="VV122" s="47"/>
      <c r="VW122" s="47"/>
      <c r="VX122" s="47"/>
      <c r="VY122" s="47"/>
      <c r="VZ122" s="47"/>
      <c r="WA122" s="47"/>
      <c r="WB122" s="47"/>
      <c r="WC122" s="47"/>
      <c r="WD122" s="47"/>
      <c r="WE122" s="47"/>
      <c r="WF122" s="47"/>
      <c r="WG122" s="47"/>
      <c r="WH122" s="47"/>
      <c r="WI122" s="47"/>
      <c r="WJ122" s="47"/>
      <c r="WK122" s="47"/>
      <c r="WL122" s="47"/>
      <c r="WM122" s="47"/>
      <c r="WN122" s="47"/>
      <c r="WO122" s="47"/>
      <c r="WP122" s="47"/>
      <c r="WQ122" s="47"/>
      <c r="WR122" s="47"/>
      <c r="WS122" s="47"/>
      <c r="WT122" s="47"/>
      <c r="WU122" s="47"/>
      <c r="WV122" s="47"/>
      <c r="WW122" s="47"/>
      <c r="WX122" s="47"/>
      <c r="WY122" s="47"/>
      <c r="WZ122" s="47"/>
      <c r="XA122" s="47"/>
      <c r="XB122" s="47"/>
      <c r="XC122" s="47"/>
      <c r="XD122" s="47"/>
      <c r="XE122" s="47"/>
      <c r="XF122" s="47"/>
      <c r="XG122" s="47"/>
      <c r="XH122" s="47"/>
      <c r="XI122" s="47"/>
      <c r="XJ122" s="47"/>
      <c r="XK122" s="47"/>
      <c r="XL122" s="47"/>
      <c r="XM122" s="47"/>
      <c r="XN122" s="47"/>
      <c r="XO122" s="47"/>
      <c r="XP122" s="47"/>
      <c r="XQ122" s="47"/>
      <c r="XR122" s="47"/>
      <c r="XS122" s="47"/>
      <c r="XT122" s="47"/>
      <c r="XU122" s="47"/>
      <c r="XV122" s="47"/>
      <c r="XW122" s="47"/>
      <c r="XX122" s="47"/>
      <c r="XY122" s="47"/>
      <c r="XZ122" s="47"/>
      <c r="YA122" s="47"/>
      <c r="YB122" s="47"/>
      <c r="YC122" s="47"/>
      <c r="YD122" s="47"/>
      <c r="YE122" s="47"/>
      <c r="YF122" s="47"/>
      <c r="YG122" s="47"/>
      <c r="YH122" s="47"/>
      <c r="YI122" s="47"/>
      <c r="YJ122" s="47"/>
      <c r="YK122" s="47"/>
      <c r="YL122" s="47"/>
      <c r="YM122" s="47"/>
      <c r="YN122" s="47"/>
      <c r="YO122" s="47"/>
      <c r="YP122" s="47"/>
      <c r="YQ122" s="47"/>
      <c r="YR122" s="47"/>
      <c r="YS122" s="47"/>
      <c r="YT122" s="47"/>
      <c r="YU122" s="47"/>
      <c r="YV122" s="47"/>
      <c r="YW122" s="47"/>
      <c r="YX122" s="47"/>
      <c r="YY122" s="47"/>
      <c r="YZ122" s="47"/>
      <c r="ZA122" s="47"/>
      <c r="ZB122" s="47"/>
      <c r="ZC122" s="47"/>
      <c r="ZD122" s="47"/>
      <c r="ZE122" s="47"/>
      <c r="ZF122" s="47"/>
      <c r="ZG122" s="47"/>
      <c r="ZH122" s="47"/>
      <c r="ZI122" s="47"/>
      <c r="ZJ122" s="47"/>
      <c r="ZK122" s="47"/>
      <c r="ZL122" s="47"/>
      <c r="ZM122" s="47"/>
      <c r="ZN122" s="47"/>
      <c r="ZO122" s="47"/>
      <c r="ZP122" s="47"/>
      <c r="ZQ122" s="47"/>
      <c r="ZR122" s="47"/>
      <c r="ZS122" s="47"/>
      <c r="ZT122" s="47"/>
      <c r="ZU122" s="47"/>
      <c r="ZV122" s="47"/>
      <c r="ZW122" s="47"/>
      <c r="ZX122" s="47"/>
      <c r="ZY122" s="47"/>
      <c r="ZZ122" s="47"/>
      <c r="AAA122" s="47"/>
      <c r="AAB122" s="47"/>
      <c r="AAC122" s="47"/>
      <c r="AAD122" s="47"/>
      <c r="AAE122" s="47"/>
      <c r="AAF122" s="47"/>
      <c r="AAG122" s="47"/>
      <c r="AAH122" s="47"/>
      <c r="AAI122" s="47"/>
      <c r="AAJ122" s="47"/>
      <c r="AAK122" s="47"/>
      <c r="AAL122" s="47"/>
      <c r="AAM122" s="47"/>
      <c r="AAN122" s="47"/>
      <c r="AAO122" s="47"/>
      <c r="AAP122" s="47"/>
      <c r="AAQ122" s="47"/>
      <c r="AAR122" s="47"/>
      <c r="AAS122" s="47"/>
      <c r="AAT122" s="47"/>
      <c r="AAU122" s="47"/>
      <c r="AAV122" s="47"/>
      <c r="AAW122" s="47"/>
      <c r="AAX122" s="47"/>
      <c r="AAY122" s="47"/>
      <c r="AAZ122" s="47"/>
      <c r="ABA122" s="47"/>
      <c r="ABB122" s="47"/>
      <c r="ABC122" s="47"/>
      <c r="ABD122" s="47"/>
      <c r="ABE122" s="47"/>
      <c r="ABF122" s="47"/>
      <c r="ABG122" s="47"/>
      <c r="ABH122" s="47"/>
      <c r="ABI122" s="47"/>
      <c r="ABJ122" s="47"/>
      <c r="ABK122" s="47"/>
      <c r="ABL122" s="47"/>
      <c r="ABM122" s="47"/>
      <c r="ABN122" s="47"/>
      <c r="ABO122" s="47"/>
      <c r="ABP122" s="47"/>
      <c r="ABQ122" s="47"/>
      <c r="ABR122" s="47"/>
      <c r="ABS122" s="47"/>
      <c r="ABT122" s="47"/>
      <c r="ABU122" s="47"/>
      <c r="ABV122" s="47"/>
      <c r="ABW122" s="47"/>
      <c r="ABX122" s="47"/>
      <c r="ABY122" s="47"/>
      <c r="ABZ122" s="47"/>
      <c r="ACA122" s="47"/>
      <c r="ACB122" s="47"/>
      <c r="ACC122" s="47"/>
      <c r="ACD122" s="47"/>
      <c r="ACE122" s="47"/>
      <c r="ACF122" s="47"/>
      <c r="ACG122" s="47"/>
      <c r="ACH122" s="47"/>
      <c r="ACI122" s="47"/>
      <c r="ACJ122" s="47"/>
      <c r="ACK122" s="47"/>
      <c r="ACL122" s="47"/>
      <c r="ACM122" s="47"/>
      <c r="ACN122" s="47"/>
      <c r="ACO122" s="47"/>
      <c r="ACP122" s="47"/>
      <c r="ACQ122" s="47"/>
      <c r="ACR122" s="47"/>
      <c r="ACS122" s="47"/>
      <c r="ACT122" s="47"/>
      <c r="ACU122" s="47"/>
      <c r="ACV122" s="47"/>
      <c r="ACW122" s="47"/>
      <c r="ACX122" s="47"/>
      <c r="ACY122" s="47"/>
      <c r="ACZ122" s="47"/>
      <c r="ADA122" s="47"/>
      <c r="ADB122" s="47"/>
      <c r="ADC122" s="47"/>
      <c r="ADD122" s="47"/>
      <c r="ADE122" s="47"/>
      <c r="ADF122" s="47"/>
      <c r="ADG122" s="47"/>
      <c r="ADH122" s="47"/>
      <c r="ADI122" s="47"/>
      <c r="ADJ122" s="47"/>
      <c r="ADK122" s="47"/>
      <c r="ADL122" s="47"/>
      <c r="ADM122" s="47"/>
      <c r="ADN122" s="47"/>
      <c r="ADO122" s="47"/>
      <c r="ADP122" s="47"/>
      <c r="ADQ122" s="47"/>
      <c r="ADR122" s="47"/>
      <c r="ADS122" s="47"/>
      <c r="ADT122" s="47"/>
      <c r="ADU122" s="47"/>
      <c r="ADV122" s="47"/>
      <c r="ADW122" s="47"/>
      <c r="ADX122" s="47"/>
      <c r="ADY122" s="47"/>
      <c r="ADZ122" s="47"/>
      <c r="AEA122" s="47"/>
      <c r="AEB122" s="47"/>
      <c r="AEC122" s="47"/>
      <c r="AED122" s="47"/>
      <c r="AEE122" s="47"/>
      <c r="AEF122" s="47"/>
      <c r="AEG122" s="47"/>
      <c r="AEH122" s="47"/>
      <c r="AEI122" s="47"/>
      <c r="AEJ122" s="47"/>
      <c r="AEK122" s="47"/>
      <c r="AEL122" s="47"/>
      <c r="AEM122" s="47"/>
      <c r="AEN122" s="47"/>
      <c r="AEO122" s="47"/>
      <c r="AEP122" s="47"/>
      <c r="AEQ122" s="47"/>
      <c r="AER122" s="47"/>
      <c r="AES122" s="47"/>
      <c r="AET122" s="47"/>
      <c r="AEU122" s="47"/>
      <c r="AEV122" s="47"/>
      <c r="AEW122" s="47"/>
      <c r="AEX122" s="47"/>
      <c r="AEY122" s="47"/>
      <c r="AEZ122" s="47"/>
      <c r="AFA122" s="47"/>
      <c r="AFB122" s="47"/>
      <c r="AFC122" s="47"/>
      <c r="AFD122" s="47"/>
      <c r="AFE122" s="47"/>
      <c r="AFF122" s="47"/>
      <c r="AFG122" s="47"/>
      <c r="AFH122" s="47"/>
      <c r="AFI122" s="47"/>
      <c r="AFJ122" s="47"/>
      <c r="AFK122" s="47"/>
      <c r="AFL122" s="47"/>
      <c r="AFM122" s="47"/>
      <c r="AFN122" s="47"/>
      <c r="AFO122" s="47"/>
      <c r="AFP122" s="47"/>
      <c r="AFQ122" s="47"/>
      <c r="AFR122" s="47"/>
      <c r="AFS122" s="47"/>
      <c r="AFT122" s="47"/>
      <c r="AFU122" s="47"/>
      <c r="AFV122" s="47"/>
      <c r="AFW122" s="47"/>
      <c r="AFX122" s="47"/>
      <c r="AFY122" s="47"/>
      <c r="AFZ122" s="47"/>
      <c r="AGA122" s="47"/>
      <c r="AGB122" s="47"/>
      <c r="AGC122" s="47"/>
      <c r="AGD122" s="47"/>
      <c r="AGE122" s="47"/>
      <c r="AGF122" s="47"/>
      <c r="AGG122" s="47"/>
      <c r="AGH122" s="47"/>
      <c r="AGI122" s="47"/>
      <c r="AGJ122" s="47"/>
      <c r="AGK122" s="47"/>
      <c r="AGL122" s="47"/>
      <c r="AGM122" s="47"/>
      <c r="AGN122" s="47"/>
      <c r="AGO122" s="47"/>
      <c r="AGP122" s="47"/>
      <c r="AGQ122" s="47"/>
      <c r="AGR122" s="47"/>
      <c r="AGS122" s="47"/>
      <c r="AGT122" s="47"/>
      <c r="AGU122" s="47"/>
      <c r="AGV122" s="47"/>
      <c r="AGW122" s="47"/>
      <c r="AGX122" s="47"/>
      <c r="AGY122" s="47"/>
      <c r="AGZ122" s="47"/>
      <c r="AHA122" s="47"/>
      <c r="AHB122" s="47"/>
      <c r="AHC122" s="47"/>
      <c r="AHD122" s="47"/>
      <c r="AHE122" s="47"/>
      <c r="AHF122" s="47"/>
      <c r="AHG122" s="47"/>
      <c r="AHH122" s="47"/>
      <c r="AHI122" s="47"/>
      <c r="AHJ122" s="47"/>
      <c r="AHK122" s="47"/>
      <c r="AHL122" s="47"/>
      <c r="AHM122" s="47"/>
      <c r="AHN122" s="47"/>
      <c r="AHO122" s="47"/>
      <c r="AHP122" s="47"/>
      <c r="AHQ122" s="47"/>
      <c r="AHR122" s="47"/>
      <c r="AHS122" s="47"/>
      <c r="AHT122" s="47"/>
      <c r="AHU122" s="47"/>
      <c r="AHV122" s="47"/>
      <c r="AHW122" s="47"/>
      <c r="AHX122" s="47"/>
      <c r="AHY122" s="47"/>
      <c r="AHZ122" s="47"/>
      <c r="AIA122" s="47"/>
      <c r="AIB122" s="47"/>
      <c r="AIC122" s="47"/>
      <c r="AID122" s="47"/>
      <c r="AIE122" s="47"/>
      <c r="AIF122" s="47"/>
      <c r="AIG122" s="47"/>
      <c r="AIH122" s="47"/>
      <c r="AII122" s="47"/>
      <c r="AIJ122" s="47"/>
      <c r="AIK122" s="47"/>
      <c r="AIL122" s="47"/>
      <c r="AIM122" s="47"/>
      <c r="AIN122" s="47"/>
      <c r="AIO122" s="47"/>
      <c r="AIP122" s="47"/>
      <c r="AIQ122" s="47"/>
      <c r="AIR122" s="47"/>
      <c r="AIS122" s="47"/>
      <c r="AIT122" s="47"/>
      <c r="AIU122" s="47"/>
      <c r="AIV122" s="47"/>
      <c r="AIW122" s="47"/>
      <c r="AIX122" s="47"/>
      <c r="AIY122" s="47"/>
      <c r="AIZ122" s="47"/>
      <c r="AJA122" s="47"/>
      <c r="AJB122" s="47"/>
      <c r="AJC122" s="47"/>
      <c r="AJD122" s="47"/>
      <c r="AJE122" s="47"/>
      <c r="AJF122" s="47"/>
      <c r="AJG122" s="47"/>
      <c r="AJH122" s="47"/>
      <c r="AJI122" s="47"/>
      <c r="AJJ122" s="47"/>
      <c r="AJK122" s="47"/>
      <c r="AJL122" s="47"/>
      <c r="AJM122" s="47"/>
      <c r="AJN122" s="47"/>
      <c r="AJO122" s="47"/>
      <c r="AJP122" s="47"/>
      <c r="AJQ122" s="47"/>
      <c r="AJR122" s="47"/>
      <c r="AJS122" s="47"/>
      <c r="AJT122" s="47"/>
      <c r="AJU122" s="47"/>
      <c r="AJV122" s="47"/>
      <c r="AJW122" s="47"/>
      <c r="AJX122" s="47"/>
      <c r="AJY122" s="47"/>
      <c r="AJZ122" s="47"/>
      <c r="AKA122" s="47"/>
      <c r="AKB122" s="47"/>
      <c r="AKC122" s="47"/>
      <c r="AKD122" s="47"/>
      <c r="AKE122" s="47"/>
      <c r="AKF122" s="47"/>
      <c r="AKG122" s="47"/>
      <c r="AKH122" s="47"/>
      <c r="AKI122" s="47"/>
      <c r="AKJ122" s="47"/>
      <c r="AKK122" s="47"/>
      <c r="AKL122" s="47"/>
      <c r="AKM122" s="47"/>
      <c r="AKN122" s="47"/>
      <c r="AKO122" s="47"/>
      <c r="AKP122" s="47"/>
      <c r="AKQ122" s="47"/>
      <c r="AKR122" s="47"/>
      <c r="AKS122" s="47"/>
      <c r="AKT122" s="47"/>
      <c r="AKU122" s="47"/>
      <c r="AKV122" s="47"/>
      <c r="AKW122" s="47"/>
      <c r="AKX122" s="47"/>
      <c r="AKY122" s="47"/>
      <c r="AKZ122" s="47"/>
      <c r="ALA122" s="47"/>
      <c r="ALB122" s="47"/>
      <c r="ALC122" s="47"/>
      <c r="ALD122" s="47"/>
      <c r="ALE122" s="47"/>
      <c r="ALF122" s="47"/>
      <c r="ALG122" s="47"/>
      <c r="ALH122" s="47"/>
      <c r="ALI122" s="47"/>
      <c r="ALJ122" s="47"/>
      <c r="ALK122" s="47"/>
      <c r="ALL122" s="47"/>
      <c r="ALM122" s="47"/>
      <c r="ALN122" s="47"/>
      <c r="ALO122" s="47"/>
      <c r="ALP122" s="47"/>
      <c r="ALQ122" s="47"/>
      <c r="ALR122" s="47"/>
      <c r="ALS122" s="47"/>
      <c r="ALT122" s="47"/>
      <c r="ALU122" s="47"/>
      <c r="ALV122" s="47"/>
      <c r="ALW122" s="47"/>
      <c r="ALX122" s="47"/>
      <c r="ALY122" s="47"/>
      <c r="ALZ122" s="47"/>
      <c r="AMA122" s="47"/>
      <c r="AMB122" s="47"/>
      <c r="AMC122" s="47"/>
      <c r="AMD122" s="47"/>
      <c r="AME122" s="47"/>
      <c r="AMF122" s="47"/>
      <c r="AMG122" s="47"/>
      <c r="AMH122" s="47"/>
      <c r="AMI122" s="47"/>
      <c r="AMJ122" s="47"/>
      <c r="AMK122" s="47"/>
      <c r="AML122" s="47"/>
      <c r="AMM122" s="47"/>
      <c r="AMN122" s="47"/>
      <c r="AMO122" s="47"/>
      <c r="AMP122" s="47"/>
      <c r="AMQ122" s="47"/>
      <c r="AMR122" s="47"/>
      <c r="AMS122" s="47"/>
      <c r="AMT122" s="47"/>
      <c r="AMU122" s="47"/>
      <c r="AMV122" s="47"/>
      <c r="AMW122" s="47"/>
      <c r="AMX122" s="47"/>
      <c r="AMY122" s="47"/>
      <c r="AMZ122" s="47"/>
      <c r="ANA122" s="47"/>
      <c r="ANB122" s="47"/>
      <c r="ANC122" s="47"/>
      <c r="AND122" s="47"/>
      <c r="ANE122" s="47"/>
      <c r="ANF122" s="47"/>
      <c r="ANG122" s="47"/>
      <c r="ANH122" s="47"/>
      <c r="ANI122" s="47"/>
      <c r="ANJ122" s="47"/>
      <c r="ANK122" s="47"/>
      <c r="ANL122" s="47"/>
      <c r="ANM122" s="47"/>
      <c r="ANN122" s="47"/>
      <c r="ANO122" s="47"/>
      <c r="ANP122" s="47"/>
      <c r="ANQ122" s="47"/>
      <c r="ANR122" s="47"/>
      <c r="ANS122" s="47"/>
      <c r="ANT122" s="47"/>
      <c r="ANU122" s="47"/>
      <c r="ANV122" s="47"/>
      <c r="ANW122" s="47"/>
      <c r="ANX122" s="47"/>
      <c r="ANY122" s="47"/>
      <c r="ANZ122" s="47"/>
      <c r="AOA122" s="47"/>
      <c r="AOB122" s="47"/>
      <c r="AOC122" s="47"/>
      <c r="AOD122" s="47"/>
      <c r="AOE122" s="47"/>
      <c r="AOF122" s="47"/>
      <c r="AOG122" s="47"/>
      <c r="AOH122" s="47"/>
      <c r="AOI122" s="47"/>
      <c r="AOJ122" s="47"/>
      <c r="AOK122" s="47"/>
      <c r="AOL122" s="47"/>
      <c r="AOM122" s="47"/>
      <c r="AON122" s="47"/>
      <c r="AOO122" s="47"/>
      <c r="AOP122" s="47"/>
      <c r="AOQ122" s="47"/>
      <c r="AOR122" s="47"/>
      <c r="AOS122" s="47"/>
      <c r="AOT122" s="47"/>
      <c r="AOU122" s="47"/>
      <c r="AOV122" s="47"/>
      <c r="AOW122" s="47"/>
      <c r="AOX122" s="47"/>
      <c r="AOY122" s="47"/>
      <c r="AOZ122" s="47"/>
      <c r="APA122" s="47"/>
      <c r="APB122" s="47"/>
      <c r="APC122" s="47"/>
      <c r="APD122" s="47"/>
      <c r="APE122" s="47"/>
      <c r="APF122" s="47"/>
      <c r="APG122" s="47"/>
      <c r="APH122" s="47"/>
      <c r="API122" s="47"/>
      <c r="APJ122" s="47"/>
      <c r="APK122" s="47"/>
      <c r="APL122" s="47"/>
      <c r="APM122" s="47"/>
      <c r="APN122" s="47"/>
      <c r="APO122" s="47"/>
      <c r="APP122" s="47"/>
      <c r="APQ122" s="47"/>
      <c r="APR122" s="47"/>
      <c r="APS122" s="47"/>
      <c r="APT122" s="47"/>
      <c r="APU122" s="47"/>
      <c r="APV122" s="47"/>
      <c r="APW122" s="47"/>
      <c r="APX122" s="47"/>
      <c r="APY122" s="47"/>
      <c r="APZ122" s="47"/>
      <c r="AQA122" s="47"/>
      <c r="AQB122" s="47"/>
      <c r="AQC122" s="47"/>
      <c r="AQD122" s="47"/>
      <c r="AQE122" s="47"/>
      <c r="AQF122" s="47"/>
      <c r="AQG122" s="47"/>
      <c r="AQH122" s="47"/>
      <c r="AQI122" s="47"/>
      <c r="AQJ122" s="47"/>
      <c r="AQK122" s="47"/>
      <c r="AQL122" s="47"/>
      <c r="AQM122" s="47"/>
      <c r="AQN122" s="47"/>
      <c r="AQO122" s="47"/>
      <c r="AQP122" s="47"/>
      <c r="AQQ122" s="47"/>
      <c r="AQR122" s="47"/>
      <c r="AQS122" s="47"/>
      <c r="AQT122" s="47"/>
      <c r="AQU122" s="47"/>
      <c r="AQV122" s="47"/>
      <c r="AQW122" s="47"/>
      <c r="AQX122" s="47"/>
      <c r="AQY122" s="47"/>
      <c r="AQZ122" s="47"/>
      <c r="ARA122" s="47"/>
      <c r="ARB122" s="47"/>
      <c r="ARC122" s="47"/>
      <c r="ARD122" s="47"/>
      <c r="ARE122" s="47"/>
      <c r="ARF122" s="47"/>
      <c r="ARG122" s="47"/>
      <c r="ARH122" s="47"/>
      <c r="ARI122" s="47"/>
      <c r="ARJ122" s="47"/>
      <c r="ARK122" s="47"/>
      <c r="ARL122" s="47"/>
      <c r="ARM122" s="47"/>
      <c r="ARN122" s="47"/>
      <c r="ARO122" s="47"/>
      <c r="ARP122" s="47"/>
      <c r="ARQ122" s="47"/>
      <c r="ARR122" s="47"/>
      <c r="ARS122" s="47"/>
      <c r="ART122" s="47"/>
      <c r="ARU122" s="47"/>
      <c r="ARV122" s="47"/>
      <c r="ARW122" s="47"/>
      <c r="ARX122" s="47"/>
      <c r="ARY122" s="47"/>
      <c r="ARZ122" s="47"/>
      <c r="ASA122" s="47"/>
      <c r="ASB122" s="47"/>
      <c r="ASC122" s="47"/>
      <c r="ASD122" s="47"/>
      <c r="ASE122" s="47"/>
      <c r="ASF122" s="47"/>
      <c r="ASG122" s="47"/>
      <c r="ASH122" s="47"/>
      <c r="ASI122" s="47"/>
      <c r="ASJ122" s="47"/>
      <c r="ASK122" s="47"/>
      <c r="ASL122" s="47"/>
      <c r="ASM122" s="47"/>
      <c r="ASN122" s="47"/>
      <c r="ASO122" s="47"/>
      <c r="ASP122" s="47"/>
      <c r="ASQ122" s="47"/>
      <c r="ASR122" s="47"/>
      <c r="ASS122" s="47"/>
      <c r="AST122" s="47"/>
      <c r="ASU122" s="47"/>
      <c r="ASV122" s="47"/>
      <c r="ASW122" s="47"/>
      <c r="ASX122" s="47"/>
      <c r="ASY122" s="47"/>
      <c r="ASZ122" s="47"/>
      <c r="ATA122" s="47"/>
      <c r="ATB122" s="47"/>
      <c r="ATC122" s="47"/>
      <c r="ATD122" s="47"/>
      <c r="ATE122" s="47"/>
      <c r="ATF122" s="47"/>
      <c r="ATG122" s="47"/>
      <c r="ATH122" s="47"/>
      <c r="ATI122" s="47"/>
      <c r="ATJ122" s="47"/>
      <c r="ATK122" s="47"/>
      <c r="ATL122" s="47"/>
      <c r="ATM122" s="47"/>
      <c r="ATN122" s="47"/>
      <c r="ATO122" s="47"/>
      <c r="ATP122" s="47"/>
      <c r="ATQ122" s="47"/>
      <c r="ATR122" s="47"/>
      <c r="ATS122" s="47"/>
      <c r="ATT122" s="47"/>
      <c r="ATU122" s="47"/>
      <c r="ATV122" s="47"/>
      <c r="ATW122" s="47"/>
      <c r="ATX122" s="47"/>
      <c r="ATY122" s="47"/>
      <c r="ATZ122" s="47"/>
      <c r="AUA122" s="47"/>
      <c r="AUB122" s="47"/>
      <c r="AUC122" s="47"/>
      <c r="AUD122" s="47"/>
      <c r="AUE122" s="47"/>
      <c r="AUF122" s="47"/>
      <c r="AUG122" s="47"/>
      <c r="AUH122" s="47"/>
      <c r="AUI122" s="47"/>
      <c r="AUJ122" s="47"/>
      <c r="AUK122" s="47"/>
      <c r="AUL122" s="47"/>
      <c r="AUM122" s="47"/>
      <c r="AUN122" s="47"/>
      <c r="AUO122" s="47"/>
      <c r="AUP122" s="47"/>
      <c r="AUQ122" s="47"/>
      <c r="AUR122" s="47"/>
      <c r="AUS122" s="47"/>
      <c r="AUT122" s="47"/>
      <c r="AUU122" s="47"/>
      <c r="AUV122" s="47"/>
      <c r="AUW122" s="47"/>
      <c r="AUX122" s="47"/>
      <c r="AUY122" s="47"/>
      <c r="AUZ122" s="47"/>
      <c r="AVA122" s="47"/>
      <c r="AVB122" s="47"/>
      <c r="AVC122" s="47"/>
      <c r="AVD122" s="47"/>
      <c r="AVE122" s="47"/>
      <c r="AVF122" s="47"/>
      <c r="AVG122" s="47"/>
      <c r="AVH122" s="47"/>
      <c r="AVI122" s="47"/>
      <c r="AVJ122" s="47"/>
      <c r="AVK122" s="47"/>
      <c r="AVL122" s="47"/>
      <c r="AVM122" s="47"/>
      <c r="AVN122" s="47"/>
      <c r="AVO122" s="47"/>
      <c r="AVP122" s="47"/>
      <c r="AVQ122" s="47"/>
      <c r="AVR122" s="47"/>
      <c r="AVS122" s="47"/>
      <c r="AVT122" s="47"/>
      <c r="AVU122" s="47"/>
      <c r="AVV122" s="47"/>
      <c r="AVW122" s="47"/>
      <c r="AVX122" s="47"/>
      <c r="AVY122" s="47"/>
      <c r="AVZ122" s="47"/>
      <c r="AWA122" s="47"/>
      <c r="AWB122" s="47"/>
      <c r="AWC122" s="47"/>
      <c r="AWD122" s="47"/>
      <c r="AWE122" s="47"/>
      <c r="AWF122" s="47"/>
      <c r="AWG122" s="47"/>
      <c r="AWH122" s="47"/>
      <c r="AWI122" s="47"/>
      <c r="AWJ122" s="47"/>
      <c r="AWK122" s="47"/>
      <c r="AWL122" s="47"/>
      <c r="AWM122" s="47"/>
      <c r="AWN122" s="47"/>
      <c r="AWO122" s="47"/>
      <c r="AWP122" s="47"/>
      <c r="AWQ122" s="47"/>
      <c r="AWR122" s="47"/>
      <c r="AWS122" s="47"/>
      <c r="AWT122" s="47"/>
      <c r="AWU122" s="47"/>
      <c r="AWV122" s="47"/>
      <c r="AWW122" s="47"/>
      <c r="AWX122" s="47"/>
      <c r="AWY122" s="47"/>
      <c r="AWZ122" s="47"/>
      <c r="AXA122" s="47"/>
      <c r="AXB122" s="47"/>
      <c r="AXC122" s="47"/>
      <c r="AXD122" s="47"/>
      <c r="AXE122" s="47"/>
      <c r="AXF122" s="47"/>
      <c r="AXG122" s="47"/>
      <c r="AXH122" s="47"/>
      <c r="AXI122" s="47"/>
      <c r="AXJ122" s="47"/>
      <c r="AXK122" s="47"/>
      <c r="AXL122" s="47"/>
      <c r="AXM122" s="47"/>
      <c r="AXN122" s="47"/>
      <c r="AXO122" s="47"/>
      <c r="AXP122" s="47"/>
      <c r="AXQ122" s="47"/>
      <c r="AXR122" s="47"/>
      <c r="AXS122" s="47"/>
      <c r="AXT122" s="47"/>
      <c r="AXU122" s="47"/>
      <c r="AXV122" s="47"/>
      <c r="AXW122" s="47"/>
      <c r="AXX122" s="47"/>
      <c r="AXY122" s="47"/>
      <c r="AXZ122" s="47"/>
      <c r="AYA122" s="47"/>
      <c r="AYB122" s="47"/>
      <c r="AYC122" s="47"/>
      <c r="AYD122" s="47"/>
      <c r="AYE122" s="47"/>
      <c r="AYF122" s="47"/>
      <c r="AYG122" s="47"/>
      <c r="AYH122" s="47"/>
      <c r="AYI122" s="47"/>
      <c r="AYJ122" s="47"/>
      <c r="AYK122" s="47"/>
      <c r="AYL122" s="47"/>
      <c r="AYM122" s="47"/>
      <c r="AYN122" s="47"/>
      <c r="AYO122" s="47"/>
      <c r="AYP122" s="47"/>
      <c r="AYQ122" s="47"/>
      <c r="AYR122" s="47"/>
      <c r="AYS122" s="47"/>
      <c r="AYT122" s="47"/>
      <c r="AYU122" s="47"/>
      <c r="AYV122" s="47"/>
      <c r="AYW122" s="47"/>
      <c r="AYX122" s="47"/>
      <c r="AYY122" s="47"/>
      <c r="AYZ122" s="47"/>
      <c r="AZA122" s="47"/>
      <c r="AZB122" s="47"/>
      <c r="AZC122" s="47"/>
      <c r="AZD122" s="47"/>
      <c r="AZE122" s="47"/>
      <c r="AZF122" s="47"/>
      <c r="AZG122" s="47"/>
      <c r="AZH122" s="47"/>
      <c r="AZI122" s="47"/>
      <c r="AZJ122" s="47"/>
      <c r="AZK122" s="47"/>
      <c r="AZL122" s="47"/>
      <c r="AZM122" s="47"/>
      <c r="AZN122" s="47"/>
      <c r="AZO122" s="47"/>
      <c r="AZP122" s="47"/>
      <c r="AZQ122" s="47"/>
      <c r="AZR122" s="47"/>
      <c r="AZS122" s="47"/>
      <c r="AZT122" s="47"/>
      <c r="AZU122" s="47"/>
      <c r="AZV122" s="47"/>
      <c r="AZW122" s="47"/>
      <c r="AZX122" s="47"/>
      <c r="AZY122" s="47"/>
      <c r="AZZ122" s="47"/>
      <c r="BAA122" s="47"/>
      <c r="BAB122" s="47"/>
      <c r="BAC122" s="47"/>
      <c r="BAD122" s="47"/>
      <c r="BAE122" s="47"/>
      <c r="BAF122" s="47"/>
      <c r="BAG122" s="47"/>
      <c r="BAH122" s="47"/>
      <c r="BAI122" s="47"/>
      <c r="BAJ122" s="47"/>
      <c r="BAK122" s="47"/>
      <c r="BAL122" s="47"/>
      <c r="BAM122" s="47"/>
      <c r="BAN122" s="47"/>
      <c r="BAO122" s="47"/>
      <c r="BAP122" s="47"/>
      <c r="BAQ122" s="47"/>
      <c r="BAR122" s="47"/>
      <c r="BAS122" s="47"/>
      <c r="BAT122" s="47"/>
      <c r="BAU122" s="47"/>
      <c r="BAV122" s="47"/>
      <c r="BAW122" s="47"/>
      <c r="BAX122" s="47"/>
      <c r="BAY122" s="47"/>
      <c r="BAZ122" s="47"/>
      <c r="BBA122" s="47"/>
      <c r="BBB122" s="47"/>
      <c r="BBC122" s="47"/>
      <c r="BBD122" s="47"/>
      <c r="BBE122" s="47"/>
      <c r="BBF122" s="47"/>
      <c r="BBG122" s="47"/>
      <c r="BBH122" s="47"/>
      <c r="BBI122" s="47"/>
      <c r="BBJ122" s="47"/>
      <c r="BBK122" s="47"/>
      <c r="BBL122" s="47"/>
      <c r="BBM122" s="47"/>
      <c r="BBN122" s="47"/>
      <c r="BBO122" s="47"/>
      <c r="BBP122" s="47"/>
      <c r="BBQ122" s="47"/>
      <c r="BBR122" s="47"/>
      <c r="BBS122" s="47"/>
      <c r="BBT122" s="47"/>
      <c r="BBU122" s="47"/>
      <c r="BBV122" s="47"/>
      <c r="BBW122" s="47"/>
      <c r="BBX122" s="47"/>
      <c r="BBY122" s="47"/>
      <c r="BBZ122" s="47"/>
      <c r="BCA122" s="47"/>
      <c r="BCB122" s="47"/>
      <c r="BCC122" s="47"/>
      <c r="BCD122" s="47"/>
      <c r="BCE122" s="47"/>
      <c r="BCF122" s="47"/>
      <c r="BCG122" s="47"/>
      <c r="BCH122" s="47"/>
      <c r="BCI122" s="47"/>
      <c r="BCJ122" s="47"/>
      <c r="BCK122" s="47"/>
      <c r="BCL122" s="47"/>
      <c r="BCM122" s="47"/>
      <c r="BCN122" s="47"/>
      <c r="BCO122" s="47"/>
      <c r="BCP122" s="47"/>
      <c r="BCQ122" s="47"/>
      <c r="BCR122" s="47"/>
      <c r="BCS122" s="47"/>
      <c r="BCT122" s="47"/>
      <c r="BCU122" s="47"/>
      <c r="BCV122" s="47"/>
      <c r="BCW122" s="47"/>
      <c r="BCX122" s="47"/>
      <c r="BCY122" s="47"/>
      <c r="BCZ122" s="47"/>
      <c r="BDA122" s="47"/>
      <c r="BDB122" s="47"/>
      <c r="BDC122" s="47"/>
      <c r="BDD122" s="47"/>
      <c r="BDE122" s="47"/>
      <c r="BDF122" s="47"/>
      <c r="BDG122" s="47"/>
      <c r="BDH122" s="47"/>
      <c r="BDI122" s="47"/>
      <c r="BDJ122" s="47"/>
      <c r="BDK122" s="47"/>
      <c r="BDL122" s="47"/>
      <c r="BDM122" s="47"/>
      <c r="BDN122" s="47"/>
      <c r="BDO122" s="47"/>
      <c r="BDP122" s="47"/>
      <c r="BDQ122" s="47"/>
      <c r="BDR122" s="47"/>
      <c r="BDS122" s="47"/>
      <c r="BDT122" s="47"/>
      <c r="BDU122" s="47"/>
      <c r="BDV122" s="47"/>
      <c r="BDW122" s="47"/>
      <c r="BDX122" s="47"/>
      <c r="BDY122" s="47"/>
      <c r="BDZ122" s="47"/>
      <c r="BEA122" s="47"/>
      <c r="BEB122" s="47"/>
      <c r="BEC122" s="47"/>
      <c r="BED122" s="47"/>
      <c r="BEE122" s="47"/>
      <c r="BEF122" s="47"/>
      <c r="BEG122" s="47"/>
      <c r="BEH122" s="47"/>
      <c r="BEI122" s="47"/>
      <c r="BEJ122" s="47"/>
      <c r="BEK122" s="47"/>
      <c r="BEL122" s="47"/>
      <c r="BEM122" s="47"/>
      <c r="BEN122" s="47"/>
      <c r="BEO122" s="47"/>
      <c r="BEP122" s="47"/>
      <c r="BEQ122" s="47"/>
      <c r="BER122" s="47"/>
      <c r="BES122" s="47"/>
      <c r="BET122" s="47"/>
      <c r="BEU122" s="47"/>
      <c r="BEV122" s="47"/>
      <c r="BEW122" s="47"/>
      <c r="BEX122" s="47"/>
      <c r="BEY122" s="47"/>
      <c r="BEZ122" s="47"/>
      <c r="BFA122" s="47"/>
      <c r="BFB122" s="47"/>
      <c r="BFC122" s="47"/>
      <c r="BFD122" s="47"/>
      <c r="BFE122" s="47"/>
      <c r="BFF122" s="47"/>
      <c r="BFG122" s="47"/>
      <c r="BFH122" s="47"/>
      <c r="BFI122" s="47"/>
      <c r="BFJ122" s="47"/>
      <c r="BFK122" s="47"/>
      <c r="BFL122" s="47"/>
      <c r="BFM122" s="47"/>
      <c r="BFN122" s="47"/>
      <c r="BFO122" s="47"/>
      <c r="BFP122" s="47"/>
      <c r="BFQ122" s="47"/>
      <c r="BFR122" s="47"/>
      <c r="BFS122" s="47"/>
      <c r="BFT122" s="47"/>
      <c r="BFU122" s="47"/>
      <c r="BFV122" s="47"/>
      <c r="BFW122" s="47"/>
      <c r="BFX122" s="47"/>
      <c r="BFY122" s="47"/>
      <c r="BFZ122" s="47"/>
      <c r="BGA122" s="47"/>
      <c r="BGB122" s="47"/>
      <c r="BGC122" s="47"/>
      <c r="BGD122" s="47"/>
      <c r="BGE122" s="47"/>
      <c r="BGF122" s="47"/>
      <c r="BGG122" s="47"/>
      <c r="BGH122" s="47"/>
      <c r="BGI122" s="47"/>
      <c r="BGJ122" s="47"/>
      <c r="BGK122" s="47"/>
      <c r="BGL122" s="47"/>
      <c r="BGM122" s="47"/>
      <c r="BGN122" s="47"/>
      <c r="BGO122" s="47"/>
      <c r="BGP122" s="47"/>
      <c r="BGQ122" s="47"/>
      <c r="BGR122" s="47"/>
      <c r="BGS122" s="47"/>
      <c r="BGT122" s="47"/>
      <c r="BGU122" s="47"/>
      <c r="BGV122" s="47"/>
      <c r="BGW122" s="47"/>
      <c r="BGX122" s="47"/>
      <c r="BGY122" s="47"/>
      <c r="BGZ122" s="47"/>
      <c r="BHA122" s="47"/>
      <c r="BHB122" s="47"/>
      <c r="BHC122" s="47"/>
      <c r="BHD122" s="47"/>
      <c r="BHE122" s="47"/>
      <c r="BHF122" s="47"/>
      <c r="BHG122" s="47"/>
      <c r="BHH122" s="47"/>
      <c r="BHI122" s="47"/>
      <c r="BHJ122" s="47"/>
      <c r="BHK122" s="47"/>
      <c r="BHL122" s="47"/>
      <c r="BHM122" s="47"/>
      <c r="BHN122" s="47"/>
      <c r="BHO122" s="47"/>
      <c r="BHP122" s="47"/>
      <c r="BHQ122" s="47"/>
      <c r="BHR122" s="47"/>
      <c r="BHS122" s="47"/>
      <c r="BHT122" s="47"/>
      <c r="BHU122" s="47"/>
      <c r="BHV122" s="47"/>
      <c r="BHW122" s="47"/>
      <c r="BHX122" s="47"/>
      <c r="BHY122" s="47"/>
      <c r="BHZ122" s="47"/>
      <c r="BIA122" s="47"/>
      <c r="BIB122" s="47"/>
      <c r="BIC122" s="47"/>
      <c r="BID122" s="47"/>
      <c r="BIE122" s="47"/>
      <c r="BIF122" s="47"/>
      <c r="BIG122" s="47"/>
      <c r="BIH122" s="47"/>
      <c r="BII122" s="47"/>
      <c r="BIJ122" s="47"/>
      <c r="BIK122" s="47"/>
      <c r="BIL122" s="47"/>
      <c r="BIM122" s="47"/>
      <c r="BIN122" s="47"/>
      <c r="BIO122" s="47"/>
      <c r="BIP122" s="47"/>
      <c r="BIQ122" s="47"/>
      <c r="BIR122" s="47"/>
      <c r="BIS122" s="47"/>
      <c r="BIT122" s="47"/>
      <c r="BIU122" s="47"/>
      <c r="BIV122" s="47"/>
      <c r="BIW122" s="47"/>
      <c r="BIX122" s="47"/>
      <c r="BIY122" s="47"/>
      <c r="BIZ122" s="47"/>
      <c r="BJA122" s="47"/>
      <c r="BJB122" s="47"/>
      <c r="BJC122" s="47"/>
      <c r="BJD122" s="47"/>
      <c r="BJE122" s="47"/>
      <c r="BJF122" s="47"/>
      <c r="BJG122" s="47"/>
      <c r="BJH122" s="47"/>
      <c r="BJI122" s="47"/>
      <c r="BJJ122" s="47"/>
      <c r="BJK122" s="47"/>
      <c r="BJL122" s="47"/>
      <c r="BJM122" s="47"/>
      <c r="BJN122" s="47"/>
      <c r="BJO122" s="47"/>
      <c r="BJP122" s="47"/>
      <c r="BJQ122" s="47"/>
      <c r="BJR122" s="47"/>
      <c r="BJS122" s="47"/>
      <c r="BJT122" s="47"/>
      <c r="BJU122" s="47"/>
      <c r="BJV122" s="47"/>
      <c r="BJW122" s="47"/>
      <c r="BJX122" s="47"/>
      <c r="BJY122" s="47"/>
      <c r="BJZ122" s="47"/>
      <c r="BKA122" s="47"/>
      <c r="BKB122" s="47"/>
      <c r="BKC122" s="47"/>
      <c r="BKD122" s="47"/>
      <c r="BKE122" s="47"/>
      <c r="BKF122" s="47"/>
      <c r="BKG122" s="47"/>
      <c r="BKH122" s="47"/>
      <c r="BKI122" s="47"/>
      <c r="BKJ122" s="47"/>
      <c r="BKK122" s="47"/>
      <c r="BKL122" s="47"/>
      <c r="BKM122" s="47"/>
      <c r="BKN122" s="47"/>
      <c r="BKO122" s="47"/>
      <c r="BKP122" s="47"/>
      <c r="BKQ122" s="47"/>
      <c r="BKR122" s="47"/>
      <c r="BKS122" s="47"/>
      <c r="BKT122" s="47"/>
      <c r="BKU122" s="47"/>
      <c r="BKV122" s="47"/>
      <c r="BKW122" s="47"/>
      <c r="BKX122" s="47"/>
      <c r="BKY122" s="47"/>
      <c r="BKZ122" s="47"/>
      <c r="BLA122" s="47"/>
      <c r="BLB122" s="47"/>
      <c r="BLC122" s="47"/>
      <c r="BLD122" s="47"/>
      <c r="BLE122" s="47"/>
      <c r="BLF122" s="47"/>
      <c r="BLG122" s="47"/>
      <c r="BLH122" s="47"/>
      <c r="BLI122" s="47"/>
      <c r="BLJ122" s="47"/>
      <c r="BLK122" s="47"/>
      <c r="BLL122" s="47"/>
      <c r="BLM122" s="47"/>
      <c r="BLN122" s="47"/>
      <c r="BLO122" s="47"/>
      <c r="BLP122" s="47"/>
      <c r="BLQ122" s="47"/>
      <c r="BLR122" s="47"/>
      <c r="BLS122" s="47"/>
      <c r="BLT122" s="47"/>
      <c r="BLU122" s="47"/>
      <c r="BLV122" s="47"/>
      <c r="BLW122" s="47"/>
      <c r="BLX122" s="47"/>
      <c r="BLY122" s="47"/>
      <c r="BLZ122" s="47"/>
      <c r="BMA122" s="47"/>
      <c r="BMB122" s="47"/>
      <c r="BMC122" s="47"/>
      <c r="BMD122" s="47"/>
      <c r="BME122" s="47"/>
      <c r="BMF122" s="47"/>
      <c r="BMG122" s="47"/>
      <c r="BMH122" s="47"/>
      <c r="BMI122" s="47"/>
      <c r="BMJ122" s="47"/>
      <c r="BMK122" s="47"/>
      <c r="BML122" s="47"/>
      <c r="BMM122" s="47"/>
      <c r="BMN122" s="47"/>
      <c r="BMO122" s="47"/>
      <c r="BMP122" s="47"/>
      <c r="BMQ122" s="47"/>
      <c r="BMR122" s="47"/>
      <c r="BMS122" s="47"/>
      <c r="BMT122" s="47"/>
      <c r="BMU122" s="47"/>
      <c r="BMV122" s="47"/>
      <c r="BMW122" s="47"/>
      <c r="BMX122" s="47"/>
      <c r="BMY122" s="47"/>
      <c r="BMZ122" s="47"/>
      <c r="BNA122" s="47"/>
      <c r="BNB122" s="47"/>
      <c r="BNC122" s="47"/>
      <c r="BND122" s="47"/>
      <c r="BNE122" s="47"/>
      <c r="BNF122" s="47"/>
      <c r="BNG122" s="47"/>
      <c r="BNH122" s="47"/>
      <c r="BNI122" s="47"/>
      <c r="BNJ122" s="47"/>
      <c r="BNK122" s="47"/>
      <c r="BNL122" s="47"/>
      <c r="BNM122" s="47"/>
      <c r="BNN122" s="47"/>
      <c r="BNO122" s="47"/>
      <c r="BNP122" s="47"/>
      <c r="BNQ122" s="47"/>
      <c r="BNR122" s="47"/>
      <c r="BNS122" s="47"/>
      <c r="BNT122" s="47"/>
      <c r="BNU122" s="47"/>
      <c r="BNV122" s="47"/>
      <c r="BNW122" s="47"/>
      <c r="BNX122" s="47"/>
      <c r="BNY122" s="47"/>
      <c r="BNZ122" s="47"/>
      <c r="BOA122" s="47"/>
      <c r="BOB122" s="47"/>
      <c r="BOC122" s="47"/>
      <c r="BOD122" s="47"/>
      <c r="BOE122" s="47"/>
      <c r="BOF122" s="47"/>
      <c r="BOG122" s="47"/>
      <c r="BOH122" s="47"/>
      <c r="BOI122" s="47"/>
      <c r="BOJ122" s="47"/>
      <c r="BOK122" s="47"/>
      <c r="BOL122" s="47"/>
      <c r="BOM122" s="47"/>
      <c r="BON122" s="47"/>
      <c r="BOO122" s="47"/>
      <c r="BOP122" s="47"/>
      <c r="BOQ122" s="47"/>
      <c r="BOR122" s="47"/>
      <c r="BOS122" s="47"/>
      <c r="BOT122" s="47"/>
      <c r="BOU122" s="47"/>
      <c r="BOV122" s="47"/>
      <c r="BOW122" s="47"/>
      <c r="BOX122" s="47"/>
      <c r="BOY122" s="47"/>
      <c r="BOZ122" s="47"/>
      <c r="BPA122" s="47"/>
      <c r="BPB122" s="47"/>
      <c r="BPC122" s="47"/>
      <c r="BPD122" s="47"/>
      <c r="BPE122" s="47"/>
      <c r="BPF122" s="47"/>
      <c r="BPG122" s="47"/>
      <c r="BPH122" s="47"/>
      <c r="BPI122" s="47"/>
      <c r="BPJ122" s="47"/>
      <c r="BPK122" s="47"/>
      <c r="BPL122" s="47"/>
      <c r="BPM122" s="47"/>
      <c r="BPN122" s="47"/>
      <c r="BPO122" s="47"/>
      <c r="BPP122" s="47"/>
      <c r="BPQ122" s="47"/>
      <c r="BPR122" s="47"/>
      <c r="BPS122" s="47"/>
      <c r="BPT122" s="47"/>
      <c r="BPU122" s="47"/>
      <c r="BPV122" s="47"/>
      <c r="BPW122" s="47"/>
      <c r="BPX122" s="47"/>
      <c r="BPY122" s="47"/>
      <c r="BPZ122" s="47"/>
      <c r="BQA122" s="47"/>
      <c r="BQB122" s="47"/>
      <c r="BQC122" s="47"/>
      <c r="BQD122" s="47"/>
      <c r="BQE122" s="47"/>
      <c r="BQF122" s="47"/>
      <c r="BQG122" s="47"/>
      <c r="BQH122" s="47"/>
      <c r="BQI122" s="47"/>
      <c r="BQJ122" s="47"/>
      <c r="BQK122" s="47"/>
      <c r="BQL122" s="47"/>
      <c r="BQM122" s="47"/>
      <c r="BQN122" s="47"/>
      <c r="BQO122" s="47"/>
      <c r="BQP122" s="47"/>
      <c r="BQQ122" s="47"/>
      <c r="BQR122" s="47"/>
      <c r="BQS122" s="47"/>
      <c r="BQT122" s="47"/>
      <c r="BQU122" s="47"/>
      <c r="BQV122" s="47"/>
      <c r="BQW122" s="47"/>
      <c r="BQX122" s="47"/>
      <c r="BQY122" s="47"/>
      <c r="BQZ122" s="47"/>
      <c r="BRA122" s="47"/>
      <c r="BRB122" s="47"/>
      <c r="BRC122" s="47"/>
      <c r="BRD122" s="47"/>
      <c r="BRE122" s="47"/>
      <c r="BRF122" s="47"/>
      <c r="BRG122" s="47"/>
      <c r="BRH122" s="47"/>
      <c r="BRI122" s="47"/>
      <c r="BRJ122" s="47"/>
      <c r="BRK122" s="47"/>
      <c r="BRL122" s="47"/>
      <c r="BRM122" s="47"/>
      <c r="BRN122" s="47"/>
      <c r="BRO122" s="47"/>
      <c r="BRP122" s="47"/>
      <c r="BRQ122" s="47"/>
      <c r="BRR122" s="47"/>
      <c r="BRS122" s="47"/>
      <c r="BRT122" s="47"/>
      <c r="BRU122" s="47"/>
      <c r="BRV122" s="47"/>
      <c r="BRW122" s="47"/>
      <c r="BRX122" s="47"/>
      <c r="BRY122" s="47"/>
      <c r="BRZ122" s="47"/>
      <c r="BSA122" s="47"/>
      <c r="BSB122" s="47"/>
      <c r="BSC122" s="47"/>
      <c r="BSD122" s="47"/>
      <c r="BSE122" s="47"/>
      <c r="BSF122" s="47"/>
      <c r="BSG122" s="47"/>
      <c r="BSH122" s="47"/>
      <c r="BSI122" s="47"/>
      <c r="BSJ122" s="47"/>
      <c r="BSK122" s="47"/>
      <c r="BSL122" s="47"/>
      <c r="BSM122" s="47"/>
      <c r="BSN122" s="47"/>
      <c r="BSO122" s="47"/>
      <c r="BSP122" s="47"/>
      <c r="BSQ122" s="47"/>
      <c r="BSR122" s="47"/>
      <c r="BSS122" s="47"/>
      <c r="BST122" s="47"/>
      <c r="BSU122" s="47"/>
      <c r="BSV122" s="47"/>
      <c r="BSW122" s="47"/>
      <c r="BSX122" s="47"/>
      <c r="BSY122" s="47"/>
      <c r="BSZ122" s="47"/>
      <c r="BTA122" s="47"/>
      <c r="BTB122" s="47"/>
      <c r="BTC122" s="47"/>
      <c r="BTD122" s="47"/>
      <c r="BTE122" s="47"/>
      <c r="BTF122" s="47"/>
      <c r="BTG122" s="47"/>
      <c r="BTH122" s="47"/>
      <c r="BTI122" s="47"/>
      <c r="BTJ122" s="47"/>
      <c r="BTK122" s="47"/>
      <c r="BTL122" s="47"/>
      <c r="BTM122" s="47"/>
      <c r="BTN122" s="47"/>
      <c r="BTO122" s="47"/>
      <c r="BTP122" s="47"/>
      <c r="BTQ122" s="47"/>
      <c r="BTR122" s="47"/>
      <c r="BTS122" s="47"/>
      <c r="BTT122" s="47"/>
      <c r="BTU122" s="47"/>
      <c r="BTV122" s="47"/>
      <c r="BTW122" s="47"/>
      <c r="BTX122" s="47"/>
      <c r="BTY122" s="47"/>
      <c r="BTZ122" s="47"/>
      <c r="BUA122" s="47"/>
      <c r="BUB122" s="47"/>
      <c r="BUC122" s="47"/>
      <c r="BUD122" s="47"/>
      <c r="BUE122" s="47"/>
      <c r="BUF122" s="47"/>
      <c r="BUG122" s="47"/>
      <c r="BUH122" s="47"/>
      <c r="BUI122" s="47"/>
      <c r="BUJ122" s="47"/>
      <c r="BUK122" s="47"/>
      <c r="BUL122" s="47"/>
      <c r="BUM122" s="47"/>
      <c r="BUN122" s="47"/>
      <c r="BUO122" s="47"/>
      <c r="BUP122" s="47"/>
      <c r="BUQ122" s="47"/>
      <c r="BUR122" s="47"/>
      <c r="BUS122" s="47"/>
      <c r="BUT122" s="47"/>
      <c r="BUU122" s="47"/>
      <c r="BUV122" s="47"/>
      <c r="BUW122" s="47"/>
      <c r="BUX122" s="47"/>
      <c r="BUY122" s="47"/>
      <c r="BUZ122" s="47"/>
      <c r="BVA122" s="47"/>
      <c r="BVB122" s="47"/>
      <c r="BVC122" s="47"/>
      <c r="BVD122" s="47"/>
      <c r="BVE122" s="47"/>
      <c r="BVF122" s="47"/>
      <c r="BVG122" s="47"/>
      <c r="BVH122" s="47"/>
      <c r="BVI122" s="47"/>
      <c r="BVJ122" s="47"/>
      <c r="BVK122" s="47"/>
      <c r="BVL122" s="47"/>
      <c r="BVM122" s="47"/>
      <c r="BVN122" s="47"/>
      <c r="BVO122" s="47"/>
      <c r="BVP122" s="47"/>
      <c r="BVQ122" s="47"/>
      <c r="BVR122" s="47"/>
      <c r="BVS122" s="47"/>
      <c r="BVT122" s="47"/>
      <c r="BVU122" s="47"/>
      <c r="BVV122" s="47"/>
      <c r="BVW122" s="47"/>
      <c r="BVX122" s="47"/>
      <c r="BVY122" s="47"/>
      <c r="BVZ122" s="47"/>
      <c r="BWA122" s="47"/>
      <c r="BWB122" s="47"/>
      <c r="BWC122" s="47"/>
      <c r="BWD122" s="47"/>
      <c r="BWE122" s="47"/>
      <c r="BWF122" s="47"/>
      <c r="BWG122" s="47"/>
      <c r="BWH122" s="47"/>
      <c r="BWI122" s="47"/>
      <c r="BWJ122" s="47"/>
      <c r="BWK122" s="47"/>
      <c r="BWL122" s="47"/>
      <c r="BWM122" s="47"/>
      <c r="BWN122" s="47"/>
      <c r="BWO122" s="47"/>
      <c r="BWP122" s="47"/>
      <c r="BWQ122" s="47"/>
      <c r="BWR122" s="47"/>
      <c r="BWS122" s="47"/>
      <c r="BWT122" s="47"/>
      <c r="BWU122" s="47"/>
      <c r="BWV122" s="47"/>
      <c r="BWW122" s="47"/>
      <c r="BWX122" s="47"/>
      <c r="BWY122" s="47"/>
      <c r="BWZ122" s="47"/>
      <c r="BXA122" s="47"/>
      <c r="BXB122" s="47"/>
      <c r="BXC122" s="47"/>
      <c r="BXD122" s="47"/>
      <c r="BXE122" s="47"/>
      <c r="BXF122" s="47"/>
      <c r="BXG122" s="47"/>
      <c r="BXH122" s="47"/>
      <c r="BXI122" s="47"/>
      <c r="BXJ122" s="47"/>
      <c r="BXK122" s="47"/>
      <c r="BXL122" s="47"/>
      <c r="BXM122" s="47"/>
      <c r="BXN122" s="47"/>
      <c r="BXO122" s="47"/>
      <c r="BXP122" s="47"/>
      <c r="BXQ122" s="47"/>
      <c r="BXR122" s="47"/>
      <c r="BXS122" s="47"/>
      <c r="BXT122" s="47"/>
      <c r="BXU122" s="47"/>
      <c r="BXV122" s="47"/>
      <c r="BXW122" s="47"/>
      <c r="BXX122" s="47"/>
      <c r="BXY122" s="47"/>
      <c r="BXZ122" s="47"/>
      <c r="BYA122" s="47"/>
      <c r="BYB122" s="47"/>
      <c r="BYC122" s="47"/>
      <c r="BYD122" s="47"/>
      <c r="BYE122" s="47"/>
      <c r="BYF122" s="47"/>
      <c r="BYG122" s="47"/>
      <c r="BYH122" s="47"/>
      <c r="BYI122" s="47"/>
      <c r="BYJ122" s="47"/>
      <c r="BYK122" s="47"/>
      <c r="BYL122" s="47"/>
      <c r="BYM122" s="47"/>
      <c r="BYN122" s="47"/>
      <c r="BYO122" s="47"/>
      <c r="BYP122" s="47"/>
      <c r="BYQ122" s="47"/>
      <c r="BYR122" s="47"/>
      <c r="BYS122" s="47"/>
      <c r="BYT122" s="47"/>
      <c r="BYU122" s="47"/>
      <c r="BYV122" s="47"/>
      <c r="BYW122" s="47"/>
      <c r="BYX122" s="47"/>
      <c r="BYY122" s="47"/>
      <c r="BYZ122" s="47"/>
      <c r="BZA122" s="47"/>
      <c r="BZB122" s="47"/>
      <c r="BZC122" s="47"/>
      <c r="BZD122" s="47"/>
      <c r="BZE122" s="47"/>
      <c r="BZF122" s="47"/>
      <c r="BZG122" s="47"/>
      <c r="BZH122" s="47"/>
      <c r="BZI122" s="47"/>
      <c r="BZJ122" s="47"/>
      <c r="BZK122" s="47"/>
      <c r="BZL122" s="47"/>
      <c r="BZM122" s="47"/>
      <c r="BZN122" s="47"/>
      <c r="BZO122" s="47"/>
      <c r="BZP122" s="47"/>
      <c r="BZQ122" s="47"/>
      <c r="BZR122" s="47"/>
      <c r="BZS122" s="47"/>
      <c r="BZT122" s="47"/>
      <c r="BZU122" s="47"/>
      <c r="BZV122" s="47"/>
      <c r="BZW122" s="47"/>
      <c r="BZX122" s="47"/>
      <c r="BZY122" s="47"/>
      <c r="BZZ122" s="47"/>
      <c r="CAA122" s="47"/>
      <c r="CAB122" s="47"/>
      <c r="CAC122" s="47"/>
      <c r="CAD122" s="47"/>
      <c r="CAE122" s="47"/>
      <c r="CAF122" s="47"/>
      <c r="CAG122" s="47"/>
      <c r="CAH122" s="47"/>
      <c r="CAI122" s="47"/>
      <c r="CAJ122" s="47"/>
      <c r="CAK122" s="47"/>
      <c r="CAL122" s="47"/>
      <c r="CAM122" s="47"/>
      <c r="CAN122" s="47"/>
      <c r="CAO122" s="47"/>
      <c r="CAP122" s="47"/>
      <c r="CAQ122" s="47"/>
      <c r="CAR122" s="47"/>
      <c r="CAS122" s="47"/>
      <c r="CAT122" s="47"/>
      <c r="CAU122" s="47"/>
      <c r="CAV122" s="47"/>
      <c r="CAW122" s="47"/>
      <c r="CAX122" s="47"/>
      <c r="CAY122" s="47"/>
      <c r="CAZ122" s="47"/>
      <c r="CBA122" s="47"/>
      <c r="CBB122" s="47"/>
      <c r="CBC122" s="47"/>
      <c r="CBD122" s="47"/>
      <c r="CBE122" s="47"/>
      <c r="CBF122" s="47"/>
      <c r="CBG122" s="47"/>
      <c r="CBH122" s="47"/>
    </row>
    <row r="123" spans="1:2088" x14ac:dyDescent="0.2">
      <c r="A123" s="13" t="s">
        <v>140</v>
      </c>
      <c r="B123" s="59" t="str">
        <f>IF(B122="", "", IF(B122&lt;2,"0-1",IF(B122&lt;4,"2-3","4-5")))</f>
        <v/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47"/>
      <c r="DS123" s="47"/>
      <c r="DT123" s="47"/>
      <c r="DU123" s="47"/>
      <c r="DV123" s="47"/>
      <c r="DW123" s="47"/>
      <c r="DX123" s="47"/>
      <c r="DY123" s="47"/>
      <c r="DZ123" s="47"/>
      <c r="EA123" s="47"/>
      <c r="EB123" s="47"/>
      <c r="EC123" s="47"/>
      <c r="ED123" s="47"/>
      <c r="EE123" s="47"/>
      <c r="EF123" s="47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47"/>
      <c r="ER123" s="47"/>
      <c r="ES123" s="47"/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  <c r="FX123" s="47"/>
      <c r="FY123" s="47"/>
      <c r="FZ123" s="47"/>
      <c r="GA123" s="47"/>
      <c r="GB123" s="47"/>
      <c r="GC123" s="47"/>
      <c r="GD123" s="47"/>
      <c r="GE123" s="47"/>
      <c r="GF123" s="47"/>
      <c r="GG123" s="47"/>
      <c r="GH123" s="47"/>
      <c r="GI123" s="47"/>
      <c r="GJ123" s="47"/>
      <c r="GK123" s="47"/>
      <c r="GL123" s="47"/>
      <c r="GM123" s="47"/>
      <c r="GN123" s="47"/>
      <c r="GO123" s="47"/>
      <c r="GP123" s="47"/>
      <c r="GQ123" s="47"/>
      <c r="GR123" s="47"/>
      <c r="GS123" s="47"/>
      <c r="GT123" s="47"/>
      <c r="GU123" s="47"/>
      <c r="GV123" s="47"/>
      <c r="GW123" s="47"/>
      <c r="GX123" s="47"/>
      <c r="GY123" s="47"/>
      <c r="GZ123" s="47"/>
      <c r="HA123" s="47"/>
      <c r="HB123" s="47"/>
      <c r="HC123" s="47"/>
      <c r="HD123" s="47"/>
      <c r="HE123" s="47"/>
      <c r="HF123" s="47"/>
      <c r="HG123" s="47"/>
      <c r="HH123" s="47"/>
      <c r="HI123" s="47"/>
      <c r="HJ123" s="47"/>
      <c r="HK123" s="47"/>
      <c r="HL123" s="47"/>
      <c r="HM123" s="47"/>
      <c r="HN123" s="47"/>
      <c r="HO123" s="47"/>
      <c r="HP123" s="47"/>
      <c r="HQ123" s="47"/>
      <c r="HR123" s="47"/>
      <c r="HS123" s="47"/>
      <c r="HT123" s="47"/>
      <c r="HU123" s="47"/>
      <c r="HV123" s="47"/>
      <c r="HW123" s="47"/>
      <c r="HX123" s="47"/>
      <c r="HY123" s="47"/>
      <c r="HZ123" s="47"/>
      <c r="IA123" s="47"/>
      <c r="IB123" s="47"/>
      <c r="IC123" s="47"/>
      <c r="ID123" s="47"/>
      <c r="IE123" s="47"/>
      <c r="IF123" s="47"/>
      <c r="IG123" s="47"/>
      <c r="IH123" s="47"/>
      <c r="II123" s="47"/>
      <c r="IJ123" s="47"/>
      <c r="IK123" s="47"/>
      <c r="IL123" s="47"/>
      <c r="IM123" s="47"/>
      <c r="IN123" s="47"/>
      <c r="IO123" s="47"/>
      <c r="IP123" s="47"/>
      <c r="IQ123" s="47"/>
      <c r="IR123" s="47"/>
      <c r="IS123" s="47"/>
      <c r="IT123" s="47"/>
      <c r="IU123" s="47"/>
      <c r="IV123" s="47"/>
      <c r="IW123" s="47"/>
      <c r="IX123" s="47"/>
      <c r="IY123" s="47"/>
      <c r="IZ123" s="47"/>
      <c r="JA123" s="47"/>
      <c r="JB123" s="47"/>
      <c r="JC123" s="47"/>
      <c r="JD123" s="47"/>
      <c r="JE123" s="47"/>
      <c r="JF123" s="47"/>
      <c r="JG123" s="47"/>
      <c r="JH123" s="47"/>
      <c r="JI123" s="47"/>
      <c r="JJ123" s="47"/>
      <c r="JK123" s="47"/>
      <c r="JL123" s="47"/>
      <c r="JM123" s="47"/>
      <c r="JN123" s="47"/>
      <c r="JO123" s="47"/>
      <c r="JP123" s="47"/>
      <c r="JQ123" s="47"/>
      <c r="JR123" s="47"/>
      <c r="JS123" s="47"/>
      <c r="JT123" s="47"/>
      <c r="JU123" s="47"/>
      <c r="JV123" s="47"/>
      <c r="JW123" s="47"/>
      <c r="JX123" s="47"/>
      <c r="JY123" s="47"/>
      <c r="JZ123" s="47"/>
      <c r="KA123" s="47"/>
      <c r="KB123" s="47"/>
      <c r="KC123" s="47"/>
      <c r="KD123" s="47"/>
      <c r="KE123" s="47"/>
      <c r="KF123" s="47"/>
      <c r="KG123" s="47"/>
      <c r="KH123" s="47"/>
      <c r="KI123" s="47"/>
      <c r="KJ123" s="47"/>
      <c r="KK123" s="47"/>
      <c r="KL123" s="47"/>
      <c r="KM123" s="47"/>
      <c r="KN123" s="47"/>
      <c r="KO123" s="47"/>
      <c r="KP123" s="47"/>
      <c r="KQ123" s="47"/>
      <c r="KR123" s="47"/>
      <c r="KS123" s="47"/>
      <c r="KT123" s="47"/>
      <c r="KU123" s="47"/>
      <c r="KV123" s="47"/>
      <c r="KW123" s="47"/>
      <c r="KX123" s="47"/>
      <c r="KY123" s="47"/>
      <c r="KZ123" s="47"/>
      <c r="LA123" s="47"/>
      <c r="LB123" s="47"/>
      <c r="LC123" s="47"/>
      <c r="LD123" s="47"/>
      <c r="LE123" s="47"/>
      <c r="LF123" s="47"/>
      <c r="LG123" s="47"/>
      <c r="LH123" s="47"/>
      <c r="LI123" s="47"/>
      <c r="LJ123" s="47"/>
      <c r="LK123" s="47"/>
      <c r="LL123" s="47"/>
      <c r="LM123" s="47"/>
      <c r="LN123" s="47"/>
      <c r="LO123" s="47"/>
      <c r="LP123" s="47"/>
      <c r="LQ123" s="47"/>
      <c r="LR123" s="47"/>
      <c r="LS123" s="47"/>
      <c r="LT123" s="47"/>
      <c r="LU123" s="47"/>
      <c r="LV123" s="47"/>
      <c r="LW123" s="47"/>
      <c r="LX123" s="47"/>
      <c r="LY123" s="47"/>
      <c r="LZ123" s="47"/>
      <c r="MA123" s="47"/>
      <c r="MB123" s="47"/>
      <c r="MC123" s="47"/>
      <c r="MD123" s="47"/>
      <c r="ME123" s="47"/>
      <c r="MF123" s="47"/>
      <c r="MG123" s="47"/>
      <c r="MH123" s="47"/>
      <c r="MI123" s="47"/>
      <c r="MJ123" s="47"/>
      <c r="MK123" s="47"/>
      <c r="ML123" s="47"/>
      <c r="MM123" s="47"/>
      <c r="MN123" s="47"/>
      <c r="MO123" s="47"/>
      <c r="MP123" s="47"/>
      <c r="MQ123" s="47"/>
      <c r="MR123" s="47"/>
      <c r="MS123" s="47"/>
      <c r="MT123" s="47"/>
      <c r="MU123" s="47"/>
      <c r="MV123" s="47"/>
      <c r="MW123" s="47"/>
      <c r="MX123" s="47"/>
      <c r="MY123" s="47"/>
      <c r="MZ123" s="47"/>
      <c r="NA123" s="47"/>
      <c r="NB123" s="47"/>
      <c r="NC123" s="47"/>
      <c r="ND123" s="47"/>
      <c r="NE123" s="47"/>
      <c r="NF123" s="47"/>
      <c r="NG123" s="47"/>
      <c r="NH123" s="47"/>
      <c r="NI123" s="47"/>
      <c r="NJ123" s="47"/>
      <c r="NK123" s="47"/>
      <c r="NL123" s="47"/>
      <c r="NM123" s="47"/>
      <c r="NN123" s="47"/>
      <c r="NO123" s="47"/>
      <c r="NP123" s="47"/>
      <c r="NQ123" s="47"/>
      <c r="NR123" s="47"/>
      <c r="NS123" s="47"/>
      <c r="NT123" s="47"/>
      <c r="NU123" s="47"/>
      <c r="NV123" s="47"/>
      <c r="NW123" s="47"/>
      <c r="NX123" s="47"/>
      <c r="NY123" s="47"/>
      <c r="NZ123" s="47"/>
      <c r="OA123" s="47"/>
      <c r="OB123" s="47"/>
      <c r="OC123" s="47"/>
      <c r="OD123" s="47"/>
      <c r="OE123" s="47"/>
      <c r="OF123" s="47"/>
      <c r="OG123" s="47"/>
      <c r="OH123" s="47"/>
      <c r="OI123" s="47"/>
      <c r="OJ123" s="47"/>
      <c r="OK123" s="47"/>
      <c r="OL123" s="47"/>
      <c r="OM123" s="47"/>
      <c r="ON123" s="47"/>
      <c r="OO123" s="47"/>
      <c r="OP123" s="47"/>
      <c r="OQ123" s="47"/>
      <c r="OR123" s="47"/>
      <c r="OS123" s="47"/>
      <c r="OT123" s="47"/>
      <c r="OU123" s="47"/>
      <c r="OV123" s="47"/>
      <c r="OW123" s="47"/>
      <c r="OX123" s="47"/>
      <c r="OY123" s="47"/>
      <c r="OZ123" s="47"/>
      <c r="PA123" s="47"/>
      <c r="PB123" s="47"/>
      <c r="PC123" s="47"/>
      <c r="PD123" s="47"/>
      <c r="PE123" s="47"/>
      <c r="PF123" s="47"/>
      <c r="PG123" s="47"/>
      <c r="PH123" s="47"/>
      <c r="PI123" s="47"/>
      <c r="PJ123" s="47"/>
      <c r="PK123" s="47"/>
      <c r="PL123" s="47"/>
      <c r="PM123" s="47"/>
      <c r="PN123" s="47"/>
      <c r="PO123" s="47"/>
      <c r="PP123" s="47"/>
      <c r="PQ123" s="47"/>
      <c r="PR123" s="47"/>
      <c r="PS123" s="47"/>
      <c r="PT123" s="47"/>
      <c r="PU123" s="47"/>
      <c r="PV123" s="47"/>
      <c r="PW123" s="47"/>
      <c r="PX123" s="47"/>
      <c r="PY123" s="47"/>
      <c r="PZ123" s="47"/>
      <c r="QA123" s="47"/>
      <c r="QB123" s="47"/>
      <c r="QC123" s="47"/>
      <c r="QD123" s="47"/>
      <c r="QE123" s="47"/>
      <c r="QF123" s="47"/>
      <c r="QG123" s="47"/>
      <c r="QH123" s="47"/>
      <c r="QI123" s="47"/>
      <c r="QJ123" s="47"/>
      <c r="QK123" s="47"/>
      <c r="QL123" s="47"/>
      <c r="QM123" s="47"/>
      <c r="QN123" s="47"/>
      <c r="QO123" s="47"/>
      <c r="QP123" s="47"/>
      <c r="QQ123" s="47"/>
      <c r="QR123" s="47"/>
      <c r="QS123" s="47"/>
      <c r="QT123" s="47"/>
      <c r="QU123" s="47"/>
      <c r="QV123" s="47"/>
      <c r="QW123" s="47"/>
      <c r="QX123" s="47"/>
      <c r="QY123" s="47"/>
      <c r="QZ123" s="47"/>
      <c r="RA123" s="47"/>
      <c r="RB123" s="47"/>
      <c r="RC123" s="47"/>
      <c r="RD123" s="47"/>
      <c r="RE123" s="47"/>
      <c r="RF123" s="47"/>
      <c r="RG123" s="47"/>
      <c r="RH123" s="47"/>
      <c r="RI123" s="47"/>
      <c r="RJ123" s="47"/>
      <c r="RK123" s="47"/>
      <c r="RL123" s="47"/>
      <c r="RM123" s="47"/>
      <c r="RN123" s="47"/>
      <c r="RO123" s="47"/>
      <c r="RP123" s="47"/>
      <c r="RQ123" s="47"/>
      <c r="RR123" s="47"/>
      <c r="RS123" s="47"/>
      <c r="RT123" s="47"/>
      <c r="RU123" s="47"/>
      <c r="RV123" s="47"/>
      <c r="RW123" s="47"/>
      <c r="RX123" s="47"/>
      <c r="RY123" s="47"/>
      <c r="RZ123" s="47"/>
      <c r="SA123" s="47"/>
      <c r="SB123" s="47"/>
      <c r="SC123" s="47"/>
      <c r="SD123" s="47"/>
      <c r="SE123" s="47"/>
      <c r="SF123" s="47"/>
      <c r="SG123" s="47"/>
      <c r="SH123" s="47"/>
      <c r="SI123" s="47"/>
      <c r="SJ123" s="47"/>
      <c r="SK123" s="47"/>
      <c r="SL123" s="47"/>
      <c r="SM123" s="47"/>
      <c r="SN123" s="47"/>
      <c r="SO123" s="47"/>
      <c r="SP123" s="47"/>
      <c r="SQ123" s="47"/>
      <c r="SR123" s="47"/>
      <c r="SS123" s="47"/>
      <c r="ST123" s="47"/>
      <c r="SU123" s="47"/>
      <c r="SV123" s="47"/>
      <c r="SW123" s="47"/>
      <c r="SX123" s="47"/>
      <c r="SY123" s="47"/>
      <c r="SZ123" s="47"/>
      <c r="TA123" s="47"/>
      <c r="TB123" s="47"/>
      <c r="TC123" s="47"/>
      <c r="TD123" s="47"/>
      <c r="TE123" s="47"/>
      <c r="TF123" s="47"/>
      <c r="TG123" s="47"/>
      <c r="TH123" s="47"/>
      <c r="TI123" s="47"/>
      <c r="TJ123" s="47"/>
      <c r="TK123" s="47"/>
      <c r="TL123" s="47"/>
      <c r="TM123" s="47"/>
      <c r="TN123" s="47"/>
      <c r="TO123" s="47"/>
      <c r="TP123" s="47"/>
      <c r="TQ123" s="47"/>
      <c r="TR123" s="47"/>
      <c r="TS123" s="47"/>
      <c r="TT123" s="47"/>
      <c r="TU123" s="47"/>
      <c r="TV123" s="47"/>
      <c r="TW123" s="47"/>
      <c r="TX123" s="47"/>
      <c r="TY123" s="47"/>
      <c r="TZ123" s="47"/>
      <c r="UA123" s="47"/>
      <c r="UB123" s="47"/>
      <c r="UC123" s="47"/>
      <c r="UD123" s="47"/>
      <c r="UE123" s="47"/>
      <c r="UF123" s="47"/>
      <c r="UG123" s="47"/>
      <c r="UH123" s="47"/>
      <c r="UI123" s="47"/>
      <c r="UJ123" s="47"/>
      <c r="UK123" s="47"/>
      <c r="UL123" s="47"/>
      <c r="UM123" s="47"/>
      <c r="UN123" s="47"/>
      <c r="UO123" s="47"/>
      <c r="UP123" s="47"/>
      <c r="UQ123" s="47"/>
      <c r="UR123" s="47"/>
      <c r="US123" s="47"/>
      <c r="UT123" s="47"/>
      <c r="UU123" s="47"/>
      <c r="UV123" s="47"/>
      <c r="UW123" s="47"/>
      <c r="UX123" s="47"/>
      <c r="UY123" s="47"/>
      <c r="UZ123" s="47"/>
      <c r="VA123" s="47"/>
      <c r="VB123" s="47"/>
      <c r="VC123" s="47"/>
      <c r="VD123" s="47"/>
      <c r="VE123" s="47"/>
      <c r="VF123" s="47"/>
      <c r="VG123" s="47"/>
      <c r="VH123" s="47"/>
      <c r="VI123" s="47"/>
      <c r="VJ123" s="47"/>
      <c r="VK123" s="47"/>
      <c r="VL123" s="47"/>
      <c r="VM123" s="47"/>
      <c r="VN123" s="47"/>
      <c r="VO123" s="47"/>
      <c r="VP123" s="47"/>
      <c r="VQ123" s="47"/>
      <c r="VR123" s="47"/>
      <c r="VS123" s="47"/>
      <c r="VT123" s="47"/>
      <c r="VU123" s="47"/>
      <c r="VV123" s="47"/>
      <c r="VW123" s="47"/>
      <c r="VX123" s="47"/>
      <c r="VY123" s="47"/>
      <c r="VZ123" s="47"/>
      <c r="WA123" s="47"/>
      <c r="WB123" s="47"/>
      <c r="WC123" s="47"/>
      <c r="WD123" s="47"/>
      <c r="WE123" s="47"/>
      <c r="WF123" s="47"/>
      <c r="WG123" s="47"/>
      <c r="WH123" s="47"/>
      <c r="WI123" s="47"/>
      <c r="WJ123" s="47"/>
      <c r="WK123" s="47"/>
      <c r="WL123" s="47"/>
      <c r="WM123" s="47"/>
      <c r="WN123" s="47"/>
      <c r="WO123" s="47"/>
      <c r="WP123" s="47"/>
      <c r="WQ123" s="47"/>
      <c r="WR123" s="47"/>
      <c r="WS123" s="47"/>
      <c r="WT123" s="47"/>
      <c r="WU123" s="47"/>
      <c r="WV123" s="47"/>
      <c r="WW123" s="47"/>
      <c r="WX123" s="47"/>
      <c r="WY123" s="47"/>
      <c r="WZ123" s="47"/>
      <c r="XA123" s="47"/>
      <c r="XB123" s="47"/>
      <c r="XC123" s="47"/>
      <c r="XD123" s="47"/>
      <c r="XE123" s="47"/>
      <c r="XF123" s="47"/>
      <c r="XG123" s="47"/>
      <c r="XH123" s="47"/>
      <c r="XI123" s="47"/>
      <c r="XJ123" s="47"/>
      <c r="XK123" s="47"/>
      <c r="XL123" s="47"/>
      <c r="XM123" s="47"/>
      <c r="XN123" s="47"/>
      <c r="XO123" s="47"/>
      <c r="XP123" s="47"/>
      <c r="XQ123" s="47"/>
      <c r="XR123" s="47"/>
      <c r="XS123" s="47"/>
      <c r="XT123" s="47"/>
      <c r="XU123" s="47"/>
      <c r="XV123" s="47"/>
      <c r="XW123" s="47"/>
      <c r="XX123" s="47"/>
      <c r="XY123" s="47"/>
      <c r="XZ123" s="47"/>
      <c r="YA123" s="47"/>
      <c r="YB123" s="47"/>
      <c r="YC123" s="47"/>
      <c r="YD123" s="47"/>
      <c r="YE123" s="47"/>
      <c r="YF123" s="47"/>
      <c r="YG123" s="47"/>
      <c r="YH123" s="47"/>
      <c r="YI123" s="47"/>
      <c r="YJ123" s="47"/>
      <c r="YK123" s="47"/>
      <c r="YL123" s="47"/>
      <c r="YM123" s="47"/>
      <c r="YN123" s="47"/>
      <c r="YO123" s="47"/>
      <c r="YP123" s="47"/>
      <c r="YQ123" s="47"/>
      <c r="YR123" s="47"/>
      <c r="YS123" s="47"/>
      <c r="YT123" s="47"/>
      <c r="YU123" s="47"/>
      <c r="YV123" s="47"/>
      <c r="YW123" s="47"/>
      <c r="YX123" s="47"/>
      <c r="YY123" s="47"/>
      <c r="YZ123" s="47"/>
      <c r="ZA123" s="47"/>
      <c r="ZB123" s="47"/>
      <c r="ZC123" s="47"/>
      <c r="ZD123" s="47"/>
      <c r="ZE123" s="47"/>
      <c r="ZF123" s="47"/>
      <c r="ZG123" s="47"/>
      <c r="ZH123" s="47"/>
      <c r="ZI123" s="47"/>
      <c r="ZJ123" s="47"/>
      <c r="ZK123" s="47"/>
      <c r="ZL123" s="47"/>
      <c r="ZM123" s="47"/>
      <c r="ZN123" s="47"/>
      <c r="ZO123" s="47"/>
      <c r="ZP123" s="47"/>
      <c r="ZQ123" s="47"/>
      <c r="ZR123" s="47"/>
      <c r="ZS123" s="47"/>
      <c r="ZT123" s="47"/>
      <c r="ZU123" s="47"/>
      <c r="ZV123" s="47"/>
      <c r="ZW123" s="47"/>
      <c r="ZX123" s="47"/>
      <c r="ZY123" s="47"/>
      <c r="ZZ123" s="47"/>
      <c r="AAA123" s="47"/>
      <c r="AAB123" s="47"/>
      <c r="AAC123" s="47"/>
      <c r="AAD123" s="47"/>
      <c r="AAE123" s="47"/>
      <c r="AAF123" s="47"/>
      <c r="AAG123" s="47"/>
      <c r="AAH123" s="47"/>
      <c r="AAI123" s="47"/>
      <c r="AAJ123" s="47"/>
      <c r="AAK123" s="47"/>
      <c r="AAL123" s="47"/>
      <c r="AAM123" s="47"/>
      <c r="AAN123" s="47"/>
      <c r="AAO123" s="47"/>
      <c r="AAP123" s="47"/>
      <c r="AAQ123" s="47"/>
      <c r="AAR123" s="47"/>
      <c r="AAS123" s="47"/>
      <c r="AAT123" s="47"/>
      <c r="AAU123" s="47"/>
      <c r="AAV123" s="47"/>
      <c r="AAW123" s="47"/>
      <c r="AAX123" s="47"/>
      <c r="AAY123" s="47"/>
      <c r="AAZ123" s="47"/>
      <c r="ABA123" s="47"/>
      <c r="ABB123" s="47"/>
      <c r="ABC123" s="47"/>
      <c r="ABD123" s="47"/>
      <c r="ABE123" s="47"/>
      <c r="ABF123" s="47"/>
      <c r="ABG123" s="47"/>
      <c r="ABH123" s="47"/>
      <c r="ABI123" s="47"/>
      <c r="ABJ123" s="47"/>
      <c r="ABK123" s="47"/>
      <c r="ABL123" s="47"/>
      <c r="ABM123" s="47"/>
      <c r="ABN123" s="47"/>
      <c r="ABO123" s="47"/>
      <c r="ABP123" s="47"/>
      <c r="ABQ123" s="47"/>
      <c r="ABR123" s="47"/>
      <c r="ABS123" s="47"/>
      <c r="ABT123" s="47"/>
      <c r="ABU123" s="47"/>
      <c r="ABV123" s="47"/>
      <c r="ABW123" s="47"/>
      <c r="ABX123" s="47"/>
      <c r="ABY123" s="47"/>
      <c r="ABZ123" s="47"/>
      <c r="ACA123" s="47"/>
      <c r="ACB123" s="47"/>
      <c r="ACC123" s="47"/>
      <c r="ACD123" s="47"/>
      <c r="ACE123" s="47"/>
      <c r="ACF123" s="47"/>
      <c r="ACG123" s="47"/>
      <c r="ACH123" s="47"/>
      <c r="ACI123" s="47"/>
      <c r="ACJ123" s="47"/>
      <c r="ACK123" s="47"/>
      <c r="ACL123" s="47"/>
      <c r="ACM123" s="47"/>
      <c r="ACN123" s="47"/>
      <c r="ACO123" s="47"/>
      <c r="ACP123" s="47"/>
      <c r="ACQ123" s="47"/>
      <c r="ACR123" s="47"/>
      <c r="ACS123" s="47"/>
      <c r="ACT123" s="47"/>
      <c r="ACU123" s="47"/>
      <c r="ACV123" s="47"/>
      <c r="ACW123" s="47"/>
      <c r="ACX123" s="47"/>
      <c r="ACY123" s="47"/>
      <c r="ACZ123" s="47"/>
      <c r="ADA123" s="47"/>
      <c r="ADB123" s="47"/>
      <c r="ADC123" s="47"/>
      <c r="ADD123" s="47"/>
      <c r="ADE123" s="47"/>
      <c r="ADF123" s="47"/>
      <c r="ADG123" s="47"/>
      <c r="ADH123" s="47"/>
      <c r="ADI123" s="47"/>
      <c r="ADJ123" s="47"/>
      <c r="ADK123" s="47"/>
      <c r="ADL123" s="47"/>
      <c r="ADM123" s="47"/>
      <c r="ADN123" s="47"/>
      <c r="ADO123" s="47"/>
      <c r="ADP123" s="47"/>
      <c r="ADQ123" s="47"/>
      <c r="ADR123" s="47"/>
      <c r="ADS123" s="47"/>
      <c r="ADT123" s="47"/>
      <c r="ADU123" s="47"/>
      <c r="ADV123" s="47"/>
      <c r="ADW123" s="47"/>
      <c r="ADX123" s="47"/>
      <c r="ADY123" s="47"/>
      <c r="ADZ123" s="47"/>
      <c r="AEA123" s="47"/>
      <c r="AEB123" s="47"/>
      <c r="AEC123" s="47"/>
      <c r="AED123" s="47"/>
      <c r="AEE123" s="47"/>
      <c r="AEF123" s="47"/>
      <c r="AEG123" s="47"/>
      <c r="AEH123" s="47"/>
      <c r="AEI123" s="47"/>
      <c r="AEJ123" s="47"/>
      <c r="AEK123" s="47"/>
      <c r="AEL123" s="47"/>
      <c r="AEM123" s="47"/>
      <c r="AEN123" s="47"/>
      <c r="AEO123" s="47"/>
      <c r="AEP123" s="47"/>
      <c r="AEQ123" s="47"/>
      <c r="AER123" s="47"/>
      <c r="AES123" s="47"/>
      <c r="AET123" s="47"/>
      <c r="AEU123" s="47"/>
      <c r="AEV123" s="47"/>
      <c r="AEW123" s="47"/>
      <c r="AEX123" s="47"/>
      <c r="AEY123" s="47"/>
      <c r="AEZ123" s="47"/>
      <c r="AFA123" s="47"/>
      <c r="AFB123" s="47"/>
      <c r="AFC123" s="47"/>
      <c r="AFD123" s="47"/>
      <c r="AFE123" s="47"/>
      <c r="AFF123" s="47"/>
      <c r="AFG123" s="47"/>
      <c r="AFH123" s="47"/>
      <c r="AFI123" s="47"/>
      <c r="AFJ123" s="47"/>
      <c r="AFK123" s="47"/>
      <c r="AFL123" s="47"/>
      <c r="AFM123" s="47"/>
      <c r="AFN123" s="47"/>
      <c r="AFO123" s="47"/>
      <c r="AFP123" s="47"/>
      <c r="AFQ123" s="47"/>
      <c r="AFR123" s="47"/>
      <c r="AFS123" s="47"/>
      <c r="AFT123" s="47"/>
      <c r="AFU123" s="47"/>
      <c r="AFV123" s="47"/>
      <c r="AFW123" s="47"/>
      <c r="AFX123" s="47"/>
      <c r="AFY123" s="47"/>
      <c r="AFZ123" s="47"/>
      <c r="AGA123" s="47"/>
      <c r="AGB123" s="47"/>
      <c r="AGC123" s="47"/>
      <c r="AGD123" s="47"/>
      <c r="AGE123" s="47"/>
      <c r="AGF123" s="47"/>
      <c r="AGG123" s="47"/>
      <c r="AGH123" s="47"/>
      <c r="AGI123" s="47"/>
      <c r="AGJ123" s="47"/>
      <c r="AGK123" s="47"/>
      <c r="AGL123" s="47"/>
      <c r="AGM123" s="47"/>
      <c r="AGN123" s="47"/>
      <c r="AGO123" s="47"/>
      <c r="AGP123" s="47"/>
      <c r="AGQ123" s="47"/>
      <c r="AGR123" s="47"/>
      <c r="AGS123" s="47"/>
      <c r="AGT123" s="47"/>
      <c r="AGU123" s="47"/>
      <c r="AGV123" s="47"/>
      <c r="AGW123" s="47"/>
      <c r="AGX123" s="47"/>
      <c r="AGY123" s="47"/>
      <c r="AGZ123" s="47"/>
      <c r="AHA123" s="47"/>
      <c r="AHB123" s="47"/>
      <c r="AHC123" s="47"/>
      <c r="AHD123" s="47"/>
      <c r="AHE123" s="47"/>
      <c r="AHF123" s="47"/>
      <c r="AHG123" s="47"/>
      <c r="AHH123" s="47"/>
      <c r="AHI123" s="47"/>
      <c r="AHJ123" s="47"/>
      <c r="AHK123" s="47"/>
      <c r="AHL123" s="47"/>
      <c r="AHM123" s="47"/>
      <c r="AHN123" s="47"/>
      <c r="AHO123" s="47"/>
      <c r="AHP123" s="47"/>
      <c r="AHQ123" s="47"/>
      <c r="AHR123" s="47"/>
      <c r="AHS123" s="47"/>
      <c r="AHT123" s="47"/>
      <c r="AHU123" s="47"/>
      <c r="AHV123" s="47"/>
      <c r="AHW123" s="47"/>
      <c r="AHX123" s="47"/>
      <c r="AHY123" s="47"/>
      <c r="AHZ123" s="47"/>
      <c r="AIA123" s="47"/>
      <c r="AIB123" s="47"/>
      <c r="AIC123" s="47"/>
      <c r="AID123" s="47"/>
      <c r="AIE123" s="47"/>
      <c r="AIF123" s="47"/>
      <c r="AIG123" s="47"/>
      <c r="AIH123" s="47"/>
      <c r="AII123" s="47"/>
      <c r="AIJ123" s="47"/>
      <c r="AIK123" s="47"/>
      <c r="AIL123" s="47"/>
      <c r="AIM123" s="47"/>
      <c r="AIN123" s="47"/>
      <c r="AIO123" s="47"/>
      <c r="AIP123" s="47"/>
      <c r="AIQ123" s="47"/>
      <c r="AIR123" s="47"/>
      <c r="AIS123" s="47"/>
      <c r="AIT123" s="47"/>
      <c r="AIU123" s="47"/>
      <c r="AIV123" s="47"/>
      <c r="AIW123" s="47"/>
      <c r="AIX123" s="47"/>
      <c r="AIY123" s="47"/>
      <c r="AIZ123" s="47"/>
      <c r="AJA123" s="47"/>
      <c r="AJB123" s="47"/>
      <c r="AJC123" s="47"/>
      <c r="AJD123" s="47"/>
      <c r="AJE123" s="47"/>
      <c r="AJF123" s="47"/>
      <c r="AJG123" s="47"/>
      <c r="AJH123" s="47"/>
      <c r="AJI123" s="47"/>
      <c r="AJJ123" s="47"/>
      <c r="AJK123" s="47"/>
      <c r="AJL123" s="47"/>
      <c r="AJM123" s="47"/>
      <c r="AJN123" s="47"/>
      <c r="AJO123" s="47"/>
      <c r="AJP123" s="47"/>
      <c r="AJQ123" s="47"/>
      <c r="AJR123" s="47"/>
      <c r="AJS123" s="47"/>
      <c r="AJT123" s="47"/>
      <c r="AJU123" s="47"/>
      <c r="AJV123" s="47"/>
      <c r="AJW123" s="47"/>
      <c r="AJX123" s="47"/>
      <c r="AJY123" s="47"/>
      <c r="AJZ123" s="47"/>
      <c r="AKA123" s="47"/>
      <c r="AKB123" s="47"/>
      <c r="AKC123" s="47"/>
      <c r="AKD123" s="47"/>
      <c r="AKE123" s="47"/>
      <c r="AKF123" s="47"/>
      <c r="AKG123" s="47"/>
      <c r="AKH123" s="47"/>
      <c r="AKI123" s="47"/>
      <c r="AKJ123" s="47"/>
      <c r="AKK123" s="47"/>
      <c r="AKL123" s="47"/>
      <c r="AKM123" s="47"/>
      <c r="AKN123" s="47"/>
      <c r="AKO123" s="47"/>
      <c r="AKP123" s="47"/>
      <c r="AKQ123" s="47"/>
      <c r="AKR123" s="47"/>
      <c r="AKS123" s="47"/>
      <c r="AKT123" s="47"/>
      <c r="AKU123" s="47"/>
      <c r="AKV123" s="47"/>
      <c r="AKW123" s="47"/>
      <c r="AKX123" s="47"/>
      <c r="AKY123" s="47"/>
      <c r="AKZ123" s="47"/>
      <c r="ALA123" s="47"/>
      <c r="ALB123" s="47"/>
      <c r="ALC123" s="47"/>
      <c r="ALD123" s="47"/>
      <c r="ALE123" s="47"/>
      <c r="ALF123" s="47"/>
      <c r="ALG123" s="47"/>
      <c r="ALH123" s="47"/>
      <c r="ALI123" s="47"/>
      <c r="ALJ123" s="47"/>
      <c r="ALK123" s="47"/>
      <c r="ALL123" s="47"/>
      <c r="ALM123" s="47"/>
      <c r="ALN123" s="47"/>
      <c r="ALO123" s="47"/>
      <c r="ALP123" s="47"/>
      <c r="ALQ123" s="47"/>
      <c r="ALR123" s="47"/>
      <c r="ALS123" s="47"/>
      <c r="ALT123" s="47"/>
      <c r="ALU123" s="47"/>
      <c r="ALV123" s="47"/>
      <c r="ALW123" s="47"/>
      <c r="ALX123" s="47"/>
      <c r="ALY123" s="47"/>
      <c r="ALZ123" s="47"/>
      <c r="AMA123" s="47"/>
      <c r="AMB123" s="47"/>
      <c r="AMC123" s="47"/>
      <c r="AMD123" s="47"/>
      <c r="AME123" s="47"/>
      <c r="AMF123" s="47"/>
      <c r="AMG123" s="47"/>
      <c r="AMH123" s="47"/>
      <c r="AMI123" s="47"/>
      <c r="AMJ123" s="47"/>
      <c r="AMK123" s="47"/>
      <c r="AML123" s="47"/>
      <c r="AMM123" s="47"/>
      <c r="AMN123" s="47"/>
      <c r="AMO123" s="47"/>
      <c r="AMP123" s="47"/>
      <c r="AMQ123" s="47"/>
      <c r="AMR123" s="47"/>
      <c r="AMS123" s="47"/>
      <c r="AMT123" s="47"/>
      <c r="AMU123" s="47"/>
      <c r="AMV123" s="47"/>
      <c r="AMW123" s="47"/>
      <c r="AMX123" s="47"/>
      <c r="AMY123" s="47"/>
      <c r="AMZ123" s="47"/>
      <c r="ANA123" s="47"/>
      <c r="ANB123" s="47"/>
      <c r="ANC123" s="47"/>
      <c r="AND123" s="47"/>
      <c r="ANE123" s="47"/>
      <c r="ANF123" s="47"/>
      <c r="ANG123" s="47"/>
      <c r="ANH123" s="47"/>
      <c r="ANI123" s="47"/>
      <c r="ANJ123" s="47"/>
      <c r="ANK123" s="47"/>
      <c r="ANL123" s="47"/>
      <c r="ANM123" s="47"/>
      <c r="ANN123" s="47"/>
      <c r="ANO123" s="47"/>
      <c r="ANP123" s="47"/>
      <c r="ANQ123" s="47"/>
      <c r="ANR123" s="47"/>
      <c r="ANS123" s="47"/>
      <c r="ANT123" s="47"/>
      <c r="ANU123" s="47"/>
      <c r="ANV123" s="47"/>
      <c r="ANW123" s="47"/>
      <c r="ANX123" s="47"/>
      <c r="ANY123" s="47"/>
      <c r="ANZ123" s="47"/>
      <c r="AOA123" s="47"/>
      <c r="AOB123" s="47"/>
      <c r="AOC123" s="47"/>
      <c r="AOD123" s="47"/>
      <c r="AOE123" s="47"/>
      <c r="AOF123" s="47"/>
      <c r="AOG123" s="47"/>
      <c r="AOH123" s="47"/>
      <c r="AOI123" s="47"/>
      <c r="AOJ123" s="47"/>
      <c r="AOK123" s="47"/>
      <c r="AOL123" s="47"/>
      <c r="AOM123" s="47"/>
      <c r="AON123" s="47"/>
      <c r="AOO123" s="47"/>
      <c r="AOP123" s="47"/>
      <c r="AOQ123" s="47"/>
      <c r="AOR123" s="47"/>
      <c r="AOS123" s="47"/>
      <c r="AOT123" s="47"/>
      <c r="AOU123" s="47"/>
      <c r="AOV123" s="47"/>
      <c r="AOW123" s="47"/>
      <c r="AOX123" s="47"/>
      <c r="AOY123" s="47"/>
      <c r="AOZ123" s="47"/>
      <c r="APA123" s="47"/>
      <c r="APB123" s="47"/>
      <c r="APC123" s="47"/>
      <c r="APD123" s="47"/>
      <c r="APE123" s="47"/>
      <c r="APF123" s="47"/>
      <c r="APG123" s="47"/>
      <c r="APH123" s="47"/>
      <c r="API123" s="47"/>
      <c r="APJ123" s="47"/>
      <c r="APK123" s="47"/>
      <c r="APL123" s="47"/>
      <c r="APM123" s="47"/>
      <c r="APN123" s="47"/>
      <c r="APO123" s="47"/>
      <c r="APP123" s="47"/>
      <c r="APQ123" s="47"/>
      <c r="APR123" s="47"/>
      <c r="APS123" s="47"/>
      <c r="APT123" s="47"/>
      <c r="APU123" s="47"/>
      <c r="APV123" s="47"/>
      <c r="APW123" s="47"/>
      <c r="APX123" s="47"/>
      <c r="APY123" s="47"/>
      <c r="APZ123" s="47"/>
      <c r="AQA123" s="47"/>
      <c r="AQB123" s="47"/>
      <c r="AQC123" s="47"/>
      <c r="AQD123" s="47"/>
      <c r="AQE123" s="47"/>
      <c r="AQF123" s="47"/>
      <c r="AQG123" s="47"/>
      <c r="AQH123" s="47"/>
      <c r="AQI123" s="47"/>
      <c r="AQJ123" s="47"/>
      <c r="AQK123" s="47"/>
      <c r="AQL123" s="47"/>
      <c r="AQM123" s="47"/>
      <c r="AQN123" s="47"/>
      <c r="AQO123" s="47"/>
      <c r="AQP123" s="47"/>
      <c r="AQQ123" s="47"/>
      <c r="AQR123" s="47"/>
      <c r="AQS123" s="47"/>
      <c r="AQT123" s="47"/>
      <c r="AQU123" s="47"/>
      <c r="AQV123" s="47"/>
      <c r="AQW123" s="47"/>
      <c r="AQX123" s="47"/>
      <c r="AQY123" s="47"/>
      <c r="AQZ123" s="47"/>
      <c r="ARA123" s="47"/>
      <c r="ARB123" s="47"/>
      <c r="ARC123" s="47"/>
      <c r="ARD123" s="47"/>
      <c r="ARE123" s="47"/>
      <c r="ARF123" s="47"/>
      <c r="ARG123" s="47"/>
      <c r="ARH123" s="47"/>
      <c r="ARI123" s="47"/>
      <c r="ARJ123" s="47"/>
      <c r="ARK123" s="47"/>
      <c r="ARL123" s="47"/>
      <c r="ARM123" s="47"/>
      <c r="ARN123" s="47"/>
      <c r="ARO123" s="47"/>
      <c r="ARP123" s="47"/>
      <c r="ARQ123" s="47"/>
      <c r="ARR123" s="47"/>
      <c r="ARS123" s="47"/>
      <c r="ART123" s="47"/>
      <c r="ARU123" s="47"/>
      <c r="ARV123" s="47"/>
      <c r="ARW123" s="47"/>
      <c r="ARX123" s="47"/>
      <c r="ARY123" s="47"/>
      <c r="ARZ123" s="47"/>
      <c r="ASA123" s="47"/>
      <c r="ASB123" s="47"/>
      <c r="ASC123" s="47"/>
      <c r="ASD123" s="47"/>
      <c r="ASE123" s="47"/>
      <c r="ASF123" s="47"/>
      <c r="ASG123" s="47"/>
      <c r="ASH123" s="47"/>
      <c r="ASI123" s="47"/>
      <c r="ASJ123" s="47"/>
      <c r="ASK123" s="47"/>
      <c r="ASL123" s="47"/>
      <c r="ASM123" s="47"/>
      <c r="ASN123" s="47"/>
      <c r="ASO123" s="47"/>
      <c r="ASP123" s="47"/>
      <c r="ASQ123" s="47"/>
      <c r="ASR123" s="47"/>
      <c r="ASS123" s="47"/>
      <c r="AST123" s="47"/>
      <c r="ASU123" s="47"/>
      <c r="ASV123" s="47"/>
      <c r="ASW123" s="47"/>
      <c r="ASX123" s="47"/>
      <c r="ASY123" s="47"/>
      <c r="ASZ123" s="47"/>
      <c r="ATA123" s="47"/>
      <c r="ATB123" s="47"/>
      <c r="ATC123" s="47"/>
      <c r="ATD123" s="47"/>
      <c r="ATE123" s="47"/>
      <c r="ATF123" s="47"/>
      <c r="ATG123" s="47"/>
      <c r="ATH123" s="47"/>
      <c r="ATI123" s="47"/>
      <c r="ATJ123" s="47"/>
      <c r="ATK123" s="47"/>
      <c r="ATL123" s="47"/>
      <c r="ATM123" s="47"/>
      <c r="ATN123" s="47"/>
      <c r="ATO123" s="47"/>
      <c r="ATP123" s="47"/>
      <c r="ATQ123" s="47"/>
      <c r="ATR123" s="47"/>
      <c r="ATS123" s="47"/>
      <c r="ATT123" s="47"/>
      <c r="ATU123" s="47"/>
      <c r="ATV123" s="47"/>
      <c r="ATW123" s="47"/>
      <c r="ATX123" s="47"/>
      <c r="ATY123" s="47"/>
      <c r="ATZ123" s="47"/>
      <c r="AUA123" s="47"/>
      <c r="AUB123" s="47"/>
      <c r="AUC123" s="47"/>
      <c r="AUD123" s="47"/>
      <c r="AUE123" s="47"/>
      <c r="AUF123" s="47"/>
      <c r="AUG123" s="47"/>
      <c r="AUH123" s="47"/>
      <c r="AUI123" s="47"/>
      <c r="AUJ123" s="47"/>
      <c r="AUK123" s="47"/>
      <c r="AUL123" s="47"/>
      <c r="AUM123" s="47"/>
      <c r="AUN123" s="47"/>
      <c r="AUO123" s="47"/>
      <c r="AUP123" s="47"/>
      <c r="AUQ123" s="47"/>
      <c r="AUR123" s="47"/>
      <c r="AUS123" s="47"/>
      <c r="AUT123" s="47"/>
      <c r="AUU123" s="47"/>
      <c r="AUV123" s="47"/>
      <c r="AUW123" s="47"/>
      <c r="AUX123" s="47"/>
      <c r="AUY123" s="47"/>
      <c r="AUZ123" s="47"/>
      <c r="AVA123" s="47"/>
      <c r="AVB123" s="47"/>
      <c r="AVC123" s="47"/>
      <c r="AVD123" s="47"/>
      <c r="AVE123" s="47"/>
      <c r="AVF123" s="47"/>
      <c r="AVG123" s="47"/>
      <c r="AVH123" s="47"/>
      <c r="AVI123" s="47"/>
      <c r="AVJ123" s="47"/>
      <c r="AVK123" s="47"/>
      <c r="AVL123" s="47"/>
      <c r="AVM123" s="47"/>
      <c r="AVN123" s="47"/>
      <c r="AVO123" s="47"/>
      <c r="AVP123" s="47"/>
      <c r="AVQ123" s="47"/>
      <c r="AVR123" s="47"/>
      <c r="AVS123" s="47"/>
      <c r="AVT123" s="47"/>
      <c r="AVU123" s="47"/>
      <c r="AVV123" s="47"/>
      <c r="AVW123" s="47"/>
      <c r="AVX123" s="47"/>
      <c r="AVY123" s="47"/>
      <c r="AVZ123" s="47"/>
      <c r="AWA123" s="47"/>
      <c r="AWB123" s="47"/>
      <c r="AWC123" s="47"/>
      <c r="AWD123" s="47"/>
      <c r="AWE123" s="47"/>
      <c r="AWF123" s="47"/>
      <c r="AWG123" s="47"/>
      <c r="AWH123" s="47"/>
      <c r="AWI123" s="47"/>
      <c r="AWJ123" s="47"/>
      <c r="AWK123" s="47"/>
      <c r="AWL123" s="47"/>
      <c r="AWM123" s="47"/>
      <c r="AWN123" s="47"/>
      <c r="AWO123" s="47"/>
      <c r="AWP123" s="47"/>
      <c r="AWQ123" s="47"/>
      <c r="AWR123" s="47"/>
      <c r="AWS123" s="47"/>
      <c r="AWT123" s="47"/>
      <c r="AWU123" s="47"/>
      <c r="AWV123" s="47"/>
      <c r="AWW123" s="47"/>
      <c r="AWX123" s="47"/>
      <c r="AWY123" s="47"/>
      <c r="AWZ123" s="47"/>
      <c r="AXA123" s="47"/>
      <c r="AXB123" s="47"/>
      <c r="AXC123" s="47"/>
      <c r="AXD123" s="47"/>
      <c r="AXE123" s="47"/>
      <c r="AXF123" s="47"/>
      <c r="AXG123" s="47"/>
      <c r="AXH123" s="47"/>
      <c r="AXI123" s="47"/>
      <c r="AXJ123" s="47"/>
      <c r="AXK123" s="47"/>
      <c r="AXL123" s="47"/>
      <c r="AXM123" s="47"/>
      <c r="AXN123" s="47"/>
      <c r="AXO123" s="47"/>
      <c r="AXP123" s="47"/>
      <c r="AXQ123" s="47"/>
      <c r="AXR123" s="47"/>
      <c r="AXS123" s="47"/>
      <c r="AXT123" s="47"/>
      <c r="AXU123" s="47"/>
      <c r="AXV123" s="47"/>
      <c r="AXW123" s="47"/>
      <c r="AXX123" s="47"/>
      <c r="AXY123" s="47"/>
      <c r="AXZ123" s="47"/>
      <c r="AYA123" s="47"/>
      <c r="AYB123" s="47"/>
      <c r="AYC123" s="47"/>
      <c r="AYD123" s="47"/>
      <c r="AYE123" s="47"/>
      <c r="AYF123" s="47"/>
      <c r="AYG123" s="47"/>
      <c r="AYH123" s="47"/>
      <c r="AYI123" s="47"/>
      <c r="AYJ123" s="47"/>
      <c r="AYK123" s="47"/>
      <c r="AYL123" s="47"/>
      <c r="AYM123" s="47"/>
      <c r="AYN123" s="47"/>
      <c r="AYO123" s="47"/>
      <c r="AYP123" s="47"/>
      <c r="AYQ123" s="47"/>
      <c r="AYR123" s="47"/>
      <c r="AYS123" s="47"/>
      <c r="AYT123" s="47"/>
      <c r="AYU123" s="47"/>
      <c r="AYV123" s="47"/>
      <c r="AYW123" s="47"/>
      <c r="AYX123" s="47"/>
      <c r="AYY123" s="47"/>
      <c r="AYZ123" s="47"/>
      <c r="AZA123" s="47"/>
      <c r="AZB123" s="47"/>
      <c r="AZC123" s="47"/>
      <c r="AZD123" s="47"/>
      <c r="AZE123" s="47"/>
      <c r="AZF123" s="47"/>
      <c r="AZG123" s="47"/>
      <c r="AZH123" s="47"/>
      <c r="AZI123" s="47"/>
      <c r="AZJ123" s="47"/>
      <c r="AZK123" s="47"/>
      <c r="AZL123" s="47"/>
      <c r="AZM123" s="47"/>
      <c r="AZN123" s="47"/>
      <c r="AZO123" s="47"/>
      <c r="AZP123" s="47"/>
      <c r="AZQ123" s="47"/>
      <c r="AZR123" s="47"/>
      <c r="AZS123" s="47"/>
      <c r="AZT123" s="47"/>
      <c r="AZU123" s="47"/>
      <c r="AZV123" s="47"/>
      <c r="AZW123" s="47"/>
      <c r="AZX123" s="47"/>
      <c r="AZY123" s="47"/>
      <c r="AZZ123" s="47"/>
      <c r="BAA123" s="47"/>
      <c r="BAB123" s="47"/>
      <c r="BAC123" s="47"/>
      <c r="BAD123" s="47"/>
      <c r="BAE123" s="47"/>
      <c r="BAF123" s="47"/>
      <c r="BAG123" s="47"/>
      <c r="BAH123" s="47"/>
      <c r="BAI123" s="47"/>
      <c r="BAJ123" s="47"/>
      <c r="BAK123" s="47"/>
      <c r="BAL123" s="47"/>
      <c r="BAM123" s="47"/>
      <c r="BAN123" s="47"/>
      <c r="BAO123" s="47"/>
      <c r="BAP123" s="47"/>
      <c r="BAQ123" s="47"/>
      <c r="BAR123" s="47"/>
      <c r="BAS123" s="47"/>
      <c r="BAT123" s="47"/>
      <c r="BAU123" s="47"/>
      <c r="BAV123" s="47"/>
      <c r="BAW123" s="47"/>
      <c r="BAX123" s="47"/>
      <c r="BAY123" s="47"/>
      <c r="BAZ123" s="47"/>
      <c r="BBA123" s="47"/>
      <c r="BBB123" s="47"/>
      <c r="BBC123" s="47"/>
      <c r="BBD123" s="47"/>
      <c r="BBE123" s="47"/>
      <c r="BBF123" s="47"/>
      <c r="BBG123" s="47"/>
      <c r="BBH123" s="47"/>
      <c r="BBI123" s="47"/>
      <c r="BBJ123" s="47"/>
      <c r="BBK123" s="47"/>
      <c r="BBL123" s="47"/>
      <c r="BBM123" s="47"/>
      <c r="BBN123" s="47"/>
      <c r="BBO123" s="47"/>
      <c r="BBP123" s="47"/>
      <c r="BBQ123" s="47"/>
      <c r="BBR123" s="47"/>
      <c r="BBS123" s="47"/>
      <c r="BBT123" s="47"/>
      <c r="BBU123" s="47"/>
      <c r="BBV123" s="47"/>
      <c r="BBW123" s="47"/>
      <c r="BBX123" s="47"/>
      <c r="BBY123" s="47"/>
      <c r="BBZ123" s="47"/>
      <c r="BCA123" s="47"/>
      <c r="BCB123" s="47"/>
      <c r="BCC123" s="47"/>
      <c r="BCD123" s="47"/>
      <c r="BCE123" s="47"/>
      <c r="BCF123" s="47"/>
      <c r="BCG123" s="47"/>
      <c r="BCH123" s="47"/>
      <c r="BCI123" s="47"/>
      <c r="BCJ123" s="47"/>
      <c r="BCK123" s="47"/>
      <c r="BCL123" s="47"/>
      <c r="BCM123" s="47"/>
      <c r="BCN123" s="47"/>
      <c r="BCO123" s="47"/>
      <c r="BCP123" s="47"/>
      <c r="BCQ123" s="47"/>
      <c r="BCR123" s="47"/>
      <c r="BCS123" s="47"/>
      <c r="BCT123" s="47"/>
      <c r="BCU123" s="47"/>
      <c r="BCV123" s="47"/>
      <c r="BCW123" s="47"/>
      <c r="BCX123" s="47"/>
      <c r="BCY123" s="47"/>
      <c r="BCZ123" s="47"/>
      <c r="BDA123" s="47"/>
      <c r="BDB123" s="47"/>
      <c r="BDC123" s="47"/>
      <c r="BDD123" s="47"/>
      <c r="BDE123" s="47"/>
      <c r="BDF123" s="47"/>
      <c r="BDG123" s="47"/>
      <c r="BDH123" s="47"/>
      <c r="BDI123" s="47"/>
      <c r="BDJ123" s="47"/>
      <c r="BDK123" s="47"/>
      <c r="BDL123" s="47"/>
      <c r="BDM123" s="47"/>
      <c r="BDN123" s="47"/>
      <c r="BDO123" s="47"/>
      <c r="BDP123" s="47"/>
      <c r="BDQ123" s="47"/>
      <c r="BDR123" s="47"/>
      <c r="BDS123" s="47"/>
      <c r="BDT123" s="47"/>
      <c r="BDU123" s="47"/>
      <c r="BDV123" s="47"/>
      <c r="BDW123" s="47"/>
      <c r="BDX123" s="47"/>
      <c r="BDY123" s="47"/>
      <c r="BDZ123" s="47"/>
      <c r="BEA123" s="47"/>
      <c r="BEB123" s="47"/>
      <c r="BEC123" s="47"/>
      <c r="BED123" s="47"/>
      <c r="BEE123" s="47"/>
      <c r="BEF123" s="47"/>
      <c r="BEG123" s="47"/>
      <c r="BEH123" s="47"/>
      <c r="BEI123" s="47"/>
      <c r="BEJ123" s="47"/>
      <c r="BEK123" s="47"/>
      <c r="BEL123" s="47"/>
      <c r="BEM123" s="47"/>
      <c r="BEN123" s="47"/>
      <c r="BEO123" s="47"/>
      <c r="BEP123" s="47"/>
      <c r="BEQ123" s="47"/>
      <c r="BER123" s="47"/>
      <c r="BES123" s="47"/>
      <c r="BET123" s="47"/>
      <c r="BEU123" s="47"/>
      <c r="BEV123" s="47"/>
      <c r="BEW123" s="47"/>
      <c r="BEX123" s="47"/>
      <c r="BEY123" s="47"/>
      <c r="BEZ123" s="47"/>
      <c r="BFA123" s="47"/>
      <c r="BFB123" s="47"/>
      <c r="BFC123" s="47"/>
      <c r="BFD123" s="47"/>
      <c r="BFE123" s="47"/>
      <c r="BFF123" s="47"/>
      <c r="BFG123" s="47"/>
      <c r="BFH123" s="47"/>
      <c r="BFI123" s="47"/>
      <c r="BFJ123" s="47"/>
      <c r="BFK123" s="47"/>
      <c r="BFL123" s="47"/>
      <c r="BFM123" s="47"/>
      <c r="BFN123" s="47"/>
      <c r="BFO123" s="47"/>
      <c r="BFP123" s="47"/>
      <c r="BFQ123" s="47"/>
      <c r="BFR123" s="47"/>
      <c r="BFS123" s="47"/>
      <c r="BFT123" s="47"/>
      <c r="BFU123" s="47"/>
      <c r="BFV123" s="47"/>
      <c r="BFW123" s="47"/>
      <c r="BFX123" s="47"/>
      <c r="BFY123" s="47"/>
      <c r="BFZ123" s="47"/>
      <c r="BGA123" s="47"/>
      <c r="BGB123" s="47"/>
      <c r="BGC123" s="47"/>
      <c r="BGD123" s="47"/>
      <c r="BGE123" s="47"/>
      <c r="BGF123" s="47"/>
      <c r="BGG123" s="47"/>
      <c r="BGH123" s="47"/>
      <c r="BGI123" s="47"/>
      <c r="BGJ123" s="47"/>
      <c r="BGK123" s="47"/>
      <c r="BGL123" s="47"/>
      <c r="BGM123" s="47"/>
      <c r="BGN123" s="47"/>
      <c r="BGO123" s="47"/>
      <c r="BGP123" s="47"/>
      <c r="BGQ123" s="47"/>
      <c r="BGR123" s="47"/>
      <c r="BGS123" s="47"/>
      <c r="BGT123" s="47"/>
      <c r="BGU123" s="47"/>
      <c r="BGV123" s="47"/>
      <c r="BGW123" s="47"/>
      <c r="BGX123" s="47"/>
      <c r="BGY123" s="47"/>
      <c r="BGZ123" s="47"/>
      <c r="BHA123" s="47"/>
      <c r="BHB123" s="47"/>
      <c r="BHC123" s="47"/>
      <c r="BHD123" s="47"/>
      <c r="BHE123" s="47"/>
      <c r="BHF123" s="47"/>
      <c r="BHG123" s="47"/>
      <c r="BHH123" s="47"/>
      <c r="BHI123" s="47"/>
      <c r="BHJ123" s="47"/>
      <c r="BHK123" s="47"/>
      <c r="BHL123" s="47"/>
      <c r="BHM123" s="47"/>
      <c r="BHN123" s="47"/>
      <c r="BHO123" s="47"/>
      <c r="BHP123" s="47"/>
      <c r="BHQ123" s="47"/>
      <c r="BHR123" s="47"/>
      <c r="BHS123" s="47"/>
      <c r="BHT123" s="47"/>
      <c r="BHU123" s="47"/>
      <c r="BHV123" s="47"/>
      <c r="BHW123" s="47"/>
      <c r="BHX123" s="47"/>
      <c r="BHY123" s="47"/>
      <c r="BHZ123" s="47"/>
      <c r="BIA123" s="47"/>
      <c r="BIB123" s="47"/>
      <c r="BIC123" s="47"/>
      <c r="BID123" s="47"/>
      <c r="BIE123" s="47"/>
      <c r="BIF123" s="47"/>
      <c r="BIG123" s="47"/>
      <c r="BIH123" s="47"/>
      <c r="BII123" s="47"/>
      <c r="BIJ123" s="47"/>
      <c r="BIK123" s="47"/>
      <c r="BIL123" s="47"/>
      <c r="BIM123" s="47"/>
      <c r="BIN123" s="47"/>
      <c r="BIO123" s="47"/>
      <c r="BIP123" s="47"/>
      <c r="BIQ123" s="47"/>
      <c r="BIR123" s="47"/>
      <c r="BIS123" s="47"/>
      <c r="BIT123" s="47"/>
      <c r="BIU123" s="47"/>
      <c r="BIV123" s="47"/>
      <c r="BIW123" s="47"/>
      <c r="BIX123" s="47"/>
      <c r="BIY123" s="47"/>
      <c r="BIZ123" s="47"/>
      <c r="BJA123" s="47"/>
      <c r="BJB123" s="47"/>
      <c r="BJC123" s="47"/>
      <c r="BJD123" s="47"/>
      <c r="BJE123" s="47"/>
      <c r="BJF123" s="47"/>
      <c r="BJG123" s="47"/>
      <c r="BJH123" s="47"/>
      <c r="BJI123" s="47"/>
      <c r="BJJ123" s="47"/>
      <c r="BJK123" s="47"/>
      <c r="BJL123" s="47"/>
      <c r="BJM123" s="47"/>
      <c r="BJN123" s="47"/>
      <c r="BJO123" s="47"/>
      <c r="BJP123" s="47"/>
      <c r="BJQ123" s="47"/>
      <c r="BJR123" s="47"/>
      <c r="BJS123" s="47"/>
      <c r="BJT123" s="47"/>
      <c r="BJU123" s="47"/>
      <c r="BJV123" s="47"/>
      <c r="BJW123" s="47"/>
      <c r="BJX123" s="47"/>
      <c r="BJY123" s="47"/>
      <c r="BJZ123" s="47"/>
      <c r="BKA123" s="47"/>
      <c r="BKB123" s="47"/>
      <c r="BKC123" s="47"/>
      <c r="BKD123" s="47"/>
      <c r="BKE123" s="47"/>
      <c r="BKF123" s="47"/>
      <c r="BKG123" s="47"/>
      <c r="BKH123" s="47"/>
      <c r="BKI123" s="47"/>
      <c r="BKJ123" s="47"/>
      <c r="BKK123" s="47"/>
      <c r="BKL123" s="47"/>
      <c r="BKM123" s="47"/>
      <c r="BKN123" s="47"/>
      <c r="BKO123" s="47"/>
      <c r="BKP123" s="47"/>
      <c r="BKQ123" s="47"/>
      <c r="BKR123" s="47"/>
      <c r="BKS123" s="47"/>
      <c r="BKT123" s="47"/>
      <c r="BKU123" s="47"/>
      <c r="BKV123" s="47"/>
      <c r="BKW123" s="47"/>
      <c r="BKX123" s="47"/>
      <c r="BKY123" s="47"/>
      <c r="BKZ123" s="47"/>
      <c r="BLA123" s="47"/>
      <c r="BLB123" s="47"/>
      <c r="BLC123" s="47"/>
      <c r="BLD123" s="47"/>
      <c r="BLE123" s="47"/>
      <c r="BLF123" s="47"/>
      <c r="BLG123" s="47"/>
      <c r="BLH123" s="47"/>
      <c r="BLI123" s="47"/>
      <c r="BLJ123" s="47"/>
      <c r="BLK123" s="47"/>
      <c r="BLL123" s="47"/>
      <c r="BLM123" s="47"/>
      <c r="BLN123" s="47"/>
      <c r="BLO123" s="47"/>
      <c r="BLP123" s="47"/>
      <c r="BLQ123" s="47"/>
      <c r="BLR123" s="47"/>
      <c r="BLS123" s="47"/>
      <c r="BLT123" s="47"/>
      <c r="BLU123" s="47"/>
      <c r="BLV123" s="47"/>
      <c r="BLW123" s="47"/>
      <c r="BLX123" s="47"/>
      <c r="BLY123" s="47"/>
      <c r="BLZ123" s="47"/>
      <c r="BMA123" s="47"/>
      <c r="BMB123" s="47"/>
      <c r="BMC123" s="47"/>
      <c r="BMD123" s="47"/>
      <c r="BME123" s="47"/>
      <c r="BMF123" s="47"/>
      <c r="BMG123" s="47"/>
      <c r="BMH123" s="47"/>
      <c r="BMI123" s="47"/>
      <c r="BMJ123" s="47"/>
      <c r="BMK123" s="47"/>
      <c r="BML123" s="47"/>
      <c r="BMM123" s="47"/>
      <c r="BMN123" s="47"/>
      <c r="BMO123" s="47"/>
      <c r="BMP123" s="47"/>
      <c r="BMQ123" s="47"/>
      <c r="BMR123" s="47"/>
      <c r="BMS123" s="47"/>
      <c r="BMT123" s="47"/>
      <c r="BMU123" s="47"/>
      <c r="BMV123" s="47"/>
      <c r="BMW123" s="47"/>
      <c r="BMX123" s="47"/>
      <c r="BMY123" s="47"/>
      <c r="BMZ123" s="47"/>
      <c r="BNA123" s="47"/>
      <c r="BNB123" s="47"/>
      <c r="BNC123" s="47"/>
      <c r="BND123" s="47"/>
      <c r="BNE123" s="47"/>
      <c r="BNF123" s="47"/>
      <c r="BNG123" s="47"/>
      <c r="BNH123" s="47"/>
      <c r="BNI123" s="47"/>
      <c r="BNJ123" s="47"/>
      <c r="BNK123" s="47"/>
      <c r="BNL123" s="47"/>
      <c r="BNM123" s="47"/>
      <c r="BNN123" s="47"/>
      <c r="BNO123" s="47"/>
      <c r="BNP123" s="47"/>
      <c r="BNQ123" s="47"/>
      <c r="BNR123" s="47"/>
      <c r="BNS123" s="47"/>
      <c r="BNT123" s="47"/>
      <c r="BNU123" s="47"/>
      <c r="BNV123" s="47"/>
      <c r="BNW123" s="47"/>
      <c r="BNX123" s="47"/>
      <c r="BNY123" s="47"/>
      <c r="BNZ123" s="47"/>
      <c r="BOA123" s="47"/>
      <c r="BOB123" s="47"/>
      <c r="BOC123" s="47"/>
      <c r="BOD123" s="47"/>
      <c r="BOE123" s="47"/>
      <c r="BOF123" s="47"/>
      <c r="BOG123" s="47"/>
      <c r="BOH123" s="47"/>
      <c r="BOI123" s="47"/>
      <c r="BOJ123" s="47"/>
      <c r="BOK123" s="47"/>
      <c r="BOL123" s="47"/>
      <c r="BOM123" s="47"/>
      <c r="BON123" s="47"/>
      <c r="BOO123" s="47"/>
      <c r="BOP123" s="47"/>
      <c r="BOQ123" s="47"/>
      <c r="BOR123" s="47"/>
      <c r="BOS123" s="47"/>
      <c r="BOT123" s="47"/>
      <c r="BOU123" s="47"/>
      <c r="BOV123" s="47"/>
      <c r="BOW123" s="47"/>
      <c r="BOX123" s="47"/>
      <c r="BOY123" s="47"/>
      <c r="BOZ123" s="47"/>
      <c r="BPA123" s="47"/>
      <c r="BPB123" s="47"/>
      <c r="BPC123" s="47"/>
      <c r="BPD123" s="47"/>
      <c r="BPE123" s="47"/>
      <c r="BPF123" s="47"/>
      <c r="BPG123" s="47"/>
      <c r="BPH123" s="47"/>
      <c r="BPI123" s="47"/>
      <c r="BPJ123" s="47"/>
      <c r="BPK123" s="47"/>
      <c r="BPL123" s="47"/>
      <c r="BPM123" s="47"/>
      <c r="BPN123" s="47"/>
      <c r="BPO123" s="47"/>
      <c r="BPP123" s="47"/>
      <c r="BPQ123" s="47"/>
      <c r="BPR123" s="47"/>
      <c r="BPS123" s="47"/>
      <c r="BPT123" s="47"/>
      <c r="BPU123" s="47"/>
      <c r="BPV123" s="47"/>
      <c r="BPW123" s="47"/>
      <c r="BPX123" s="47"/>
      <c r="BPY123" s="47"/>
      <c r="BPZ123" s="47"/>
      <c r="BQA123" s="47"/>
      <c r="BQB123" s="47"/>
      <c r="BQC123" s="47"/>
      <c r="BQD123" s="47"/>
      <c r="BQE123" s="47"/>
      <c r="BQF123" s="47"/>
      <c r="BQG123" s="47"/>
      <c r="BQH123" s="47"/>
      <c r="BQI123" s="47"/>
      <c r="BQJ123" s="47"/>
      <c r="BQK123" s="47"/>
      <c r="BQL123" s="47"/>
      <c r="BQM123" s="47"/>
      <c r="BQN123" s="47"/>
      <c r="BQO123" s="47"/>
      <c r="BQP123" s="47"/>
      <c r="BQQ123" s="47"/>
      <c r="BQR123" s="47"/>
      <c r="BQS123" s="47"/>
      <c r="BQT123" s="47"/>
      <c r="BQU123" s="47"/>
      <c r="BQV123" s="47"/>
      <c r="BQW123" s="47"/>
      <c r="BQX123" s="47"/>
      <c r="BQY123" s="47"/>
      <c r="BQZ123" s="47"/>
      <c r="BRA123" s="47"/>
      <c r="BRB123" s="47"/>
      <c r="BRC123" s="47"/>
      <c r="BRD123" s="47"/>
      <c r="BRE123" s="47"/>
      <c r="BRF123" s="47"/>
      <c r="BRG123" s="47"/>
      <c r="BRH123" s="47"/>
      <c r="BRI123" s="47"/>
      <c r="BRJ123" s="47"/>
      <c r="BRK123" s="47"/>
      <c r="BRL123" s="47"/>
      <c r="BRM123" s="47"/>
      <c r="BRN123" s="47"/>
      <c r="BRO123" s="47"/>
      <c r="BRP123" s="47"/>
      <c r="BRQ123" s="47"/>
      <c r="BRR123" s="47"/>
      <c r="BRS123" s="47"/>
      <c r="BRT123" s="47"/>
      <c r="BRU123" s="47"/>
      <c r="BRV123" s="47"/>
      <c r="BRW123" s="47"/>
      <c r="BRX123" s="47"/>
      <c r="BRY123" s="47"/>
      <c r="BRZ123" s="47"/>
      <c r="BSA123" s="47"/>
      <c r="BSB123" s="47"/>
      <c r="BSC123" s="47"/>
      <c r="BSD123" s="47"/>
      <c r="BSE123" s="47"/>
      <c r="BSF123" s="47"/>
      <c r="BSG123" s="47"/>
      <c r="BSH123" s="47"/>
      <c r="BSI123" s="47"/>
      <c r="BSJ123" s="47"/>
      <c r="BSK123" s="47"/>
      <c r="BSL123" s="47"/>
      <c r="BSM123" s="47"/>
      <c r="BSN123" s="47"/>
      <c r="BSO123" s="47"/>
      <c r="BSP123" s="47"/>
      <c r="BSQ123" s="47"/>
      <c r="BSR123" s="47"/>
      <c r="BSS123" s="47"/>
      <c r="BST123" s="47"/>
      <c r="BSU123" s="47"/>
      <c r="BSV123" s="47"/>
      <c r="BSW123" s="47"/>
      <c r="BSX123" s="47"/>
      <c r="BSY123" s="47"/>
      <c r="BSZ123" s="47"/>
      <c r="BTA123" s="47"/>
      <c r="BTB123" s="47"/>
      <c r="BTC123" s="47"/>
      <c r="BTD123" s="47"/>
      <c r="BTE123" s="47"/>
      <c r="BTF123" s="47"/>
      <c r="BTG123" s="47"/>
      <c r="BTH123" s="47"/>
      <c r="BTI123" s="47"/>
      <c r="BTJ123" s="47"/>
      <c r="BTK123" s="47"/>
      <c r="BTL123" s="47"/>
      <c r="BTM123" s="47"/>
      <c r="BTN123" s="47"/>
      <c r="BTO123" s="47"/>
      <c r="BTP123" s="47"/>
      <c r="BTQ123" s="47"/>
      <c r="BTR123" s="47"/>
      <c r="BTS123" s="47"/>
      <c r="BTT123" s="47"/>
      <c r="BTU123" s="47"/>
      <c r="BTV123" s="47"/>
      <c r="BTW123" s="47"/>
      <c r="BTX123" s="47"/>
      <c r="BTY123" s="47"/>
      <c r="BTZ123" s="47"/>
      <c r="BUA123" s="47"/>
      <c r="BUB123" s="47"/>
      <c r="BUC123" s="47"/>
      <c r="BUD123" s="47"/>
      <c r="BUE123" s="47"/>
      <c r="BUF123" s="47"/>
      <c r="BUG123" s="47"/>
      <c r="BUH123" s="47"/>
      <c r="BUI123" s="47"/>
      <c r="BUJ123" s="47"/>
      <c r="BUK123" s="47"/>
      <c r="BUL123" s="47"/>
      <c r="BUM123" s="47"/>
      <c r="BUN123" s="47"/>
      <c r="BUO123" s="47"/>
      <c r="BUP123" s="47"/>
      <c r="BUQ123" s="47"/>
      <c r="BUR123" s="47"/>
      <c r="BUS123" s="47"/>
      <c r="BUT123" s="47"/>
      <c r="BUU123" s="47"/>
      <c r="BUV123" s="47"/>
      <c r="BUW123" s="47"/>
      <c r="BUX123" s="47"/>
      <c r="BUY123" s="47"/>
      <c r="BUZ123" s="47"/>
      <c r="BVA123" s="47"/>
      <c r="BVB123" s="47"/>
      <c r="BVC123" s="47"/>
      <c r="BVD123" s="47"/>
      <c r="BVE123" s="47"/>
      <c r="BVF123" s="47"/>
      <c r="BVG123" s="47"/>
      <c r="BVH123" s="47"/>
      <c r="BVI123" s="47"/>
      <c r="BVJ123" s="47"/>
      <c r="BVK123" s="47"/>
      <c r="BVL123" s="47"/>
      <c r="BVM123" s="47"/>
      <c r="BVN123" s="47"/>
      <c r="BVO123" s="47"/>
      <c r="BVP123" s="47"/>
      <c r="BVQ123" s="47"/>
      <c r="BVR123" s="47"/>
      <c r="BVS123" s="47"/>
      <c r="BVT123" s="47"/>
      <c r="BVU123" s="47"/>
      <c r="BVV123" s="47"/>
      <c r="BVW123" s="47"/>
      <c r="BVX123" s="47"/>
      <c r="BVY123" s="47"/>
      <c r="BVZ123" s="47"/>
      <c r="BWA123" s="47"/>
      <c r="BWB123" s="47"/>
      <c r="BWC123" s="47"/>
      <c r="BWD123" s="47"/>
      <c r="BWE123" s="47"/>
      <c r="BWF123" s="47"/>
      <c r="BWG123" s="47"/>
      <c r="BWH123" s="47"/>
      <c r="BWI123" s="47"/>
      <c r="BWJ123" s="47"/>
      <c r="BWK123" s="47"/>
      <c r="BWL123" s="47"/>
      <c r="BWM123" s="47"/>
      <c r="BWN123" s="47"/>
      <c r="BWO123" s="47"/>
      <c r="BWP123" s="47"/>
      <c r="BWQ123" s="47"/>
      <c r="BWR123" s="47"/>
      <c r="BWS123" s="47"/>
      <c r="BWT123" s="47"/>
      <c r="BWU123" s="47"/>
      <c r="BWV123" s="47"/>
      <c r="BWW123" s="47"/>
      <c r="BWX123" s="47"/>
      <c r="BWY123" s="47"/>
      <c r="BWZ123" s="47"/>
      <c r="BXA123" s="47"/>
      <c r="BXB123" s="47"/>
      <c r="BXC123" s="47"/>
      <c r="BXD123" s="47"/>
      <c r="BXE123" s="47"/>
      <c r="BXF123" s="47"/>
      <c r="BXG123" s="47"/>
      <c r="BXH123" s="47"/>
      <c r="BXI123" s="47"/>
      <c r="BXJ123" s="47"/>
      <c r="BXK123" s="47"/>
      <c r="BXL123" s="47"/>
      <c r="BXM123" s="47"/>
      <c r="BXN123" s="47"/>
      <c r="BXO123" s="47"/>
      <c r="BXP123" s="47"/>
      <c r="BXQ123" s="47"/>
      <c r="BXR123" s="47"/>
      <c r="BXS123" s="47"/>
      <c r="BXT123" s="47"/>
      <c r="BXU123" s="47"/>
      <c r="BXV123" s="47"/>
      <c r="BXW123" s="47"/>
      <c r="BXX123" s="47"/>
      <c r="BXY123" s="47"/>
      <c r="BXZ123" s="47"/>
      <c r="BYA123" s="47"/>
      <c r="BYB123" s="47"/>
      <c r="BYC123" s="47"/>
      <c r="BYD123" s="47"/>
      <c r="BYE123" s="47"/>
      <c r="BYF123" s="47"/>
      <c r="BYG123" s="47"/>
      <c r="BYH123" s="47"/>
      <c r="BYI123" s="47"/>
      <c r="BYJ123" s="47"/>
      <c r="BYK123" s="47"/>
      <c r="BYL123" s="47"/>
      <c r="BYM123" s="47"/>
      <c r="BYN123" s="47"/>
      <c r="BYO123" s="47"/>
      <c r="BYP123" s="47"/>
      <c r="BYQ123" s="47"/>
      <c r="BYR123" s="47"/>
      <c r="BYS123" s="47"/>
      <c r="BYT123" s="47"/>
      <c r="BYU123" s="47"/>
      <c r="BYV123" s="47"/>
      <c r="BYW123" s="47"/>
      <c r="BYX123" s="47"/>
      <c r="BYY123" s="47"/>
      <c r="BYZ123" s="47"/>
      <c r="BZA123" s="47"/>
      <c r="BZB123" s="47"/>
      <c r="BZC123" s="47"/>
      <c r="BZD123" s="47"/>
      <c r="BZE123" s="47"/>
      <c r="BZF123" s="47"/>
      <c r="BZG123" s="47"/>
      <c r="BZH123" s="47"/>
      <c r="BZI123" s="47"/>
      <c r="BZJ123" s="47"/>
      <c r="BZK123" s="47"/>
      <c r="BZL123" s="47"/>
      <c r="BZM123" s="47"/>
      <c r="BZN123" s="47"/>
      <c r="BZO123" s="47"/>
      <c r="BZP123" s="47"/>
      <c r="BZQ123" s="47"/>
      <c r="BZR123" s="47"/>
      <c r="BZS123" s="47"/>
      <c r="BZT123" s="47"/>
      <c r="BZU123" s="47"/>
      <c r="BZV123" s="47"/>
      <c r="BZW123" s="47"/>
      <c r="BZX123" s="47"/>
      <c r="BZY123" s="47"/>
      <c r="BZZ123" s="47"/>
      <c r="CAA123" s="47"/>
      <c r="CAB123" s="47"/>
      <c r="CAC123" s="47"/>
      <c r="CAD123" s="47"/>
      <c r="CAE123" s="47"/>
      <c r="CAF123" s="47"/>
      <c r="CAG123" s="47"/>
      <c r="CAH123" s="47"/>
      <c r="CAI123" s="47"/>
      <c r="CAJ123" s="47"/>
      <c r="CAK123" s="47"/>
      <c r="CAL123" s="47"/>
      <c r="CAM123" s="47"/>
      <c r="CAN123" s="47"/>
      <c r="CAO123" s="47"/>
      <c r="CAP123" s="47"/>
      <c r="CAQ123" s="47"/>
      <c r="CAR123" s="47"/>
      <c r="CAS123" s="47"/>
      <c r="CAT123" s="47"/>
      <c r="CAU123" s="47"/>
      <c r="CAV123" s="47"/>
      <c r="CAW123" s="47"/>
      <c r="CAX123" s="47"/>
      <c r="CAY123" s="47"/>
      <c r="CAZ123" s="47"/>
      <c r="CBA123" s="47"/>
      <c r="CBB123" s="47"/>
      <c r="CBC123" s="47"/>
      <c r="CBD123" s="47"/>
      <c r="CBE123" s="47"/>
      <c r="CBF123" s="47"/>
      <c r="CBG123" s="47"/>
      <c r="CBH123" s="47"/>
    </row>
    <row r="124" spans="1:2088" x14ac:dyDescent="0.2">
      <c r="A124" s="48" t="s">
        <v>136</v>
      </c>
      <c r="B124" s="60" t="str">
        <f t="shared" ref="B124" si="24">IFERROR(IF(B109="yes",$A$109,IF(B110="yes",$A$110,IF(B111="yes",$A$111,IF(B112="yes",$A$112,IF(B114="yes",$A$114,""))))), "")</f>
        <v/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  <c r="DN124" s="47"/>
      <c r="DO124" s="47"/>
      <c r="DP124" s="47"/>
      <c r="DQ124" s="47"/>
      <c r="DR124" s="47"/>
      <c r="DS124" s="47"/>
      <c r="DT124" s="47"/>
      <c r="DU124" s="47"/>
      <c r="DV124" s="47"/>
      <c r="DW124" s="47"/>
      <c r="DX124" s="47"/>
      <c r="DY124" s="47"/>
      <c r="DZ124" s="47"/>
      <c r="EA124" s="47"/>
      <c r="EB124" s="47"/>
      <c r="EC124" s="47"/>
      <c r="ED124" s="47"/>
      <c r="EE124" s="47"/>
      <c r="EF124" s="47"/>
      <c r="EG124" s="47"/>
      <c r="EH124" s="47"/>
      <c r="EI124" s="47"/>
      <c r="EJ124" s="47"/>
      <c r="EK124" s="47"/>
      <c r="EL124" s="47"/>
      <c r="EM124" s="47"/>
      <c r="EN124" s="47"/>
      <c r="EO124" s="47"/>
      <c r="EP124" s="47"/>
      <c r="EQ124" s="47"/>
      <c r="ER124" s="47"/>
      <c r="ES124" s="47"/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  <c r="FX124" s="47"/>
      <c r="FY124" s="47"/>
      <c r="FZ124" s="47"/>
      <c r="GA124" s="47"/>
      <c r="GB124" s="47"/>
      <c r="GC124" s="47"/>
      <c r="GD124" s="47"/>
      <c r="GE124" s="47"/>
      <c r="GF124" s="47"/>
      <c r="GG124" s="47"/>
      <c r="GH124" s="47"/>
      <c r="GI124" s="47"/>
      <c r="GJ124" s="47"/>
      <c r="GK124" s="47"/>
      <c r="GL124" s="47"/>
      <c r="GM124" s="47"/>
      <c r="GN124" s="47"/>
      <c r="GO124" s="47"/>
      <c r="GP124" s="47"/>
      <c r="GQ124" s="47"/>
      <c r="GR124" s="47"/>
      <c r="GS124" s="47"/>
      <c r="GT124" s="47"/>
      <c r="GU124" s="47"/>
      <c r="GV124" s="47"/>
      <c r="GW124" s="47"/>
      <c r="GX124" s="47"/>
      <c r="GY124" s="47"/>
      <c r="GZ124" s="47"/>
      <c r="HA124" s="47"/>
      <c r="HB124" s="47"/>
      <c r="HC124" s="47"/>
      <c r="HD124" s="47"/>
      <c r="HE124" s="47"/>
      <c r="HF124" s="47"/>
      <c r="HG124" s="47"/>
      <c r="HH124" s="47"/>
      <c r="HI124" s="47"/>
      <c r="HJ124" s="47"/>
      <c r="HK124" s="47"/>
      <c r="HL124" s="47"/>
      <c r="HM124" s="47"/>
      <c r="HN124" s="47"/>
      <c r="HO124" s="47"/>
      <c r="HP124" s="47"/>
      <c r="HQ124" s="47"/>
      <c r="HR124" s="47"/>
      <c r="HS124" s="47"/>
      <c r="HT124" s="47"/>
      <c r="HU124" s="47"/>
      <c r="HV124" s="47"/>
      <c r="HW124" s="47"/>
      <c r="HX124" s="47"/>
      <c r="HY124" s="47"/>
      <c r="HZ124" s="47"/>
      <c r="IA124" s="47"/>
      <c r="IB124" s="47"/>
      <c r="IC124" s="47"/>
      <c r="ID124" s="47"/>
      <c r="IE124" s="47"/>
      <c r="IF124" s="47"/>
      <c r="IG124" s="47"/>
      <c r="IH124" s="47"/>
      <c r="II124" s="47"/>
      <c r="IJ124" s="47"/>
      <c r="IK124" s="47"/>
      <c r="IL124" s="47"/>
      <c r="IM124" s="47"/>
      <c r="IN124" s="47"/>
      <c r="IO124" s="47"/>
      <c r="IP124" s="47"/>
      <c r="IQ124" s="47"/>
      <c r="IR124" s="47"/>
      <c r="IS124" s="47"/>
      <c r="IT124" s="47"/>
      <c r="IU124" s="47"/>
      <c r="IV124" s="47"/>
      <c r="IW124" s="47"/>
      <c r="IX124" s="47"/>
      <c r="IY124" s="47"/>
      <c r="IZ124" s="47"/>
      <c r="JA124" s="47"/>
      <c r="JB124" s="47"/>
      <c r="JC124" s="47"/>
      <c r="JD124" s="47"/>
      <c r="JE124" s="47"/>
      <c r="JF124" s="47"/>
      <c r="JG124" s="47"/>
      <c r="JH124" s="47"/>
      <c r="JI124" s="47"/>
      <c r="JJ124" s="47"/>
      <c r="JK124" s="47"/>
      <c r="JL124" s="47"/>
      <c r="JM124" s="47"/>
      <c r="JN124" s="47"/>
      <c r="JO124" s="47"/>
      <c r="JP124" s="47"/>
      <c r="JQ124" s="47"/>
      <c r="JR124" s="47"/>
      <c r="JS124" s="47"/>
      <c r="JT124" s="47"/>
      <c r="JU124" s="47"/>
      <c r="JV124" s="47"/>
      <c r="JW124" s="47"/>
      <c r="JX124" s="47"/>
      <c r="JY124" s="47"/>
      <c r="JZ124" s="47"/>
      <c r="KA124" s="47"/>
      <c r="KB124" s="47"/>
      <c r="KC124" s="47"/>
      <c r="KD124" s="47"/>
      <c r="KE124" s="47"/>
      <c r="KF124" s="47"/>
      <c r="KG124" s="47"/>
      <c r="KH124" s="47"/>
      <c r="KI124" s="47"/>
      <c r="KJ124" s="47"/>
      <c r="KK124" s="47"/>
      <c r="KL124" s="47"/>
      <c r="KM124" s="47"/>
      <c r="KN124" s="47"/>
      <c r="KO124" s="47"/>
      <c r="KP124" s="47"/>
      <c r="KQ124" s="47"/>
      <c r="KR124" s="47"/>
      <c r="KS124" s="47"/>
      <c r="KT124" s="47"/>
      <c r="KU124" s="47"/>
      <c r="KV124" s="47"/>
      <c r="KW124" s="47"/>
      <c r="KX124" s="47"/>
      <c r="KY124" s="47"/>
      <c r="KZ124" s="47"/>
      <c r="LA124" s="47"/>
      <c r="LB124" s="47"/>
      <c r="LC124" s="47"/>
      <c r="LD124" s="47"/>
      <c r="LE124" s="47"/>
      <c r="LF124" s="47"/>
      <c r="LG124" s="47"/>
      <c r="LH124" s="47"/>
      <c r="LI124" s="47"/>
      <c r="LJ124" s="47"/>
      <c r="LK124" s="47"/>
      <c r="LL124" s="47"/>
      <c r="LM124" s="47"/>
      <c r="LN124" s="47"/>
      <c r="LO124" s="47"/>
      <c r="LP124" s="47"/>
      <c r="LQ124" s="47"/>
      <c r="LR124" s="47"/>
      <c r="LS124" s="47"/>
      <c r="LT124" s="47"/>
      <c r="LU124" s="47"/>
      <c r="LV124" s="47"/>
      <c r="LW124" s="47"/>
      <c r="LX124" s="47"/>
      <c r="LY124" s="47"/>
      <c r="LZ124" s="47"/>
      <c r="MA124" s="47"/>
      <c r="MB124" s="47"/>
      <c r="MC124" s="47"/>
      <c r="MD124" s="47"/>
      <c r="ME124" s="47"/>
      <c r="MF124" s="47"/>
      <c r="MG124" s="47"/>
      <c r="MH124" s="47"/>
      <c r="MI124" s="47"/>
      <c r="MJ124" s="47"/>
      <c r="MK124" s="47"/>
      <c r="ML124" s="47"/>
      <c r="MM124" s="47"/>
      <c r="MN124" s="47"/>
    </row>
  </sheetData>
  <sheetProtection sheet="1" selectLockedCells="1"/>
  <conditionalFormatting sqref="B1:XFD1">
    <cfRule type="duplicateValues" dxfId="0" priority="2"/>
  </conditionalFormatting>
  <pageMargins left="0.7" right="0.7" top="0.78740157499999996" bottom="0.78740157499999996" header="0.3" footer="0.3"/>
  <pageSetup paperSize="9" scale="32" fitToWidth="0" fitToHeight="0" orientation="portrait" horizontalDpi="90" verticalDpi="90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000-000000000000}">
          <x14:formula1>
            <xm:f>dropdown!$C$2:$C$4</xm:f>
          </x14:formula1>
          <xm:sqref>B3:CBH3</xm:sqref>
        </x14:dataValidation>
        <x14:dataValidation type="list" allowBlank="1" showInputMessage="1" showErrorMessage="1" xr:uid="{00000000-0002-0000-0000-000001000000}">
          <x14:formula1>
            <xm:f>dropdown!$D$2:$D$4</xm:f>
          </x14:formula1>
          <xm:sqref>B31:CBH34 B43:CBH49 B18:CBH18 B41:CBH41 B36:CBH39 MO102:CBH102 B99:MN99 MO98:CBH98 MO90:CBH90 MO86:CBH86 B107:MN107 B105:MN105 MO106:CBH106 B103:MN103 MO104:CBH104 MO92:CBH92 MO94:CBH94 B93:MN93 B91:MN91 B87:MN87 B95:MN95</xm:sqref>
        </x14:dataValidation>
        <x14:dataValidation type="list" allowBlank="1" showInputMessage="1" showErrorMessage="1" xr:uid="{00000000-0002-0000-0000-000002000000}">
          <x14:formula1>
            <xm:f>dropdown!$E$2:$E$4</xm:f>
          </x14:formula1>
          <xm:sqref>B6:CBH7 B10:CBH10</xm:sqref>
        </x14:dataValidation>
        <x14:dataValidation type="list" allowBlank="1" showInputMessage="1" showErrorMessage="1" xr:uid="{00000000-0002-0000-0000-000003000000}">
          <x14:formula1>
            <xm:f>dropdown!$F$2:$F$8</xm:f>
          </x14:formula1>
          <xm:sqref>B19:CBH19</xm:sqref>
        </x14:dataValidation>
        <x14:dataValidation type="list" allowBlank="1" showInputMessage="1" showErrorMessage="1" xr:uid="{00000000-0002-0000-0000-000004000000}">
          <x14:formula1>
            <xm:f>dropdown!$G$2:$G$4</xm:f>
          </x14:formula1>
          <xm:sqref>B23:CBH23</xm:sqref>
        </x14:dataValidation>
        <x14:dataValidation type="list" allowBlank="1" showInputMessage="1" showErrorMessage="1" xr:uid="{00000000-0002-0000-0000-000005000000}">
          <x14:formula1>
            <xm:f>dropdown!$H$2:$H$6</xm:f>
          </x14:formula1>
          <xm:sqref>B27:CBH27</xm:sqref>
        </x14:dataValidation>
        <x14:dataValidation type="list" allowBlank="1" showInputMessage="1" showErrorMessage="1" xr:uid="{00000000-0002-0000-0000-000006000000}">
          <x14:formula1>
            <xm:f>dropdown!$I$2:$I$5</xm:f>
          </x14:formula1>
          <xm:sqref>B28:CBH28</xm:sqref>
        </x14:dataValidation>
        <x14:dataValidation type="list" allowBlank="1" showInputMessage="1" showErrorMessage="1" xr:uid="{00000000-0002-0000-0000-000007000000}">
          <x14:formula1>
            <xm:f>dropdown!$J$2:$J$6</xm:f>
          </x14:formula1>
          <xm:sqref>B29:CBH29</xm:sqref>
        </x14:dataValidation>
        <x14:dataValidation type="list" allowBlank="1" showInputMessage="1" showErrorMessage="1" xr:uid="{00000000-0002-0000-0000-000008000000}">
          <x14:formula1>
            <xm:f>dropdown!$K$2:$K$4</xm:f>
          </x14:formula1>
          <xm:sqref>B30:CBH30</xm:sqref>
        </x14:dataValidation>
        <x14:dataValidation type="list" allowBlank="1" showInputMessage="1" showErrorMessage="1" xr:uid="{00000000-0002-0000-0000-000009000000}">
          <x14:formula1>
            <xm:f>dropdown!$L$2:$L$5</xm:f>
          </x14:formula1>
          <xm:sqref>B35:CBH35</xm:sqref>
        </x14:dataValidation>
        <x14:dataValidation type="list" allowBlank="1" showInputMessage="1" showErrorMessage="1" xr:uid="{00000000-0002-0000-0000-00000A000000}">
          <x14:formula1>
            <xm:f>dropdown!$M$2:$M$5</xm:f>
          </x14:formula1>
          <xm:sqref>B42:CBH42</xm:sqref>
        </x14:dataValidation>
        <x14:dataValidation type="list" allowBlank="1" showInputMessage="1" showErrorMessage="1" xr:uid="{00000000-0002-0000-0000-00000B000000}">
          <x14:formula1>
            <xm:f>dropdown!$N$2:$N$5</xm:f>
          </x14:formula1>
          <xm:sqref>B52:CBH52</xm:sqref>
        </x14:dataValidation>
        <x14:dataValidation type="list" showInputMessage="1" showErrorMessage="1" xr:uid="{00000000-0002-0000-0000-000010000000}">
          <x14:formula1>
            <xm:f>dropdown!$R$2:$R$7</xm:f>
          </x14:formula1>
          <xm:sqref>B4:CBH4</xm:sqref>
        </x14:dataValidation>
        <x14:dataValidation type="list" showInputMessage="1" showErrorMessage="1" xr:uid="{00000000-0002-0000-0000-000011000000}">
          <x14:formula1>
            <xm:f>dropdown!$S$2:$S$6</xm:f>
          </x14:formula1>
          <xm:sqref>B17:CBH17</xm:sqref>
        </x14:dataValidation>
        <x14:dataValidation type="list" showInputMessage="1" showErrorMessage="1" xr:uid="{00000000-0002-0000-0000-000012000000}">
          <x14:formula1>
            <xm:f>dropdown!$B$2:$B$4</xm:f>
          </x14:formula1>
          <xm:sqref>B40:CBH40</xm:sqref>
        </x14:dataValidation>
        <x14:dataValidation type="list" allowBlank="1" showInputMessage="1" showErrorMessage="1" xr:uid="{00000000-0002-0000-0000-000013000000}">
          <x14:formula1>
            <xm:f>dropdown!$P$2:$P$7</xm:f>
          </x14:formula1>
          <xm:sqref>B89:MM89</xm:sqref>
        </x14:dataValidation>
        <x14:dataValidation type="list" allowBlank="1" showInputMessage="1" showErrorMessage="1" xr:uid="{00000000-0002-0000-0000-00000C000000}">
          <x14:formula1>
            <xm:f>dropdown!$O$2:$O$7</xm:f>
          </x14:formula1>
          <xm:sqref>MO85:CBH85 B98:MN98 MO97:CBH97 B86:MN86</xm:sqref>
        </x14:dataValidation>
        <x14:dataValidation type="list" allowBlank="1" showInputMessage="1" showErrorMessage="1" xr:uid="{00000000-0002-0000-0000-00000D000000}">
          <x14:formula1>
            <xm:f>dropdown!$P$2:$P$6</xm:f>
          </x14:formula1>
          <xm:sqref>MO100:CBH100 MN89 MO88:CBH88 B101:MN101</xm:sqref>
        </x14:dataValidation>
        <x14:dataValidation type="list" allowBlank="1" showInputMessage="1" showErrorMessage="1" xr:uid="{00000000-0002-0000-0000-00000E000000}">
          <x14:formula1>
            <xm:f>dropdown!$Q$2:$Q$5</xm:f>
          </x14:formula1>
          <xm:sqref>MO95:CBH95 B96:MN96</xm:sqref>
        </x14:dataValidation>
        <x14:dataValidation type="list" allowBlank="1" showInputMessage="1" showErrorMessage="1" xr:uid="{00000000-0002-0000-0000-00000F000000}">
          <x14:formula1>
            <xm:f>dropdown!$Q$3:$Q$5</xm:f>
          </x14:formula1>
          <xm:sqref>MO107:CBH107 B108:MN108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workbookViewId="0">
      <selection activeCell="A4" sqref="A4"/>
    </sheetView>
  </sheetViews>
  <sheetFormatPr baseColWidth="10" defaultRowHeight="16" x14ac:dyDescent="0.2"/>
  <cols>
    <col min="6" max="6" width="16.1640625" customWidth="1"/>
    <col min="8" max="8" width="14" customWidth="1"/>
    <col min="9" max="9" width="27.83203125" customWidth="1"/>
    <col min="10" max="10" width="19.6640625" customWidth="1"/>
    <col min="11" max="11" width="20.1640625" customWidth="1"/>
    <col min="12" max="12" width="21" customWidth="1"/>
    <col min="13" max="13" width="17.5" customWidth="1"/>
    <col min="14" max="14" width="15.6640625" customWidth="1"/>
    <col min="15" max="15" width="35.6640625" customWidth="1"/>
    <col min="16" max="16" width="24.6640625" customWidth="1"/>
    <col min="18" max="18" width="16.5" bestFit="1" customWidth="1"/>
  </cols>
  <sheetData>
    <row r="1" spans="1:19" x14ac:dyDescent="0.2">
      <c r="A1" s="8" t="s">
        <v>156</v>
      </c>
      <c r="B1" s="14" t="s">
        <v>6</v>
      </c>
      <c r="C1" s="14" t="s">
        <v>4</v>
      </c>
      <c r="D1" s="14" t="s">
        <v>6</v>
      </c>
      <c r="E1" s="14" t="s">
        <v>13</v>
      </c>
      <c r="F1" s="14" t="s">
        <v>18</v>
      </c>
      <c r="G1" s="14" t="s">
        <v>25</v>
      </c>
      <c r="H1" s="14" t="s">
        <v>31</v>
      </c>
      <c r="I1" s="14" t="s">
        <v>34</v>
      </c>
      <c r="J1" s="14" t="s">
        <v>38</v>
      </c>
      <c r="K1" s="14" t="s">
        <v>35</v>
      </c>
      <c r="L1" s="14" t="s">
        <v>50</v>
      </c>
      <c r="M1" s="14" t="s">
        <v>56</v>
      </c>
      <c r="N1" s="14" t="s">
        <v>62</v>
      </c>
      <c r="O1" s="14" t="s">
        <v>97</v>
      </c>
      <c r="P1" s="14" t="s">
        <v>107</v>
      </c>
      <c r="Q1" s="14" t="s">
        <v>108</v>
      </c>
      <c r="R1" s="14" t="s">
        <v>172</v>
      </c>
      <c r="S1" s="14" t="s">
        <v>15</v>
      </c>
    </row>
    <row r="2" spans="1:19" x14ac:dyDescent="0.2">
      <c r="A2" s="8" t="s">
        <v>157</v>
      </c>
      <c r="D2" t="s">
        <v>9</v>
      </c>
      <c r="E2" t="s">
        <v>10</v>
      </c>
      <c r="F2" s="3" t="s">
        <v>19</v>
      </c>
      <c r="G2" t="s">
        <v>26</v>
      </c>
      <c r="H2" t="s">
        <v>10</v>
      </c>
      <c r="I2" t="s">
        <v>30</v>
      </c>
      <c r="J2" t="s">
        <v>30</v>
      </c>
      <c r="K2" t="s">
        <v>36</v>
      </c>
      <c r="L2" t="s">
        <v>10</v>
      </c>
      <c r="M2" s="3" t="s">
        <v>10</v>
      </c>
      <c r="N2" t="s">
        <v>10</v>
      </c>
      <c r="O2" t="s">
        <v>98</v>
      </c>
      <c r="P2" t="s">
        <v>103</v>
      </c>
      <c r="Q2" t="s">
        <v>110</v>
      </c>
    </row>
    <row r="3" spans="1:19" x14ac:dyDescent="0.2">
      <c r="B3" t="s">
        <v>9</v>
      </c>
      <c r="C3" t="s">
        <v>7</v>
      </c>
      <c r="D3" t="s">
        <v>10</v>
      </c>
      <c r="E3" t="s">
        <v>9</v>
      </c>
      <c r="F3" t="s">
        <v>20</v>
      </c>
      <c r="G3" t="s">
        <v>27</v>
      </c>
      <c r="H3" t="s">
        <v>28</v>
      </c>
      <c r="I3" t="s">
        <v>32</v>
      </c>
      <c r="J3" t="s">
        <v>32</v>
      </c>
      <c r="K3" t="s">
        <v>37</v>
      </c>
      <c r="L3" t="s">
        <v>40</v>
      </c>
      <c r="M3" t="s">
        <v>57</v>
      </c>
      <c r="N3" t="s">
        <v>9</v>
      </c>
      <c r="O3" t="s">
        <v>99</v>
      </c>
      <c r="P3" t="s">
        <v>104</v>
      </c>
      <c r="Q3" t="s">
        <v>109</v>
      </c>
      <c r="R3" t="s">
        <v>175</v>
      </c>
      <c r="S3" t="s">
        <v>10</v>
      </c>
    </row>
    <row r="4" spans="1:19" x14ac:dyDescent="0.2">
      <c r="B4" t="s">
        <v>10</v>
      </c>
      <c r="C4" t="s">
        <v>8</v>
      </c>
      <c r="F4" t="s">
        <v>21</v>
      </c>
      <c r="H4" t="s">
        <v>29</v>
      </c>
      <c r="I4" t="s">
        <v>33</v>
      </c>
      <c r="J4" t="s">
        <v>33</v>
      </c>
      <c r="L4" t="s">
        <v>9</v>
      </c>
      <c r="M4" t="s">
        <v>58</v>
      </c>
      <c r="N4" t="s">
        <v>162</v>
      </c>
      <c r="O4" t="s">
        <v>100</v>
      </c>
      <c r="P4" t="s">
        <v>105</v>
      </c>
      <c r="Q4" t="s">
        <v>167</v>
      </c>
      <c r="R4" t="s">
        <v>176</v>
      </c>
      <c r="S4" t="s">
        <v>9</v>
      </c>
    </row>
    <row r="5" spans="1:19" x14ac:dyDescent="0.2">
      <c r="F5" t="s">
        <v>22</v>
      </c>
      <c r="H5" t="s">
        <v>30</v>
      </c>
      <c r="J5" t="s">
        <v>37</v>
      </c>
      <c r="O5" t="s">
        <v>101</v>
      </c>
      <c r="P5" t="s">
        <v>106</v>
      </c>
      <c r="R5" t="s">
        <v>177</v>
      </c>
      <c r="S5" t="s">
        <v>200</v>
      </c>
    </row>
    <row r="6" spans="1:19" x14ac:dyDescent="0.2">
      <c r="F6" t="s">
        <v>23</v>
      </c>
      <c r="O6" t="s">
        <v>102</v>
      </c>
      <c r="P6" t="s">
        <v>179</v>
      </c>
      <c r="R6" t="s">
        <v>173</v>
      </c>
      <c r="S6" t="s">
        <v>185</v>
      </c>
    </row>
    <row r="7" spans="1:19" x14ac:dyDescent="0.2">
      <c r="F7" t="s">
        <v>24</v>
      </c>
      <c r="R7" t="s">
        <v>174</v>
      </c>
    </row>
  </sheetData>
  <sheetProtection sheet="1" selectLockedCell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L14"/>
  <sheetViews>
    <sheetView workbookViewId="0">
      <selection activeCell="AH14" sqref="AH14"/>
    </sheetView>
  </sheetViews>
  <sheetFormatPr baseColWidth="10" defaultRowHeight="16" x14ac:dyDescent="0.2"/>
  <cols>
    <col min="34" max="34" width="17.83203125" customWidth="1"/>
    <col min="35" max="52" width="3.83203125" bestFit="1" customWidth="1"/>
  </cols>
  <sheetData>
    <row r="2" spans="2:64" x14ac:dyDescent="0.2">
      <c r="B2" s="8" t="s">
        <v>112</v>
      </c>
      <c r="J2" s="8" t="s">
        <v>111</v>
      </c>
      <c r="R2" s="8" t="s">
        <v>113</v>
      </c>
      <c r="AB2" s="8" t="s">
        <v>114</v>
      </c>
      <c r="AH2" s="8" t="s">
        <v>115</v>
      </c>
    </row>
    <row r="3" spans="2:64" x14ac:dyDescent="0.2">
      <c r="B3" s="66" t="s">
        <v>2</v>
      </c>
      <c r="C3" s="65" t="s">
        <v>33</v>
      </c>
      <c r="D3" s="65"/>
      <c r="E3" s="64" t="s">
        <v>32</v>
      </c>
      <c r="F3" s="65"/>
      <c r="G3" s="64" t="s">
        <v>30</v>
      </c>
      <c r="H3" s="66"/>
      <c r="J3" s="66" t="s">
        <v>2</v>
      </c>
      <c r="K3" s="64" t="s">
        <v>30</v>
      </c>
      <c r="L3" s="66"/>
      <c r="M3" s="64" t="s">
        <v>32</v>
      </c>
      <c r="N3" s="66"/>
      <c r="O3" s="64" t="s">
        <v>33</v>
      </c>
      <c r="P3" s="66"/>
      <c r="R3" s="66" t="s">
        <v>2</v>
      </c>
      <c r="S3" s="64" t="s">
        <v>30</v>
      </c>
      <c r="T3" s="66"/>
      <c r="U3" s="64" t="s">
        <v>32</v>
      </c>
      <c r="V3" s="66"/>
      <c r="W3" s="64" t="s">
        <v>33</v>
      </c>
      <c r="X3" s="66"/>
      <c r="Y3" t="s">
        <v>37</v>
      </c>
      <c r="Z3" s="1"/>
      <c r="AB3" s="66" t="s">
        <v>2</v>
      </c>
      <c r="AC3" s="64" t="s">
        <v>36</v>
      </c>
      <c r="AD3" s="66"/>
      <c r="AE3" s="64" t="s">
        <v>37</v>
      </c>
      <c r="AF3" s="66"/>
      <c r="AH3" s="69" t="s">
        <v>143</v>
      </c>
      <c r="AI3" s="67" t="s">
        <v>138</v>
      </c>
      <c r="AJ3" s="68"/>
      <c r="AK3" s="65"/>
      <c r="AL3" s="65"/>
      <c r="AM3" s="65"/>
      <c r="AN3" s="66"/>
      <c r="AO3" s="67" t="s">
        <v>144</v>
      </c>
      <c r="AP3" s="68"/>
      <c r="AQ3" s="65"/>
      <c r="AR3" s="65"/>
      <c r="AS3" s="65"/>
      <c r="AT3" s="66"/>
      <c r="AU3" s="67" t="s">
        <v>145</v>
      </c>
      <c r="AV3" s="68"/>
      <c r="AW3" s="65"/>
      <c r="AX3" s="65"/>
      <c r="AY3" s="65"/>
      <c r="AZ3" s="66"/>
      <c r="BB3" t="s">
        <v>171</v>
      </c>
      <c r="BL3" t="s">
        <v>190</v>
      </c>
    </row>
    <row r="4" spans="2:64" x14ac:dyDescent="0.2">
      <c r="B4" s="71"/>
      <c r="C4" s="5" t="s">
        <v>26</v>
      </c>
      <c r="D4" s="4" t="s">
        <v>27</v>
      </c>
      <c r="E4" s="4" t="s">
        <v>26</v>
      </c>
      <c r="F4" s="4" t="s">
        <v>27</v>
      </c>
      <c r="G4" s="4" t="s">
        <v>26</v>
      </c>
      <c r="H4" s="5" t="s">
        <v>27</v>
      </c>
      <c r="J4" s="71"/>
      <c r="K4" s="5" t="s">
        <v>26</v>
      </c>
      <c r="L4" s="4" t="s">
        <v>27</v>
      </c>
      <c r="M4" s="4" t="s">
        <v>26</v>
      </c>
      <c r="N4" s="4" t="s">
        <v>27</v>
      </c>
      <c r="O4" s="4" t="s">
        <v>26</v>
      </c>
      <c r="P4" s="5" t="s">
        <v>27</v>
      </c>
      <c r="R4" s="71"/>
      <c r="S4" s="5" t="s">
        <v>26</v>
      </c>
      <c r="T4" s="4" t="s">
        <v>27</v>
      </c>
      <c r="U4" s="4" t="s">
        <v>26</v>
      </c>
      <c r="V4" s="4" t="s">
        <v>27</v>
      </c>
      <c r="W4" s="4" t="s">
        <v>26</v>
      </c>
      <c r="X4" s="4" t="s">
        <v>27</v>
      </c>
      <c r="Y4" s="5" t="s">
        <v>26</v>
      </c>
      <c r="Z4" s="5" t="s">
        <v>27</v>
      </c>
      <c r="AB4" s="71"/>
      <c r="AC4" s="5" t="s">
        <v>26</v>
      </c>
      <c r="AD4" s="4" t="s">
        <v>27</v>
      </c>
      <c r="AE4" s="4" t="s">
        <v>26</v>
      </c>
      <c r="AF4" s="5" t="s">
        <v>27</v>
      </c>
      <c r="AH4" s="69"/>
      <c r="AI4" s="64" t="s">
        <v>27</v>
      </c>
      <c r="AJ4" s="65"/>
      <c r="AK4" s="66"/>
      <c r="AL4" s="64" t="s">
        <v>26</v>
      </c>
      <c r="AM4" s="65"/>
      <c r="AN4" s="66"/>
      <c r="AO4" s="64" t="s">
        <v>27</v>
      </c>
      <c r="AP4" s="65"/>
      <c r="AQ4" s="66"/>
      <c r="AR4" s="64" t="s">
        <v>26</v>
      </c>
      <c r="AS4" s="65"/>
      <c r="AT4" s="66"/>
      <c r="AU4" s="64" t="s">
        <v>27</v>
      </c>
      <c r="AV4" s="65"/>
      <c r="AW4" s="66"/>
      <c r="AX4" s="64" t="s">
        <v>26</v>
      </c>
      <c r="AY4" s="65"/>
      <c r="AZ4" s="66"/>
    </row>
    <row r="5" spans="2:64" x14ac:dyDescent="0.2">
      <c r="B5" s="7" t="s">
        <v>116</v>
      </c>
      <c r="C5">
        <v>4</v>
      </c>
      <c r="D5" s="6">
        <v>2</v>
      </c>
      <c r="E5">
        <v>34</v>
      </c>
      <c r="F5">
        <v>12</v>
      </c>
      <c r="G5">
        <v>76</v>
      </c>
      <c r="H5">
        <v>26</v>
      </c>
      <c r="J5" s="7" t="s">
        <v>116</v>
      </c>
      <c r="K5">
        <v>59</v>
      </c>
      <c r="L5">
        <v>28</v>
      </c>
      <c r="M5">
        <v>29</v>
      </c>
      <c r="N5">
        <v>10</v>
      </c>
      <c r="O5">
        <v>18</v>
      </c>
      <c r="P5">
        <v>5</v>
      </c>
      <c r="R5" s="7" t="s">
        <v>116</v>
      </c>
      <c r="S5">
        <v>3</v>
      </c>
      <c r="T5">
        <v>5</v>
      </c>
      <c r="U5">
        <v>4</v>
      </c>
      <c r="V5">
        <v>3</v>
      </c>
      <c r="W5">
        <v>1</v>
      </c>
      <c r="X5">
        <v>1</v>
      </c>
      <c r="Y5">
        <v>0</v>
      </c>
      <c r="Z5">
        <v>3</v>
      </c>
      <c r="AB5" s="7" t="s">
        <v>116</v>
      </c>
      <c r="AC5">
        <v>4</v>
      </c>
      <c r="AD5">
        <v>5</v>
      </c>
      <c r="AE5">
        <v>0</v>
      </c>
      <c r="AF5">
        <v>3</v>
      </c>
      <c r="AH5" s="70"/>
      <c r="AI5" s="12" t="s">
        <v>138</v>
      </c>
      <c r="AJ5" s="12" t="s">
        <v>141</v>
      </c>
      <c r="AK5" s="11" t="s">
        <v>142</v>
      </c>
      <c r="AL5" s="12" t="s">
        <v>138</v>
      </c>
      <c r="AM5" s="12" t="s">
        <v>141</v>
      </c>
      <c r="AN5" s="11" t="s">
        <v>142</v>
      </c>
      <c r="AO5" s="12" t="s">
        <v>138</v>
      </c>
      <c r="AP5" s="12" t="s">
        <v>141</v>
      </c>
      <c r="AQ5" s="11" t="s">
        <v>142</v>
      </c>
      <c r="AR5" s="12" t="s">
        <v>138</v>
      </c>
      <c r="AS5" s="12" t="s">
        <v>141</v>
      </c>
      <c r="AT5" s="11" t="s">
        <v>142</v>
      </c>
      <c r="AU5" s="12" t="s">
        <v>138</v>
      </c>
      <c r="AV5" s="12" t="s">
        <v>141</v>
      </c>
      <c r="AW5" s="11" t="s">
        <v>142</v>
      </c>
      <c r="AX5" s="10" t="s">
        <v>138</v>
      </c>
      <c r="AY5" s="10" t="s">
        <v>141</v>
      </c>
      <c r="AZ5" s="11" t="s">
        <v>142</v>
      </c>
    </row>
    <row r="6" spans="2:64" x14ac:dyDescent="0.2">
      <c r="B6" s="1" t="s">
        <v>117</v>
      </c>
      <c r="C6">
        <v>13</v>
      </c>
      <c r="D6">
        <v>3</v>
      </c>
      <c r="E6">
        <v>51</v>
      </c>
      <c r="F6">
        <v>22</v>
      </c>
      <c r="G6">
        <v>87</v>
      </c>
      <c r="H6">
        <v>55</v>
      </c>
      <c r="J6" s="1" t="s">
        <v>117</v>
      </c>
      <c r="K6">
        <v>69</v>
      </c>
      <c r="L6">
        <v>37</v>
      </c>
      <c r="M6">
        <v>38</v>
      </c>
      <c r="N6">
        <v>14</v>
      </c>
      <c r="O6">
        <v>25</v>
      </c>
      <c r="P6">
        <v>8</v>
      </c>
      <c r="R6" s="1" t="s">
        <v>117</v>
      </c>
      <c r="S6">
        <v>22</v>
      </c>
      <c r="T6">
        <v>10</v>
      </c>
      <c r="U6">
        <v>10</v>
      </c>
      <c r="V6">
        <v>6</v>
      </c>
      <c r="W6">
        <v>3</v>
      </c>
      <c r="X6">
        <v>2</v>
      </c>
      <c r="Y6">
        <v>12</v>
      </c>
      <c r="Z6">
        <v>3</v>
      </c>
      <c r="AB6" s="1" t="s">
        <v>117</v>
      </c>
      <c r="AC6">
        <v>22</v>
      </c>
      <c r="AD6">
        <v>10</v>
      </c>
      <c r="AE6">
        <v>12</v>
      </c>
      <c r="AF6">
        <v>3</v>
      </c>
      <c r="AH6" s="7" t="s">
        <v>116</v>
      </c>
      <c r="AI6">
        <v>0</v>
      </c>
      <c r="AJ6">
        <v>1</v>
      </c>
      <c r="AK6">
        <v>2</v>
      </c>
      <c r="AL6">
        <v>1</v>
      </c>
      <c r="AM6">
        <v>2</v>
      </c>
      <c r="AN6">
        <v>5</v>
      </c>
      <c r="AO6">
        <v>0</v>
      </c>
      <c r="AP6">
        <v>1</v>
      </c>
      <c r="AQ6">
        <v>3</v>
      </c>
      <c r="AR6">
        <v>2</v>
      </c>
      <c r="AS6">
        <v>4</v>
      </c>
      <c r="AT6">
        <v>8</v>
      </c>
      <c r="AU6">
        <v>2</v>
      </c>
      <c r="AV6">
        <v>5</v>
      </c>
      <c r="AW6">
        <v>10</v>
      </c>
      <c r="AX6">
        <v>9</v>
      </c>
      <c r="AY6">
        <v>14</v>
      </c>
      <c r="AZ6">
        <v>22</v>
      </c>
    </row>
    <row r="7" spans="2:64" x14ac:dyDescent="0.2">
      <c r="B7" s="1" t="s">
        <v>118</v>
      </c>
      <c r="C7">
        <v>20</v>
      </c>
      <c r="D7">
        <v>7</v>
      </c>
      <c r="E7">
        <v>65</v>
      </c>
      <c r="F7">
        <v>31</v>
      </c>
      <c r="G7">
        <v>93</v>
      </c>
      <c r="H7">
        <v>73</v>
      </c>
      <c r="J7" s="1" t="s">
        <v>118</v>
      </c>
      <c r="K7">
        <v>77</v>
      </c>
      <c r="L7">
        <v>47</v>
      </c>
      <c r="M7">
        <v>49</v>
      </c>
      <c r="N7">
        <v>20</v>
      </c>
      <c r="O7">
        <v>34</v>
      </c>
      <c r="P7">
        <v>12</v>
      </c>
      <c r="R7" s="1" t="s">
        <v>118</v>
      </c>
      <c r="S7">
        <v>32</v>
      </c>
      <c r="T7">
        <v>13</v>
      </c>
      <c r="U7">
        <v>17</v>
      </c>
      <c r="V7">
        <v>6</v>
      </c>
      <c r="W7">
        <v>11</v>
      </c>
      <c r="X7">
        <v>3</v>
      </c>
      <c r="Y7">
        <v>20</v>
      </c>
      <c r="Z7">
        <v>9</v>
      </c>
      <c r="AB7" s="1" t="s">
        <v>118</v>
      </c>
      <c r="AC7">
        <v>32</v>
      </c>
      <c r="AD7">
        <v>13</v>
      </c>
      <c r="AE7">
        <v>20</v>
      </c>
      <c r="AF7">
        <v>9</v>
      </c>
      <c r="AH7" s="1" t="s">
        <v>117</v>
      </c>
      <c r="AI7">
        <v>1</v>
      </c>
      <c r="AJ7">
        <v>1</v>
      </c>
      <c r="AK7">
        <v>3</v>
      </c>
      <c r="AL7">
        <v>2</v>
      </c>
      <c r="AM7">
        <v>4</v>
      </c>
      <c r="AN7">
        <v>8</v>
      </c>
      <c r="AO7">
        <v>1</v>
      </c>
      <c r="AP7">
        <v>2</v>
      </c>
      <c r="AQ7">
        <v>5</v>
      </c>
      <c r="AR7">
        <v>3</v>
      </c>
      <c r="AS7">
        <v>6</v>
      </c>
      <c r="AT7">
        <v>12</v>
      </c>
      <c r="AU7">
        <v>4</v>
      </c>
      <c r="AV7">
        <v>7</v>
      </c>
      <c r="AW7">
        <v>12</v>
      </c>
      <c r="AX7">
        <v>14</v>
      </c>
      <c r="AY7">
        <v>20</v>
      </c>
      <c r="AZ7">
        <v>27</v>
      </c>
    </row>
    <row r="8" spans="2:64" x14ac:dyDescent="0.2">
      <c r="B8" s="1" t="s">
        <v>119</v>
      </c>
      <c r="C8">
        <v>27</v>
      </c>
      <c r="D8">
        <v>14</v>
      </c>
      <c r="E8">
        <v>72</v>
      </c>
      <c r="F8">
        <v>51</v>
      </c>
      <c r="G8">
        <v>94</v>
      </c>
      <c r="H8">
        <v>86</v>
      </c>
      <c r="J8" s="1" t="s">
        <v>119</v>
      </c>
      <c r="K8">
        <v>84</v>
      </c>
      <c r="L8">
        <v>58</v>
      </c>
      <c r="M8">
        <v>59</v>
      </c>
      <c r="N8">
        <v>28</v>
      </c>
      <c r="O8">
        <v>44</v>
      </c>
      <c r="P8">
        <v>17</v>
      </c>
      <c r="R8" s="1" t="s">
        <v>119</v>
      </c>
      <c r="S8">
        <v>44</v>
      </c>
      <c r="T8">
        <v>16</v>
      </c>
      <c r="U8">
        <v>26</v>
      </c>
      <c r="V8">
        <v>11</v>
      </c>
      <c r="W8">
        <v>22</v>
      </c>
      <c r="X8">
        <v>6</v>
      </c>
      <c r="Y8">
        <v>27</v>
      </c>
      <c r="Z8">
        <v>14</v>
      </c>
      <c r="AB8" s="1" t="s">
        <v>119</v>
      </c>
      <c r="AC8">
        <v>44</v>
      </c>
      <c r="AD8">
        <v>16</v>
      </c>
      <c r="AE8">
        <v>27</v>
      </c>
      <c r="AF8">
        <v>14</v>
      </c>
      <c r="AH8" s="1" t="s">
        <v>118</v>
      </c>
      <c r="AI8">
        <v>1</v>
      </c>
      <c r="AJ8">
        <v>2</v>
      </c>
      <c r="AK8">
        <v>5</v>
      </c>
      <c r="AL8">
        <v>4</v>
      </c>
      <c r="AM8">
        <v>7</v>
      </c>
      <c r="AN8">
        <v>12</v>
      </c>
      <c r="AO8">
        <v>2</v>
      </c>
      <c r="AP8">
        <v>3</v>
      </c>
      <c r="AQ8">
        <v>7</v>
      </c>
      <c r="AR8">
        <v>6</v>
      </c>
      <c r="AS8">
        <v>11</v>
      </c>
      <c r="AT8">
        <v>17</v>
      </c>
      <c r="AU8">
        <v>6</v>
      </c>
      <c r="AV8">
        <v>10</v>
      </c>
      <c r="AW8">
        <v>15</v>
      </c>
      <c r="AX8">
        <v>21</v>
      </c>
      <c r="AY8">
        <v>27</v>
      </c>
      <c r="AZ8">
        <v>33</v>
      </c>
    </row>
    <row r="9" spans="2:64" x14ac:dyDescent="0.2">
      <c r="J9" s="1" t="s">
        <v>120</v>
      </c>
      <c r="K9">
        <v>89</v>
      </c>
      <c r="L9">
        <v>68</v>
      </c>
      <c r="M9">
        <v>69</v>
      </c>
      <c r="N9">
        <v>37</v>
      </c>
      <c r="O9">
        <v>54</v>
      </c>
      <c r="P9">
        <v>24</v>
      </c>
      <c r="R9" s="1" t="s">
        <v>122</v>
      </c>
      <c r="S9">
        <v>52</v>
      </c>
      <c r="T9">
        <v>27</v>
      </c>
      <c r="U9">
        <v>34</v>
      </c>
      <c r="V9">
        <v>19</v>
      </c>
      <c r="W9">
        <v>24</v>
      </c>
      <c r="X9">
        <v>10</v>
      </c>
      <c r="Y9">
        <v>32</v>
      </c>
      <c r="Z9">
        <v>12</v>
      </c>
      <c r="AB9" s="1" t="s">
        <v>122</v>
      </c>
      <c r="AC9">
        <v>52</v>
      </c>
      <c r="AD9">
        <v>27</v>
      </c>
      <c r="AE9">
        <v>32</v>
      </c>
      <c r="AF9">
        <v>12</v>
      </c>
      <c r="AH9" s="1" t="s">
        <v>119</v>
      </c>
      <c r="AI9">
        <v>2</v>
      </c>
      <c r="AJ9">
        <v>4</v>
      </c>
      <c r="AK9">
        <v>7</v>
      </c>
      <c r="AL9">
        <v>8</v>
      </c>
      <c r="AM9">
        <v>12</v>
      </c>
      <c r="AN9">
        <v>17</v>
      </c>
      <c r="AO9">
        <v>3</v>
      </c>
      <c r="AP9">
        <v>6</v>
      </c>
      <c r="AQ9">
        <v>11</v>
      </c>
      <c r="AR9">
        <v>12</v>
      </c>
      <c r="AS9">
        <v>17</v>
      </c>
      <c r="AT9">
        <v>25</v>
      </c>
      <c r="AU9">
        <v>10</v>
      </c>
      <c r="AV9">
        <v>14</v>
      </c>
      <c r="AW9">
        <v>19</v>
      </c>
      <c r="AX9">
        <v>32</v>
      </c>
      <c r="AY9">
        <v>35</v>
      </c>
      <c r="AZ9">
        <v>39</v>
      </c>
    </row>
    <row r="10" spans="2:64" x14ac:dyDescent="0.2">
      <c r="J10" s="1" t="s">
        <v>123</v>
      </c>
      <c r="K10">
        <v>93</v>
      </c>
      <c r="L10">
        <v>76</v>
      </c>
      <c r="M10">
        <v>78</v>
      </c>
      <c r="N10">
        <v>47</v>
      </c>
      <c r="O10">
        <v>65</v>
      </c>
      <c r="P10">
        <v>32</v>
      </c>
      <c r="AH10" s="1" t="s">
        <v>121</v>
      </c>
      <c r="AI10">
        <v>4</v>
      </c>
      <c r="AJ10">
        <v>7</v>
      </c>
      <c r="AK10">
        <v>11</v>
      </c>
      <c r="AL10">
        <v>15</v>
      </c>
      <c r="AM10">
        <v>19</v>
      </c>
      <c r="AN10">
        <v>24</v>
      </c>
      <c r="AO10">
        <v>6</v>
      </c>
      <c r="AP10">
        <v>10</v>
      </c>
      <c r="AQ10">
        <v>16</v>
      </c>
      <c r="AR10">
        <v>22</v>
      </c>
      <c r="AS10">
        <v>27</v>
      </c>
      <c r="AT10">
        <v>34</v>
      </c>
      <c r="AU10">
        <v>16</v>
      </c>
      <c r="AV10">
        <v>19</v>
      </c>
      <c r="AW10">
        <v>23</v>
      </c>
      <c r="AX10">
        <v>44</v>
      </c>
      <c r="AY10">
        <v>44</v>
      </c>
      <c r="AZ10">
        <v>45</v>
      </c>
    </row>
    <row r="14" spans="2:64" x14ac:dyDescent="0.2">
      <c r="B14" s="18" t="s">
        <v>126</v>
      </c>
      <c r="J14" t="s">
        <v>133</v>
      </c>
      <c r="R14" t="s">
        <v>134</v>
      </c>
      <c r="AB14" t="s">
        <v>135</v>
      </c>
      <c r="AH14" t="s">
        <v>137</v>
      </c>
    </row>
  </sheetData>
  <sheetProtection sheet="1" objects="1" scenarios="1" selectLockedCells="1"/>
  <mergeCells count="25">
    <mergeCell ref="C3:D3"/>
    <mergeCell ref="E3:F3"/>
    <mergeCell ref="G3:H3"/>
    <mergeCell ref="B3:B4"/>
    <mergeCell ref="J3:J4"/>
    <mergeCell ref="W3:X3"/>
    <mergeCell ref="AB3:AB4"/>
    <mergeCell ref="AC3:AD3"/>
    <mergeCell ref="AE3:AF3"/>
    <mergeCell ref="K3:L3"/>
    <mergeCell ref="M3:N3"/>
    <mergeCell ref="O3:P3"/>
    <mergeCell ref="R3:R4"/>
    <mergeCell ref="S3:T3"/>
    <mergeCell ref="U3:V3"/>
    <mergeCell ref="AX4:AZ4"/>
    <mergeCell ref="AI3:AN3"/>
    <mergeCell ref="AO3:AT3"/>
    <mergeCell ref="AU3:AZ3"/>
    <mergeCell ref="AH3:AH5"/>
    <mergeCell ref="AI4:AK4"/>
    <mergeCell ref="AL4:AN4"/>
    <mergeCell ref="AO4:AQ4"/>
    <mergeCell ref="AR4:AT4"/>
    <mergeCell ref="AU4:AW4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dropdown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Kobel</dc:creator>
  <cp:lastModifiedBy>Konstantin Kobel</cp:lastModifiedBy>
  <dcterms:created xsi:type="dcterms:W3CDTF">2025-06-24T12:56:15Z</dcterms:created>
  <dcterms:modified xsi:type="dcterms:W3CDTF">2025-12-04T15:05:13Z</dcterms:modified>
</cp:coreProperties>
</file>